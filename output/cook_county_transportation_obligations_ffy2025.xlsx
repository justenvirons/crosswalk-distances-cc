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epauledu-my.sharepoint.com/personal/csmit263_depaul_edu/Documents/gitrepos/crosswalk-distances-cc/output/"/>
    </mc:Choice>
  </mc:AlternateContent>
  <xr:revisionPtr revIDLastSave="6" documentId="11_8E9A66FBC832B48186A7BBCC2CC63561300806F4" xr6:coauthVersionLast="47" xr6:coauthVersionMax="47" xr10:uidLastSave="{CCB0A7AD-291E-4D9E-9BCA-6E339B4E33B0}"/>
  <bookViews>
    <workbookView xWindow="-28920" yWindow="-8910" windowWidth="29040" windowHeight="16440" firstSheet="2" activeTab="5" xr2:uid="{00000000-000D-0000-FFFF-FFFF00000000}"/>
  </bookViews>
  <sheets>
    <sheet name="README" sheetId="1" r:id="rId1"/>
    <sheet name="Exploded_Detail_Relevant" sheetId="2" r:id="rId2"/>
    <sheet name="Summary_Type_Municipality" sheetId="3" r:id="rId3"/>
    <sheet name="By_Municipality" sheetId="4" r:id="rId4"/>
    <sheet name="By_Type" sheetId="5" r:id="rId5"/>
    <sheet name="FHWA_Obligations_Detail" sheetId="6" r:id="rId6"/>
    <sheet name="AC_Authorizations_Detail" sheetId="7" r:id="rId7"/>
    <sheet name="FTA_Obligations_Detail"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5" l="1"/>
  <c r="D33" i="5"/>
  <c r="E32" i="5"/>
  <c r="D32" i="5"/>
  <c r="E31" i="5"/>
  <c r="D31" i="5"/>
  <c r="E30" i="5"/>
  <c r="D30" i="5"/>
  <c r="E29" i="5"/>
  <c r="D29" i="5"/>
  <c r="E28" i="5"/>
  <c r="D28" i="5"/>
  <c r="E27" i="5"/>
  <c r="D27" i="5"/>
  <c r="E26" i="5"/>
  <c r="D26" i="5"/>
  <c r="E25" i="5"/>
  <c r="D25" i="5"/>
  <c r="E24" i="5"/>
  <c r="D24" i="5"/>
  <c r="E23" i="5"/>
  <c r="D23" i="5"/>
  <c r="E22" i="5"/>
  <c r="D22" i="5"/>
  <c r="E21" i="5"/>
  <c r="D21" i="5"/>
  <c r="E20" i="5"/>
  <c r="D20" i="5"/>
  <c r="E19" i="5"/>
  <c r="D19" i="5"/>
  <c r="E18" i="5"/>
  <c r="D18" i="5"/>
  <c r="E17" i="5"/>
  <c r="D17" i="5"/>
  <c r="E16" i="5"/>
  <c r="D16" i="5"/>
  <c r="E15" i="5"/>
  <c r="D15" i="5"/>
  <c r="E14" i="5"/>
  <c r="D14" i="5"/>
  <c r="E13" i="5"/>
  <c r="D13" i="5"/>
  <c r="E12" i="5"/>
  <c r="D12" i="5"/>
  <c r="E11" i="5"/>
  <c r="D11" i="5"/>
  <c r="E10" i="5"/>
  <c r="D10" i="5"/>
  <c r="E9" i="5"/>
  <c r="D9" i="5"/>
  <c r="E8" i="5"/>
  <c r="D8" i="5"/>
  <c r="E7" i="5"/>
  <c r="D7" i="5"/>
  <c r="E6" i="5"/>
  <c r="D6" i="5"/>
  <c r="E5" i="5"/>
  <c r="D5" i="5"/>
  <c r="E4" i="5"/>
  <c r="D4" i="5"/>
  <c r="E3" i="5"/>
  <c r="D3" i="5"/>
  <c r="E2" i="5"/>
  <c r="D2" i="5"/>
  <c r="D99" i="4"/>
  <c r="C99" i="4"/>
  <c r="D98" i="4"/>
  <c r="C98" i="4"/>
  <c r="D97" i="4"/>
  <c r="C97" i="4"/>
  <c r="D96" i="4"/>
  <c r="C96" i="4"/>
  <c r="D95" i="4"/>
  <c r="C95" i="4"/>
  <c r="D94" i="4"/>
  <c r="C94" i="4"/>
  <c r="D93" i="4"/>
  <c r="C93" i="4"/>
  <c r="D92" i="4"/>
  <c r="C92" i="4"/>
  <c r="D91" i="4"/>
  <c r="C91" i="4"/>
  <c r="D90" i="4"/>
  <c r="C90" i="4"/>
  <c r="D89" i="4"/>
  <c r="C89" i="4"/>
  <c r="D88" i="4"/>
  <c r="C88" i="4"/>
  <c r="D87" i="4"/>
  <c r="C87" i="4"/>
  <c r="D86" i="4"/>
  <c r="C86" i="4"/>
  <c r="D85" i="4"/>
  <c r="C85" i="4"/>
  <c r="D84" i="4"/>
  <c r="C84" i="4"/>
  <c r="D83" i="4"/>
  <c r="C83" i="4"/>
  <c r="D82" i="4"/>
  <c r="C82" i="4"/>
  <c r="D81" i="4"/>
  <c r="C81" i="4"/>
  <c r="D80" i="4"/>
  <c r="C80" i="4"/>
  <c r="D79" i="4"/>
  <c r="C79" i="4"/>
  <c r="D78" i="4"/>
  <c r="C78" i="4"/>
  <c r="D77" i="4"/>
  <c r="C77" i="4"/>
  <c r="D76" i="4"/>
  <c r="C76" i="4"/>
  <c r="D75" i="4"/>
  <c r="C75" i="4"/>
  <c r="D74" i="4"/>
  <c r="C74" i="4"/>
  <c r="D73" i="4"/>
  <c r="C73" i="4"/>
  <c r="D72" i="4"/>
  <c r="C72" i="4"/>
  <c r="D71" i="4"/>
  <c r="C71" i="4"/>
  <c r="D70" i="4"/>
  <c r="C70" i="4"/>
  <c r="D69" i="4"/>
  <c r="C69" i="4"/>
  <c r="D68" i="4"/>
  <c r="C68" i="4"/>
  <c r="D67" i="4"/>
  <c r="C67" i="4"/>
  <c r="D66" i="4"/>
  <c r="C66" i="4"/>
  <c r="D65" i="4"/>
  <c r="C65" i="4"/>
  <c r="D64" i="4"/>
  <c r="C64" i="4"/>
  <c r="D63" i="4"/>
  <c r="C63" i="4"/>
  <c r="D62" i="4"/>
  <c r="C62" i="4"/>
  <c r="D61" i="4"/>
  <c r="C61" i="4"/>
  <c r="D60" i="4"/>
  <c r="C60" i="4"/>
  <c r="D59" i="4"/>
  <c r="C59" i="4"/>
  <c r="D58" i="4"/>
  <c r="C58" i="4"/>
  <c r="D57" i="4"/>
  <c r="C57" i="4"/>
  <c r="D56" i="4"/>
  <c r="C56" i="4"/>
  <c r="D55" i="4"/>
  <c r="C55" i="4"/>
  <c r="D54" i="4"/>
  <c r="C54" i="4"/>
  <c r="D53" i="4"/>
  <c r="C53" i="4"/>
  <c r="D52" i="4"/>
  <c r="C52" i="4"/>
  <c r="D51" i="4"/>
  <c r="C51" i="4"/>
  <c r="D50" i="4"/>
  <c r="C50" i="4"/>
  <c r="D49" i="4"/>
  <c r="C49" i="4"/>
  <c r="D48" i="4"/>
  <c r="C48" i="4"/>
  <c r="D47" i="4"/>
  <c r="C47" i="4"/>
  <c r="D46" i="4"/>
  <c r="C46" i="4"/>
  <c r="D45" i="4"/>
  <c r="C45" i="4"/>
  <c r="D44" i="4"/>
  <c r="C44" i="4"/>
  <c r="D43" i="4"/>
  <c r="C43" i="4"/>
  <c r="D42" i="4"/>
  <c r="C42" i="4"/>
  <c r="D41" i="4"/>
  <c r="C41" i="4"/>
  <c r="D40" i="4"/>
  <c r="C40" i="4"/>
  <c r="D39" i="4"/>
  <c r="C39" i="4"/>
  <c r="D38" i="4"/>
  <c r="C38" i="4"/>
  <c r="D37" i="4"/>
  <c r="C37" i="4"/>
  <c r="D36" i="4"/>
  <c r="C36" i="4"/>
  <c r="D35" i="4"/>
  <c r="C35" i="4"/>
  <c r="D34" i="4"/>
  <c r="C34" i="4"/>
  <c r="D33" i="4"/>
  <c r="C33" i="4"/>
  <c r="D32" i="4"/>
  <c r="C32" i="4"/>
  <c r="D31" i="4"/>
  <c r="C31" i="4"/>
  <c r="D30" i="4"/>
  <c r="C30" i="4"/>
  <c r="D29" i="4"/>
  <c r="C29" i="4"/>
  <c r="D28" i="4"/>
  <c r="C28" i="4"/>
  <c r="D27" i="4"/>
  <c r="C27" i="4"/>
  <c r="D26" i="4"/>
  <c r="C26" i="4"/>
  <c r="D25" i="4"/>
  <c r="C25" i="4"/>
  <c r="D24" i="4"/>
  <c r="C24" i="4"/>
  <c r="D23" i="4"/>
  <c r="C23" i="4"/>
  <c r="D22" i="4"/>
  <c r="C22" i="4"/>
  <c r="D21" i="4"/>
  <c r="C21" i="4"/>
  <c r="D20" i="4"/>
  <c r="C20" i="4"/>
  <c r="D19" i="4"/>
  <c r="C19" i="4"/>
  <c r="D18" i="4"/>
  <c r="C18" i="4"/>
  <c r="D17" i="4"/>
  <c r="C17" i="4"/>
  <c r="D16" i="4"/>
  <c r="C16" i="4"/>
  <c r="D15" i="4"/>
  <c r="C15" i="4"/>
  <c r="D14" i="4"/>
  <c r="C14" i="4"/>
  <c r="D13" i="4"/>
  <c r="C13" i="4"/>
  <c r="D12" i="4"/>
  <c r="C12" i="4"/>
  <c r="D11" i="4"/>
  <c r="C11" i="4"/>
  <c r="D10" i="4"/>
  <c r="C10" i="4"/>
  <c r="D9" i="4"/>
  <c r="C9" i="4"/>
  <c r="D8" i="4"/>
  <c r="C8" i="4"/>
  <c r="D7" i="4"/>
  <c r="C7" i="4"/>
  <c r="D6" i="4"/>
  <c r="C6" i="4"/>
  <c r="D5" i="4"/>
  <c r="C5" i="4"/>
  <c r="D4" i="4"/>
  <c r="C4" i="4"/>
  <c r="D3" i="4"/>
  <c r="C3" i="4"/>
  <c r="D2" i="4"/>
  <c r="C2" i="4"/>
  <c r="F259" i="3"/>
  <c r="E259" i="3"/>
  <c r="F258" i="3"/>
  <c r="E258" i="3"/>
  <c r="F257" i="3"/>
  <c r="E257" i="3"/>
  <c r="F256" i="3"/>
  <c r="E256" i="3"/>
  <c r="F255" i="3"/>
  <c r="E255" i="3"/>
  <c r="F254" i="3"/>
  <c r="E254" i="3"/>
  <c r="F253" i="3"/>
  <c r="E253" i="3"/>
  <c r="F252" i="3"/>
  <c r="E252" i="3"/>
  <c r="F251" i="3"/>
  <c r="E251" i="3"/>
  <c r="F250" i="3"/>
  <c r="E250" i="3"/>
  <c r="F249" i="3"/>
  <c r="E249" i="3"/>
  <c r="F248" i="3"/>
  <c r="E248" i="3"/>
  <c r="F247" i="3"/>
  <c r="E247" i="3"/>
  <c r="F246" i="3"/>
  <c r="E246" i="3"/>
  <c r="F245" i="3"/>
  <c r="E245" i="3"/>
  <c r="F244" i="3"/>
  <c r="E244" i="3"/>
  <c r="F243" i="3"/>
  <c r="E243" i="3"/>
  <c r="F242" i="3"/>
  <c r="E242" i="3"/>
  <c r="F241" i="3"/>
  <c r="E241" i="3"/>
  <c r="F240" i="3"/>
  <c r="E240" i="3"/>
  <c r="F239" i="3"/>
  <c r="E239" i="3"/>
  <c r="F238" i="3"/>
  <c r="E238" i="3"/>
  <c r="F237" i="3"/>
  <c r="E237" i="3"/>
  <c r="F236" i="3"/>
  <c r="E236" i="3"/>
  <c r="F235" i="3"/>
  <c r="E235" i="3"/>
  <c r="F234" i="3"/>
  <c r="E234" i="3"/>
  <c r="F233" i="3"/>
  <c r="E233" i="3"/>
  <c r="F232" i="3"/>
  <c r="E232" i="3"/>
  <c r="F231" i="3"/>
  <c r="E231" i="3"/>
  <c r="F230" i="3"/>
  <c r="E230" i="3"/>
  <c r="F229" i="3"/>
  <c r="E229" i="3"/>
  <c r="F228" i="3"/>
  <c r="E228" i="3"/>
  <c r="F227" i="3"/>
  <c r="E227" i="3"/>
  <c r="F226" i="3"/>
  <c r="E226" i="3"/>
  <c r="F225" i="3"/>
  <c r="E225" i="3"/>
  <c r="F224" i="3"/>
  <c r="E224" i="3"/>
  <c r="F223" i="3"/>
  <c r="E223" i="3"/>
  <c r="F222" i="3"/>
  <c r="E222" i="3"/>
  <c r="F221" i="3"/>
  <c r="E221" i="3"/>
  <c r="F220" i="3"/>
  <c r="E220" i="3"/>
  <c r="F219" i="3"/>
  <c r="E219" i="3"/>
  <c r="F218" i="3"/>
  <c r="E218" i="3"/>
  <c r="F217" i="3"/>
  <c r="E217" i="3"/>
  <c r="F216" i="3"/>
  <c r="E216" i="3"/>
  <c r="F215" i="3"/>
  <c r="E215" i="3"/>
  <c r="F214" i="3"/>
  <c r="E214" i="3"/>
  <c r="F213" i="3"/>
  <c r="E213" i="3"/>
  <c r="F212" i="3"/>
  <c r="E212" i="3"/>
  <c r="F211" i="3"/>
  <c r="E211" i="3"/>
  <c r="F210" i="3"/>
  <c r="E210" i="3"/>
  <c r="F209" i="3"/>
  <c r="E209" i="3"/>
  <c r="F208" i="3"/>
  <c r="E208" i="3"/>
  <c r="F207" i="3"/>
  <c r="E207" i="3"/>
  <c r="F206" i="3"/>
  <c r="E206" i="3"/>
  <c r="F205" i="3"/>
  <c r="E205" i="3"/>
  <c r="F204" i="3"/>
  <c r="E204" i="3"/>
  <c r="F203" i="3"/>
  <c r="E203" i="3"/>
  <c r="F202" i="3"/>
  <c r="E202" i="3"/>
  <c r="F201" i="3"/>
  <c r="E201" i="3"/>
  <c r="F200" i="3"/>
  <c r="E200" i="3"/>
  <c r="F199" i="3"/>
  <c r="E199" i="3"/>
  <c r="F198" i="3"/>
  <c r="E198" i="3"/>
  <c r="F197" i="3"/>
  <c r="E197" i="3"/>
  <c r="F196" i="3"/>
  <c r="E196" i="3"/>
  <c r="F195" i="3"/>
  <c r="E195" i="3"/>
  <c r="F194" i="3"/>
  <c r="E194" i="3"/>
  <c r="F193" i="3"/>
  <c r="E193" i="3"/>
  <c r="F192" i="3"/>
  <c r="E192" i="3"/>
  <c r="F191" i="3"/>
  <c r="E191" i="3"/>
  <c r="F190" i="3"/>
  <c r="E190" i="3"/>
  <c r="F189" i="3"/>
  <c r="E189" i="3"/>
  <c r="F188" i="3"/>
  <c r="E188" i="3"/>
  <c r="F187" i="3"/>
  <c r="E187" i="3"/>
  <c r="F186" i="3"/>
  <c r="E186" i="3"/>
  <c r="F185" i="3"/>
  <c r="E185" i="3"/>
  <c r="F184" i="3"/>
  <c r="E184" i="3"/>
  <c r="F183" i="3"/>
  <c r="E183" i="3"/>
  <c r="F182" i="3"/>
  <c r="E182" i="3"/>
  <c r="F181" i="3"/>
  <c r="E181" i="3"/>
  <c r="F180" i="3"/>
  <c r="E180" i="3"/>
  <c r="F179" i="3"/>
  <c r="E179" i="3"/>
  <c r="F178" i="3"/>
  <c r="E178" i="3"/>
  <c r="F177" i="3"/>
  <c r="E177" i="3"/>
  <c r="F176" i="3"/>
  <c r="E176" i="3"/>
  <c r="F175" i="3"/>
  <c r="E175" i="3"/>
  <c r="F174" i="3"/>
  <c r="E174" i="3"/>
  <c r="F173" i="3"/>
  <c r="E173" i="3"/>
  <c r="F172" i="3"/>
  <c r="E172" i="3"/>
  <c r="F171" i="3"/>
  <c r="E171" i="3"/>
  <c r="F170" i="3"/>
  <c r="E170" i="3"/>
  <c r="F169" i="3"/>
  <c r="E169" i="3"/>
  <c r="F168" i="3"/>
  <c r="E168" i="3"/>
  <c r="F167" i="3"/>
  <c r="E167" i="3"/>
  <c r="F166" i="3"/>
  <c r="E166" i="3"/>
  <c r="F165" i="3"/>
  <c r="E165" i="3"/>
  <c r="F164" i="3"/>
  <c r="E164" i="3"/>
  <c r="F163" i="3"/>
  <c r="E163" i="3"/>
  <c r="F162" i="3"/>
  <c r="E162" i="3"/>
  <c r="F161" i="3"/>
  <c r="E161" i="3"/>
  <c r="F160" i="3"/>
  <c r="E160" i="3"/>
  <c r="F159" i="3"/>
  <c r="E159" i="3"/>
  <c r="F158" i="3"/>
  <c r="E158" i="3"/>
  <c r="F157" i="3"/>
  <c r="E157" i="3"/>
  <c r="F156" i="3"/>
  <c r="E156" i="3"/>
  <c r="F155" i="3"/>
  <c r="E155" i="3"/>
  <c r="F154" i="3"/>
  <c r="E154" i="3"/>
  <c r="F153" i="3"/>
  <c r="E153" i="3"/>
  <c r="F152" i="3"/>
  <c r="E152" i="3"/>
  <c r="F151" i="3"/>
  <c r="E151" i="3"/>
  <c r="F150" i="3"/>
  <c r="E150" i="3"/>
  <c r="F149" i="3"/>
  <c r="E149" i="3"/>
  <c r="F148" i="3"/>
  <c r="E148" i="3"/>
  <c r="F147" i="3"/>
  <c r="E147" i="3"/>
  <c r="F146" i="3"/>
  <c r="E146" i="3"/>
  <c r="F145" i="3"/>
  <c r="E145" i="3"/>
  <c r="F144" i="3"/>
  <c r="E144" i="3"/>
  <c r="F143" i="3"/>
  <c r="E143" i="3"/>
  <c r="F142" i="3"/>
  <c r="E142" i="3"/>
  <c r="F141" i="3"/>
  <c r="E141" i="3"/>
  <c r="F140" i="3"/>
  <c r="E140" i="3"/>
  <c r="F139" i="3"/>
  <c r="E139" i="3"/>
  <c r="F138" i="3"/>
  <c r="E138" i="3"/>
  <c r="F137" i="3"/>
  <c r="E137" i="3"/>
  <c r="F136" i="3"/>
  <c r="E136" i="3"/>
  <c r="F135" i="3"/>
  <c r="E135" i="3"/>
  <c r="F134" i="3"/>
  <c r="E134" i="3"/>
  <c r="F133" i="3"/>
  <c r="E133" i="3"/>
  <c r="F132" i="3"/>
  <c r="E132" i="3"/>
  <c r="F131" i="3"/>
  <c r="E131" i="3"/>
  <c r="F130" i="3"/>
  <c r="E130" i="3"/>
  <c r="F129" i="3"/>
  <c r="E129" i="3"/>
  <c r="F128" i="3"/>
  <c r="E128" i="3"/>
  <c r="F127" i="3"/>
  <c r="E127" i="3"/>
  <c r="F126" i="3"/>
  <c r="E126" i="3"/>
  <c r="F125" i="3"/>
  <c r="E125" i="3"/>
  <c r="F124" i="3"/>
  <c r="E124" i="3"/>
  <c r="F123" i="3"/>
  <c r="E123" i="3"/>
  <c r="F122" i="3"/>
  <c r="E122" i="3"/>
  <c r="F121" i="3"/>
  <c r="E121" i="3"/>
  <c r="F120" i="3"/>
  <c r="E120" i="3"/>
  <c r="F119" i="3"/>
  <c r="E119" i="3"/>
  <c r="F118" i="3"/>
  <c r="E118" i="3"/>
  <c r="F117" i="3"/>
  <c r="E117" i="3"/>
  <c r="F116" i="3"/>
  <c r="E116" i="3"/>
  <c r="F115" i="3"/>
  <c r="E115" i="3"/>
  <c r="F114" i="3"/>
  <c r="E114" i="3"/>
  <c r="F113" i="3"/>
  <c r="E113" i="3"/>
  <c r="F112" i="3"/>
  <c r="E112" i="3"/>
  <c r="F111" i="3"/>
  <c r="E111" i="3"/>
  <c r="F110" i="3"/>
  <c r="E110" i="3"/>
  <c r="F109" i="3"/>
  <c r="E109" i="3"/>
  <c r="F108" i="3"/>
  <c r="E108" i="3"/>
  <c r="F107" i="3"/>
  <c r="E107" i="3"/>
  <c r="F106" i="3"/>
  <c r="E106" i="3"/>
  <c r="F105" i="3"/>
  <c r="E105" i="3"/>
  <c r="F104" i="3"/>
  <c r="E104" i="3"/>
  <c r="F103" i="3"/>
  <c r="E103" i="3"/>
  <c r="F102" i="3"/>
  <c r="E102" i="3"/>
  <c r="F101" i="3"/>
  <c r="E101" i="3"/>
  <c r="F100" i="3"/>
  <c r="E100" i="3"/>
  <c r="F99" i="3"/>
  <c r="E99" i="3"/>
  <c r="F98" i="3"/>
  <c r="E98" i="3"/>
  <c r="F97" i="3"/>
  <c r="E97" i="3"/>
  <c r="F96" i="3"/>
  <c r="E96" i="3"/>
  <c r="F95" i="3"/>
  <c r="E95" i="3"/>
  <c r="F94" i="3"/>
  <c r="E94" i="3"/>
  <c r="F93" i="3"/>
  <c r="E93" i="3"/>
  <c r="F92" i="3"/>
  <c r="E92" i="3"/>
  <c r="F91" i="3"/>
  <c r="E91" i="3"/>
  <c r="F90" i="3"/>
  <c r="E90" i="3"/>
  <c r="F89" i="3"/>
  <c r="E89" i="3"/>
  <c r="F88" i="3"/>
  <c r="E88" i="3"/>
  <c r="F87" i="3"/>
  <c r="E87" i="3"/>
  <c r="F86" i="3"/>
  <c r="E86" i="3"/>
  <c r="F85" i="3"/>
  <c r="E85" i="3"/>
  <c r="F84" i="3"/>
  <c r="E84" i="3"/>
  <c r="F83" i="3"/>
  <c r="E83" i="3"/>
  <c r="F82" i="3"/>
  <c r="E82" i="3"/>
  <c r="F81" i="3"/>
  <c r="E81" i="3"/>
  <c r="F80" i="3"/>
  <c r="E80" i="3"/>
  <c r="F79" i="3"/>
  <c r="E79" i="3"/>
  <c r="F78" i="3"/>
  <c r="E78" i="3"/>
  <c r="F77" i="3"/>
  <c r="E77" i="3"/>
  <c r="F76" i="3"/>
  <c r="E76" i="3"/>
  <c r="F75" i="3"/>
  <c r="E75" i="3"/>
  <c r="F74" i="3"/>
  <c r="E74" i="3"/>
  <c r="F73" i="3"/>
  <c r="E73" i="3"/>
  <c r="F72" i="3"/>
  <c r="E72" i="3"/>
  <c r="F71" i="3"/>
  <c r="E71" i="3"/>
  <c r="F70" i="3"/>
  <c r="E70" i="3"/>
  <c r="F69" i="3"/>
  <c r="E69" i="3"/>
  <c r="F68" i="3"/>
  <c r="E68" i="3"/>
  <c r="F67" i="3"/>
  <c r="E67" i="3"/>
  <c r="F66" i="3"/>
  <c r="E66" i="3"/>
  <c r="F65" i="3"/>
  <c r="E65" i="3"/>
  <c r="F64" i="3"/>
  <c r="E64" i="3"/>
  <c r="F63" i="3"/>
  <c r="E63" i="3"/>
  <c r="F62" i="3"/>
  <c r="E62" i="3"/>
  <c r="F61" i="3"/>
  <c r="E61" i="3"/>
  <c r="F60" i="3"/>
  <c r="E60" i="3"/>
  <c r="F59" i="3"/>
  <c r="E59" i="3"/>
  <c r="F58" i="3"/>
  <c r="E58" i="3"/>
  <c r="F57" i="3"/>
  <c r="E57" i="3"/>
  <c r="F56" i="3"/>
  <c r="E56" i="3"/>
  <c r="F55" i="3"/>
  <c r="E55" i="3"/>
  <c r="F54" i="3"/>
  <c r="E54" i="3"/>
  <c r="F53" i="3"/>
  <c r="E53" i="3"/>
  <c r="F52" i="3"/>
  <c r="E52" i="3"/>
  <c r="F51" i="3"/>
  <c r="E51" i="3"/>
  <c r="F50" i="3"/>
  <c r="E50" i="3"/>
  <c r="F49" i="3"/>
  <c r="E49" i="3"/>
  <c r="F48" i="3"/>
  <c r="E48" i="3"/>
  <c r="F47" i="3"/>
  <c r="E47" i="3"/>
  <c r="F46" i="3"/>
  <c r="E46" i="3"/>
  <c r="F45" i="3"/>
  <c r="E45" i="3"/>
  <c r="F44" i="3"/>
  <c r="E44" i="3"/>
  <c r="F43" i="3"/>
  <c r="E43" i="3"/>
  <c r="F42" i="3"/>
  <c r="E42" i="3"/>
  <c r="F41" i="3"/>
  <c r="E41" i="3"/>
  <c r="F40" i="3"/>
  <c r="E40" i="3"/>
  <c r="F39" i="3"/>
  <c r="E39" i="3"/>
  <c r="F38" i="3"/>
  <c r="E38" i="3"/>
  <c r="F37" i="3"/>
  <c r="E37" i="3"/>
  <c r="F36" i="3"/>
  <c r="E36" i="3"/>
  <c r="F35" i="3"/>
  <c r="E35" i="3"/>
  <c r="F34" i="3"/>
  <c r="E34" i="3"/>
  <c r="F33" i="3"/>
  <c r="E33" i="3"/>
  <c r="F32" i="3"/>
  <c r="E32" i="3"/>
  <c r="F31" i="3"/>
  <c r="E31" i="3"/>
  <c r="F30" i="3"/>
  <c r="E30" i="3"/>
  <c r="F29" i="3"/>
  <c r="E29" i="3"/>
  <c r="F28" i="3"/>
  <c r="E28" i="3"/>
  <c r="F27" i="3"/>
  <c r="E27" i="3"/>
  <c r="F26" i="3"/>
  <c r="E26" i="3"/>
  <c r="F25" i="3"/>
  <c r="E25" i="3"/>
  <c r="F24" i="3"/>
  <c r="E24" i="3"/>
  <c r="F23" i="3"/>
  <c r="E23" i="3"/>
  <c r="F22" i="3"/>
  <c r="E22" i="3"/>
  <c r="F21" i="3"/>
  <c r="E21" i="3"/>
  <c r="F20" i="3"/>
  <c r="E20" i="3"/>
  <c r="F19" i="3"/>
  <c r="E19" i="3"/>
  <c r="F18" i="3"/>
  <c r="E18" i="3"/>
  <c r="F17" i="3"/>
  <c r="E17" i="3"/>
  <c r="F16" i="3"/>
  <c r="E16" i="3"/>
  <c r="F15" i="3"/>
  <c r="E15" i="3"/>
  <c r="F14" i="3"/>
  <c r="E14" i="3"/>
  <c r="F13" i="3"/>
  <c r="E13" i="3"/>
  <c r="F12" i="3"/>
  <c r="E12" i="3"/>
  <c r="F11" i="3"/>
  <c r="E11" i="3"/>
  <c r="F10" i="3"/>
  <c r="E10" i="3"/>
  <c r="F9" i="3"/>
  <c r="E9" i="3"/>
  <c r="F8" i="3"/>
  <c r="E8" i="3"/>
  <c r="F7" i="3"/>
  <c r="E7" i="3"/>
  <c r="F6" i="3"/>
  <c r="E6" i="3"/>
  <c r="F5" i="3"/>
  <c r="E5" i="3"/>
  <c r="F4" i="3"/>
  <c r="E4" i="3"/>
  <c r="F3" i="3"/>
  <c r="E3" i="3"/>
  <c r="F2" i="3"/>
  <c r="E2" i="3"/>
</calcChain>
</file>

<file path=xl/sharedStrings.xml><?xml version="1.0" encoding="utf-8"?>
<sst xmlns="http://schemas.openxmlformats.org/spreadsheetml/2006/main" count="12575" uniqueCount="1630">
  <si>
    <t>Cook County Transportation Obligations — FFY2025</t>
  </si>
  <si>
    <t>Source</t>
  </si>
  <si>
    <t>CMAP FFY 2025 Annual Obligation Report (Northeastern Illinois / CMAP region), https://cmap.illinois.gov/wp-content/uploads/FFY2025_Obligations_NE_Illinois_Report.pdf</t>
  </si>
  <si>
    <t>Covers federal fiscal year October 1, 2024 - September 30, 2025. As of this workbook's creation, this is the only obligations report processed; add future years' reports by appending rows to the Exploded_Detail_Relevant and *_Detail tabs (a Fiscal Year column is already present on every tab for that purpose), then extend each summary tab's SUMIFS/COUNTIFS ranges and add new key rows for any new Fiscal Year x Table x Type x Municipality combinations.</t>
  </si>
  <si>
    <t>Purpose</t>
  </si>
  <si>
    <t>Built to support Cook County pedestrian-crash research (crosswalk-distances-cc project): a dataset of street/roadway capital investment "facilities" (signal, intersection, roadway, bike/ped, safety, and bridge projects) by Cook County municipality and project type, as a candidate explanatory factor for pedestrian-motor vehicle crash distributions.</t>
  </si>
  <si>
    <t>Tabs</t>
  </si>
  <si>
    <t>Summary_Type_Municipality — Fiscal Year x Table x Project Type x Municipality, STREET-DESIGN-RELEVANT projects only, Cook County only. SUMIFS/COUNTIFS formulas over Exploded_Detail_Relevant.</t>
  </si>
  <si>
    <t>By_Municipality — same filter, rolled up to Fiscal Year x Municipality only. Formulas over Exploded_Detail_Relevant.</t>
  </si>
  <si>
    <t>By_Type — same filter, rolled up to Fiscal Year x Table x Project Type only. Formulas over Exploded_Detail_Relevant.</t>
  </si>
  <si>
    <t>Exploded_Detail_Relevant — one row per (project-phase record x municipality), for STREET-DESIGN-RELEVANT, Cook-County projects only. This is the source data every summary-tab formula reads from; edit or extend it (and the three summary tabs' ranges) rather than editing summary totals directly.</t>
  </si>
  <si>
    <t>FHWA_Obligations_Detail — every FHWA obligation record touching Cook County (unfiltered by relevance), one row per project-phase as reported in the source PDF (NOT exploded by municipality).</t>
  </si>
  <si>
    <t>AC_Authorizations_Detail — every FFY2025 Advance Construction authorization touching Cook County (unfiltered by relevance). AC authorizations are a distinct funding mechanism from FHWA obligations (see "AC vs. Obligations" below) -- do not sum together with FHWA_Obligations_Detail.</t>
  </si>
  <si>
    <t>FTA_Obligations_Detail — every FTA (transit) obligation in the report. The source PDF does not include a county/municipality field for FTA records, so these could not be filtered to or attributed to Cook County municipalities; included for reference/completeness only, excluded from Exploded_Detail_Relevant and all summary tabs.</t>
  </si>
  <si>
    <t>Methodology / caveats</t>
  </si>
  <si>
    <t>Street Design Relevant flag (computed once, in Python, when Exploded_Detail_Relevant/the *_Detail tabs' "Street Design Relevant" column were built): TRUE if Project Type is one of Road Maintenance, Bridge Repair/Rehab/Replace, Road Modernization, Road Expansion, Bicycle &amp; Pedestrian, Intersection/Interchange Improvements, Bridge Routine Maintenance, Signal Systems, Rail-Highway Grade Separation, Safety, Safe Routes to Schools, Road Signals &amp; Signs, New/Expanded Interchange, Systems Improvements, or Intelligent Transportation Systems; OR the source report itself flags "Includes Bike/Ped Elements", "Includes ADA Elements", or "Includes Safety Elements" as Yes. Excluded as not-core: Emissions Reduction, Transit Station/Stop Improvements, Freight Movement, Transportation Enhancements, Guideway Improvements (unless separately flagged Bike/Ped, ADA, or Safety). This is a judgment call, not an authoritative classification -- the *_Detail tabs keep the flag as a column on every row (relevant or not), so it can be redefined and Exploded_Detail_Relevant rebuilt from there.</t>
  </si>
  <si>
    <t>Cook County filter: kept if "Cook" appears anywhere in the source's Location: County field (a project can list multiple counties for a multi-jurisdiction corridor).</t>
  </si>
  <si>
    <t>Municipality parsing: the source's Location: Municipality field is a comma-separated list (a project can touch multiple municipalities); Exploded_Detail_Relevant explodes this into one row per municipality per project. For a multi-municipality project, the FULL obligated amount is attributed to EACH listed municipality (the source doesn't provide a per-municipality split) -- so every summary tab's dollar totals double-count these projects. Project_Count in the summary tabs is a row (line-item) count, not a distinct-project count, for the same reason -- a project spanning 3 municipalities contributes 3 to the combined Project_Count total.</t>
  </si>
  <si>
    <t>Municipality validation: each exploded municipality name is checked against this project's own Cook County municipality list (data/boundaries/cc_municipalities.shp) to drop municipalities in a multi-county project's OTHER county (e.g., a corridor also listing Naperville or Waukegan). This is a simple name-list match; it does not correctly split municipalities that themselves straddle the Cook County line (e.g., Buffalo Grove, Oak Brook) -- those are dropped entirely from the Cook County figures here. "Countywide" and "Unincorporated" are kept as their own municipality-like buckets.</t>
  </si>
  <si>
    <t>AC vs. Obligations: per the source report, "AC authorizations that were converted to obligations are included in the FFY 2025 FHWA Obligations section" -- so a project can legitimately appear in both the FHWA_Obligations_Detail and AC_Authorizations_Detail tabs (and both rows in Exploded_Detail_Relevant) without double-counting, AS LONG AS the two amount columns are not summed together across Table types for the same project.</t>
  </si>
  <si>
    <t>Amounts are as obligated/authorized in FFY2025 for a specific project phase (e.g., design, ROW, construction) -- not necessarily a project's total cost, and a single project can have multiple obligation line items (visible as repeated TIP IDs in the detail tabs).</t>
  </si>
  <si>
    <t>Fiscal Year</t>
  </si>
  <si>
    <t>Table</t>
  </si>
  <si>
    <t>TIP ID</t>
  </si>
  <si>
    <t>Project Title</t>
  </si>
  <si>
    <t>Project Type</t>
  </si>
  <si>
    <t>Municipality</t>
  </si>
  <si>
    <t>Amount</t>
  </si>
  <si>
    <t>Includes Bike/Ped Elements</t>
  </si>
  <si>
    <t>Includes ADA Elements</t>
  </si>
  <si>
    <t>Includes Safety Elements</t>
  </si>
  <si>
    <t>FFY2025</t>
  </si>
  <si>
    <t>AC Authorization</t>
  </si>
  <si>
    <t>06-23-0018</t>
  </si>
  <si>
    <t>Ill 50 Cicero Ave - US 12/20 (95th St) to 123rd Pl</t>
  </si>
  <si>
    <t>Road Maintenance</t>
  </si>
  <si>
    <t>Alsip</t>
  </si>
  <si>
    <t>No</t>
  </si>
  <si>
    <t>06-24-0041</t>
  </si>
  <si>
    <t>Pulaski Rd/Crawford Ave - 103rd St to 123rd St</t>
  </si>
  <si>
    <t>Yes</t>
  </si>
  <si>
    <t>03-25-0005</t>
  </si>
  <si>
    <t>Arlington Heights ComEd RIght-of-Way Multi- Use Trail</t>
  </si>
  <si>
    <t>Bicycle &amp; Pedestrian</t>
  </si>
  <si>
    <t>Arlington Heights</t>
  </si>
  <si>
    <t>FHWA Obligation</t>
  </si>
  <si>
    <t>03-19-0002</t>
  </si>
  <si>
    <t>Ill 53 - Lake-Cook Rd to Ill 62 (Algonquin Rd) and S of US 12 (Rand Rd) to Ill 72 (Higgins Rd), At I-90 (Jane Addams Memorial Tollway), Ill 58 (Golf Rd) &amp; Woodfield Rd</t>
  </si>
  <si>
    <t>Bridge Repair, Rehab, or Replace</t>
  </si>
  <si>
    <t>03-06-0006</t>
  </si>
  <si>
    <t>IL 62 Algonquin Rd at New Wilke Rd</t>
  </si>
  <si>
    <t>Intersection/Interchange Improvements</t>
  </si>
  <si>
    <t>03-24-0004</t>
  </si>
  <si>
    <t>Various Routes at Various Locations</t>
  </si>
  <si>
    <t>03-23-0041</t>
  </si>
  <si>
    <t>Various - Various Locations (Trombone Replacement)</t>
  </si>
  <si>
    <t>03-25-0018</t>
  </si>
  <si>
    <t>Ill 68 Dundee Rd - E of Kennicott Ave to Northgate Pkwy</t>
  </si>
  <si>
    <t>03-25-0017</t>
  </si>
  <si>
    <t>Pedestrian Grade Separation at Main Street</t>
  </si>
  <si>
    <t>Rail-Highway Grade Separation</t>
  </si>
  <si>
    <t>Barrington</t>
  </si>
  <si>
    <t>03-25-0020</t>
  </si>
  <si>
    <t>South Street &amp; Prairie Avenue SRTS</t>
  </si>
  <si>
    <t>Safe Routes to Schools</t>
  </si>
  <si>
    <t>11-25-0005</t>
  </si>
  <si>
    <t>Ill 68 Dundee Rd - Kane Co Line to Ill 62 (Algonquin Rd)</t>
  </si>
  <si>
    <t>Barrington Hills</t>
  </si>
  <si>
    <t>01-05-0012</t>
  </si>
  <si>
    <t>CREATE East-West Corridor from Argo Interlocking to CP509</t>
  </si>
  <si>
    <t>Freight Movement</t>
  </si>
  <si>
    <t>Bedford Park</t>
  </si>
  <si>
    <t>04-00-0023</t>
  </si>
  <si>
    <t>I-290 Eisenhower Expy from US 12/45/20 Mannheim Rd to Racine Ave - RSP 30</t>
  </si>
  <si>
    <t>Road Expansion</t>
  </si>
  <si>
    <t>Bellwood</t>
  </si>
  <si>
    <t>04-24-0006</t>
  </si>
  <si>
    <t>Berkeley Pace Bus Access Improvements</t>
  </si>
  <si>
    <t>Berkeley</t>
  </si>
  <si>
    <t>05-16-0001</t>
  </si>
  <si>
    <t>16th St from IL 43 Harlem Av to Lombard Av</t>
  </si>
  <si>
    <t>Berwyn</t>
  </si>
  <si>
    <t>05-21-0002</t>
  </si>
  <si>
    <t>26th St @ Riverside Dr</t>
  </si>
  <si>
    <t>05-16-0007</t>
  </si>
  <si>
    <t>IL 56 from IL 59 to IL 50; Cermak Rd./22nd St., Renaissance Blvd (West of) to IL 50 (Cicero Ave.)</t>
  </si>
  <si>
    <t>05-25-0008</t>
  </si>
  <si>
    <t>Pershing Rd - US 34 (Ogden Ave) to W of Central Ave</t>
  </si>
  <si>
    <t>05-20-0014</t>
  </si>
  <si>
    <t>34th Street Road Modernization and Stormwater Management Improvements Phase I Design</t>
  </si>
  <si>
    <t>Road Modernization</t>
  </si>
  <si>
    <t>07-23-0004</t>
  </si>
  <si>
    <t>Natalie Creek Trail Project</t>
  </si>
  <si>
    <t>Blue Island</t>
  </si>
  <si>
    <t>06-24-0044</t>
  </si>
  <si>
    <t>Western Ave - S of Broadway St to I-57</t>
  </si>
  <si>
    <t>06-21-0009</t>
  </si>
  <si>
    <t>79th St - 88th Ave to IL 50 (Cicero Ave)</t>
  </si>
  <si>
    <t>Signal Systems</t>
  </si>
  <si>
    <t>Bridgeview</t>
  </si>
  <si>
    <t>04-19-0010</t>
  </si>
  <si>
    <t>25th Avenue Shared Use Path</t>
  </si>
  <si>
    <t>Broadview</t>
  </si>
  <si>
    <t>04-22-0038</t>
  </si>
  <si>
    <t>21st Street Bridge at Addison Creek Replacement</t>
  </si>
  <si>
    <t>04-24-0021</t>
  </si>
  <si>
    <t>17th Ave - Madison St to 23rd St</t>
  </si>
  <si>
    <t>04-21-0010</t>
  </si>
  <si>
    <t>17th Ave - 14th St to I-290 (Eisenhower Expwy)</t>
  </si>
  <si>
    <t>05-25-0009</t>
  </si>
  <si>
    <t>Maple Avenue Resurfacing Project (LAFO)</t>
  </si>
  <si>
    <t>Brookfield</t>
  </si>
  <si>
    <t>05-22-0012</t>
  </si>
  <si>
    <t>LAFO resurfacing: Brookfield, Woodside, Parkview, Golf, and Grand</t>
  </si>
  <si>
    <t>01-18-0022</t>
  </si>
  <si>
    <t>I-94 Bishop Ford Expwy - W of Martin Luther King Dr to US 6 (159th St)</t>
  </si>
  <si>
    <t>Bridge Routine Maintenance</t>
  </si>
  <si>
    <t>Calumet City</t>
  </si>
  <si>
    <t>07-23-0028</t>
  </si>
  <si>
    <t>I-57 - Under Metra RR N of 127th St &amp; Bike Path N of 107th St</t>
  </si>
  <si>
    <t>Calumet Park</t>
  </si>
  <si>
    <t>01-25-0028</t>
  </si>
  <si>
    <t>Lincoln Park ADA Accessibility Improvements</t>
  </si>
  <si>
    <t>Chicago</t>
  </si>
  <si>
    <t>01-94-0092</t>
  </si>
  <si>
    <t>Chicago Streets for Cycling</t>
  </si>
  <si>
    <t>04-17-0011</t>
  </si>
  <si>
    <t>Des Plaines River Trail from Touhy to North Avenue</t>
  </si>
  <si>
    <t>01-09-0031</t>
  </si>
  <si>
    <t>I-94 I-90 Kennedy Expy from I-94 Edens Expy to Hubbard St</t>
  </si>
  <si>
    <t>01-22-0005</t>
  </si>
  <si>
    <t>I-290 Eisenhower Expwy - At Keeler Ave</t>
  </si>
  <si>
    <t>01-24-0014</t>
  </si>
  <si>
    <t>Ill 1 Halsted St at Little Calumet River</t>
  </si>
  <si>
    <t>02-18-0003</t>
  </si>
  <si>
    <t>I-94 Edens Expwy at Devon Ave</t>
  </si>
  <si>
    <t>01-12-0012</t>
  </si>
  <si>
    <t>Canal Street from Madison Street to Taylor Street (Canal St Viaducts)</t>
  </si>
  <si>
    <t>01-18-0007</t>
  </si>
  <si>
    <t>Congress Pkwy - At Old Post Office</t>
  </si>
  <si>
    <t>01-21-0032</t>
  </si>
  <si>
    <t>I-290 Eisenhower Expwy - At Leavitt St</t>
  </si>
  <si>
    <t>01-25-0020</t>
  </si>
  <si>
    <t>Foster Ave - Over North Shore Chanel</t>
  </si>
  <si>
    <t>01-22-0026</t>
  </si>
  <si>
    <t>Devon Ave - At N Branch Chicago River</t>
  </si>
  <si>
    <t>01-22-0027</t>
  </si>
  <si>
    <t>Lawrence Ave - At Des Plaines River</t>
  </si>
  <si>
    <t>01-22-0028</t>
  </si>
  <si>
    <t>Addison St - At I-90/94 (Kennedy Expwy)</t>
  </si>
  <si>
    <t>01-22-0031</t>
  </si>
  <si>
    <t>Michigan Ave - At I-55 (Stevenson Expwy)</t>
  </si>
  <si>
    <t>04-25-0001</t>
  </si>
  <si>
    <t>I-80 Under Maple Ave/187th St, I-94 EB to I- 55 SB At Archer Ave/ BNSF &amp; ICC RR</t>
  </si>
  <si>
    <t>01-07-0001</t>
  </si>
  <si>
    <t>Southwest Service Improvements / 0186 Major - CREATE 75th Street Corridor Improvement Project - RSP 67</t>
  </si>
  <si>
    <t>01-05-0011</t>
  </si>
  <si>
    <t>CREATE Western Avenue Corridor from Kedzie Interlocking to Thornton Junction</t>
  </si>
  <si>
    <t>01-16-0023</t>
  </si>
  <si>
    <t>US 41(Skokie Hwy.)/I-94 (Edens Expy.), IL 173 to I-90 (Kennedy Expy.)/I-94 (Edens Expy.)</t>
  </si>
  <si>
    <t>Intelligent Transportation Systems</t>
  </si>
  <si>
    <t>01-13-0012</t>
  </si>
  <si>
    <t>US 12 US 20 at Stony Island Ave - RSP 112</t>
  </si>
  <si>
    <t>01-06-0052</t>
  </si>
  <si>
    <t>IL 43 (Harlem Avenue) at 65th Street / BRC RR - RSP 109</t>
  </si>
  <si>
    <t>01-06-0055</t>
  </si>
  <si>
    <t>Columbus Av at BRC RR (GS-11)</t>
  </si>
  <si>
    <t>01-20-0033</t>
  </si>
  <si>
    <t>Lincoln Ave - Indiana Ave to Ill 83 (Sibley Blvd)</t>
  </si>
  <si>
    <t>01-23-0027</t>
  </si>
  <si>
    <t>Ill 171 Archer Ave - S of Ogden Ave to W of Harlem Ave</t>
  </si>
  <si>
    <t>01-20-0018</t>
  </si>
  <si>
    <t>Addison St - Ill 171 (Cumberland Ave) to Forest Preserve Dr</t>
  </si>
  <si>
    <t>10-23-0030</t>
  </si>
  <si>
    <t>US 41/I-94 Skokie Hwy - Park Ave W to I- 90/94 (Kennedy Edens Junction)</t>
  </si>
  <si>
    <t>Safety</t>
  </si>
  <si>
    <t>01-03-0002</t>
  </si>
  <si>
    <t>Stony Island Ave Interconnect</t>
  </si>
  <si>
    <t>07-25-0020</t>
  </si>
  <si>
    <t>Halsted St - At Thorn Creek</t>
  </si>
  <si>
    <t>Chicago Heights</t>
  </si>
  <si>
    <t>07-24-0043</t>
  </si>
  <si>
    <t>Various - at Various Intersection Locations in Cook Co.</t>
  </si>
  <si>
    <t>Chicago Ridge</t>
  </si>
  <si>
    <t>Cicero</t>
  </si>
  <si>
    <t>05-12-0010</t>
  </si>
  <si>
    <t>Joliet Rd at Brainard Rd</t>
  </si>
  <si>
    <t>Countryside</t>
  </si>
  <si>
    <t>05-10-0004</t>
  </si>
  <si>
    <t>55th St from US 12 US 45 US 20 LaGrange Rd to East Ave/Eberly &amp; at US 12/20/45</t>
  </si>
  <si>
    <t>03-96-0021</t>
  </si>
  <si>
    <t>Elgin-O'Hare East Extension from Gary Road to O'Hare West Bypass Elgin O'Hare Western Access (Elgin-O'Hare East Extension &amp; Add Lanes, Western O'Hare Bypass) - RSP 20</t>
  </si>
  <si>
    <t>Countywide (Cook)</t>
  </si>
  <si>
    <t>13-19-0005</t>
  </si>
  <si>
    <t>Illinois Route 64 SMART Corridor (Smith/Kautz Road to Illinois Route 50 - Cicero Avenue)</t>
  </si>
  <si>
    <t>Systems Improvements</t>
  </si>
  <si>
    <t>Crestwood</t>
  </si>
  <si>
    <t>12-24-0026</t>
  </si>
  <si>
    <t>Various - signal modernization at various locations in Cook, &amp; Will</t>
  </si>
  <si>
    <t>Des Plaines</t>
  </si>
  <si>
    <t>03-24-0007</t>
  </si>
  <si>
    <t>Ill 72/83 Higgins Rd - I-290 (Eisenhower Expwy) Ramps (NB) to NW of Landmeier Rd</t>
  </si>
  <si>
    <t>03-18-0014</t>
  </si>
  <si>
    <t>Busse Hwy - US 14 (Miner St) to Touhy Ave</t>
  </si>
  <si>
    <t>03-22-0010</t>
  </si>
  <si>
    <t>Wolf Rd - Ill 58 (Golf Rd) to Touhy Ave</t>
  </si>
  <si>
    <t>03-23-0038</t>
  </si>
  <si>
    <t>Ill 83 Oakton St - Ill 72 (Higgins Rd) to W of Elmhurst Rd</t>
  </si>
  <si>
    <t>Dixmoor</t>
  </si>
  <si>
    <t>Dolton</t>
  </si>
  <si>
    <t>07-25-0016</t>
  </si>
  <si>
    <t>Dolton Ave - 142nd St to I-94 (Bishop Ford Freeway)</t>
  </si>
  <si>
    <t>07-20-0033</t>
  </si>
  <si>
    <t>East Hazel Crest : Center Street - 171st Street to 175th Street</t>
  </si>
  <si>
    <t>East Hazel Crest</t>
  </si>
  <si>
    <t>03-19-0007</t>
  </si>
  <si>
    <t>Wellington and Leicester Culverts over Lake Cosman</t>
  </si>
  <si>
    <t>Elk Grove Village</t>
  </si>
  <si>
    <t>03-20-0037</t>
  </si>
  <si>
    <t>Busse Rd-Landmeier Rd Intersection Resurfacing</t>
  </si>
  <si>
    <t>03-20-0040</t>
  </si>
  <si>
    <t>Tonne Rd from Elk Grove Blvd to Landmeier Rd</t>
  </si>
  <si>
    <t>03-20-0032</t>
  </si>
  <si>
    <t>Tonne Rd-Devon Ave Intersection Resurfacing</t>
  </si>
  <si>
    <t>03-20-0036</t>
  </si>
  <si>
    <t>Arlington Heights Rd-Devon Ave Intersection Resurfacing</t>
  </si>
  <si>
    <t>Elmwood Park</t>
  </si>
  <si>
    <t>04-16-0008</t>
  </si>
  <si>
    <t>Elmwood Park Grand Avenue Grade Separation</t>
  </si>
  <si>
    <t>04-19-0014</t>
  </si>
  <si>
    <t>1) Ill 64 North Ave - I-294 (Tri-State Tollway) DuPage Co Line, 2) Ill 64 N Frontage Rd - 7th Ave (Hospital Entrance) to 5th Ave, 3) Ill 64 North Ave - 25th Ave to 5th Ave; 4) 5th Ave - N River Rd to Ill 64 (North Ave)</t>
  </si>
  <si>
    <t>04-21-0011</t>
  </si>
  <si>
    <t>Ill 43 - Ill 64 (North Ave) to Armitage Ave</t>
  </si>
  <si>
    <t>02-24-0001</t>
  </si>
  <si>
    <t>Lincoln Street Bridge Replacement</t>
  </si>
  <si>
    <t>Evanston</t>
  </si>
  <si>
    <t>02-16-0002</t>
  </si>
  <si>
    <t>Howard Street from Dodge Ave to Custer Ave</t>
  </si>
  <si>
    <t>02-20-0014</t>
  </si>
  <si>
    <t>Green Bay Road Corridor Improvements</t>
  </si>
  <si>
    <t>02-23-0015</t>
  </si>
  <si>
    <t>SRTS Sidewalk Improvements</t>
  </si>
  <si>
    <t>06-14-0012</t>
  </si>
  <si>
    <t>91st St from California Ave to Western Ave</t>
  </si>
  <si>
    <t>Evergreen Park</t>
  </si>
  <si>
    <t>07-23-0027</t>
  </si>
  <si>
    <t>CBD Streetscape Improvements</t>
  </si>
  <si>
    <t>Flossmoor</t>
  </si>
  <si>
    <t>Forest Park</t>
  </si>
  <si>
    <t>05-24-0002</t>
  </si>
  <si>
    <t>46th Street - Harlem Ave to Oak Park Ave</t>
  </si>
  <si>
    <t>Forest View</t>
  </si>
  <si>
    <t>Franklin Park</t>
  </si>
  <si>
    <t>04-24-0034</t>
  </si>
  <si>
    <t>Franklin Park Grand and George Traffic Signal Installation</t>
  </si>
  <si>
    <t>Road Signals &amp; Signs</t>
  </si>
  <si>
    <t>02-20-0005</t>
  </si>
  <si>
    <t>Green Bay Rd - S of Scott Ave to S of Kenilworth Ave</t>
  </si>
  <si>
    <t>Glencoe</t>
  </si>
  <si>
    <t>02-19-0016</t>
  </si>
  <si>
    <t>E. Lake Avenue / Waukegan Road Intersection Improvement</t>
  </si>
  <si>
    <t>Glenview</t>
  </si>
  <si>
    <t>02-24-0003</t>
  </si>
  <si>
    <t>Shermer Road from East Lake Avenue to Golf Road</t>
  </si>
  <si>
    <t>02-25-0004</t>
  </si>
  <si>
    <t>Glenview Road Shermer to Milwaukee</t>
  </si>
  <si>
    <t>07-25-0021</t>
  </si>
  <si>
    <t>Ill 1 Halsted St - Ridge Rd to Strieff Ln</t>
  </si>
  <si>
    <t>Glenwood</t>
  </si>
  <si>
    <t>07-17-0010</t>
  </si>
  <si>
    <t>IL 1 (Halsted St.) at IL 83 (147th St.)</t>
  </si>
  <si>
    <t>Harvey</t>
  </si>
  <si>
    <t>Hazel Crest</t>
  </si>
  <si>
    <t>07-22-0052</t>
  </si>
  <si>
    <t>171st Street Resurfacing (Dixie Highway to Wood Street)</t>
  </si>
  <si>
    <t>08-24-0047</t>
  </si>
  <si>
    <t>Various - signal modernization at various locations in Cook, DuPage, &amp; Kane</t>
  </si>
  <si>
    <t>Hillside</t>
  </si>
  <si>
    <t>03-22-0003</t>
  </si>
  <si>
    <t>Hassell Rd/Stonington Ave/Pembroke Ave Corridor Improvements</t>
  </si>
  <si>
    <t>Hoffman Estates</t>
  </si>
  <si>
    <t>03-24-0008</t>
  </si>
  <si>
    <t>Ill 72 Higgins Rd - Audubon St to Lexington Dr</t>
  </si>
  <si>
    <t>03-22-0044</t>
  </si>
  <si>
    <t>Hassell Rd from Fairway Ct to Rosedale Ln</t>
  </si>
  <si>
    <t>03-12-0016</t>
  </si>
  <si>
    <t>IL 58 Golf Rd from E of Rohrssen Rd to W of Barrington Rd and at Barrington Rd.</t>
  </si>
  <si>
    <t>Homewood</t>
  </si>
  <si>
    <t>05-17-0007</t>
  </si>
  <si>
    <t>Acacia Drive</t>
  </si>
  <si>
    <t>Indian Head Park</t>
  </si>
  <si>
    <t>06-15-0012</t>
  </si>
  <si>
    <t>I-294 NB at 88th Ave Archer Rd (Entrance Ramp)</t>
  </si>
  <si>
    <t>New/Expanded Interchange</t>
  </si>
  <si>
    <t>Justice</t>
  </si>
  <si>
    <t>Kenilworth</t>
  </si>
  <si>
    <t>05-22-0018</t>
  </si>
  <si>
    <t>US 34 Ogden Ave - At IHB RR</t>
  </si>
  <si>
    <t>La Grange</t>
  </si>
  <si>
    <t>07-24-0012</t>
  </si>
  <si>
    <t>Stony Island Avenue Street Resurfacing</t>
  </si>
  <si>
    <t>Lansing</t>
  </si>
  <si>
    <t>06-20-0010</t>
  </si>
  <si>
    <t>State Street Resurfacing</t>
  </si>
  <si>
    <t>Lemont</t>
  </si>
  <si>
    <t>Lincolnwood</t>
  </si>
  <si>
    <t>02-24-0009</t>
  </si>
  <si>
    <t>Devon Ave - Kilpatrick Ave to US 41 (Lincoln Ave)</t>
  </si>
  <si>
    <t>02-16-0004</t>
  </si>
  <si>
    <t>Devon Ave from Lincoln Ave to McCormick Blvd</t>
  </si>
  <si>
    <t>02-21-0005</t>
  </si>
  <si>
    <t>Devon Ave - Ill 50 (Cicero Ave) to Kenton Ave/Lemont Ave</t>
  </si>
  <si>
    <t>Lynwood</t>
  </si>
  <si>
    <t>Lyons</t>
  </si>
  <si>
    <t>07-24-0037</t>
  </si>
  <si>
    <t>207th Street Resurfacing</t>
  </si>
  <si>
    <t>Matteson</t>
  </si>
  <si>
    <t>07-24-0038</t>
  </si>
  <si>
    <t>Main Street Resurfacing</t>
  </si>
  <si>
    <t>04-24-0033</t>
  </si>
  <si>
    <t>Maywood SRTS Garfield Elementary School</t>
  </si>
  <si>
    <t>Maywood</t>
  </si>
  <si>
    <t>04-19-0009</t>
  </si>
  <si>
    <t>Maywood 19th Avenue Reconstruction - Madison Street to Oak Street</t>
  </si>
  <si>
    <t>04-20-0032</t>
  </si>
  <si>
    <t>9th Avenue LAFO - Main Street to Chicago Avenue</t>
  </si>
  <si>
    <t>McCook</t>
  </si>
  <si>
    <t>08-24-0048</t>
  </si>
  <si>
    <t>Various - signal modernization at various locations in Cook, &amp; DuPage</t>
  </si>
  <si>
    <t>05-19-0001</t>
  </si>
  <si>
    <t>55th Street Transit Access Improvements</t>
  </si>
  <si>
    <t>Transit Station/Stop Improvements</t>
  </si>
  <si>
    <t>04-17-0002</t>
  </si>
  <si>
    <t>Melrose Park - Broadway Avenue Bridge</t>
  </si>
  <si>
    <t>Melrose Park</t>
  </si>
  <si>
    <t>04-18-0006</t>
  </si>
  <si>
    <t>Armitage Avenue Reconstruction</t>
  </si>
  <si>
    <t>07-19-0032</t>
  </si>
  <si>
    <t>Midlothian Metra Station Access Improvements</t>
  </si>
  <si>
    <t>Midlothian</t>
  </si>
  <si>
    <t>07-22-0082</t>
  </si>
  <si>
    <t>Ill 50 Cicero Ave - Ill 83 (147th St) to 157th St</t>
  </si>
  <si>
    <t>Morton Grove</t>
  </si>
  <si>
    <t>02-25-0005</t>
  </si>
  <si>
    <t>Beckwith Road from Shermer Road to Austin Avenue</t>
  </si>
  <si>
    <t>02-25-0006</t>
  </si>
  <si>
    <t>Gross Point Road from Oakton Street to Main Street</t>
  </si>
  <si>
    <t>02-25-0007</t>
  </si>
  <si>
    <t>Central Avenue from Dempster Street to Golf Road</t>
  </si>
  <si>
    <t>02-25-0008</t>
  </si>
  <si>
    <t>Shermer Road from Harlem Avenue to Golf Road</t>
  </si>
  <si>
    <t>02-13-0002</t>
  </si>
  <si>
    <t>Austin Ave. from Lincoln Ave. to Oakton St.</t>
  </si>
  <si>
    <t>03-21-0007</t>
  </si>
  <si>
    <t>Algonquin Road Bike Path from Dearborn Ct to Elmhurst Rd</t>
  </si>
  <si>
    <t>Mount Prospect</t>
  </si>
  <si>
    <t>03-23-0036</t>
  </si>
  <si>
    <t>Melas-Meadows Pedestrian Bridge</t>
  </si>
  <si>
    <t>03-20-0050</t>
  </si>
  <si>
    <t>Rand Rd-IL 83-Kensington Rd Intersection Improvements</t>
  </si>
  <si>
    <t>03-19-0011</t>
  </si>
  <si>
    <t>Rand-Central-Mount Prospect Road Intersections</t>
  </si>
  <si>
    <t>03-22-0028</t>
  </si>
  <si>
    <t>Schoenbeck Rd from Camp McDonald Rd to US 12 Rand Rd</t>
  </si>
  <si>
    <t>03-22-0015</t>
  </si>
  <si>
    <t>Ill 21 Milwaukee Ave - At US 14 (Dempster St)</t>
  </si>
  <si>
    <t>Niles</t>
  </si>
  <si>
    <t>Norridge</t>
  </si>
  <si>
    <t>04-22-0044</t>
  </si>
  <si>
    <t>26th St - At Des Plaines River</t>
  </si>
  <si>
    <t>North Riverside</t>
  </si>
  <si>
    <t>04-22-0045</t>
  </si>
  <si>
    <t>Des Plaines Avenue from 26th Street to Cermak Road</t>
  </si>
  <si>
    <t>Transportation Enhancements</t>
  </si>
  <si>
    <t>Northbrook</t>
  </si>
  <si>
    <t>02-22-0013</t>
  </si>
  <si>
    <t>Shermer Road from Willow Rd to Walters Ave</t>
  </si>
  <si>
    <t>Northfield</t>
  </si>
  <si>
    <t>04-19-0012</t>
  </si>
  <si>
    <t>Parkview/Palmer Bridge</t>
  </si>
  <si>
    <t>Northlake</t>
  </si>
  <si>
    <t>04-20-0020</t>
  </si>
  <si>
    <t>Traffic Signal Modernization at Wolf Road and Wiltse Drive</t>
  </si>
  <si>
    <t>04-20-0019</t>
  </si>
  <si>
    <t>Traffic Signal Modernization at Wolf Road and Palmer Avenue</t>
  </si>
  <si>
    <t>04-21-0012</t>
  </si>
  <si>
    <t>US 20 Lake St - I-294 (Tri-State Tollway) to Wolf Rd</t>
  </si>
  <si>
    <t>Oak Forest</t>
  </si>
  <si>
    <t>Oak Lawn</t>
  </si>
  <si>
    <t>04-24-0029</t>
  </si>
  <si>
    <t>Home Avenue Pedestrian Bridge over I-290</t>
  </si>
  <si>
    <t>Oak Park</t>
  </si>
  <si>
    <t>06-00-0042</t>
  </si>
  <si>
    <t>143rd Street from Wolf Road to US 45 LaGrange Rd</t>
  </si>
  <si>
    <t>Orland Park</t>
  </si>
  <si>
    <t>06-23-0015</t>
  </si>
  <si>
    <t>US 6 Southwest Hwy - S of Wolf Rd to Will- Cook Rd</t>
  </si>
  <si>
    <t>06-16-0009</t>
  </si>
  <si>
    <t>John Humphrey Drive at 143rd St</t>
  </si>
  <si>
    <t>Palatine</t>
  </si>
  <si>
    <t>03-19-0020</t>
  </si>
  <si>
    <t>North Baldwin Rd over Buffalo Creek</t>
  </si>
  <si>
    <t>03-19-0038</t>
  </si>
  <si>
    <t>Ill 68 Dundee Rd - E Branch Salt Creek 0.6 Mi E of Quentin Rd</t>
  </si>
  <si>
    <t>06-18-0012</t>
  </si>
  <si>
    <t>Cal Sag Trail and Parking Lot at Lake Katherine</t>
  </si>
  <si>
    <t>Palos Heights</t>
  </si>
  <si>
    <t>06-17-0002</t>
  </si>
  <si>
    <t>Palos Hills, Roberts Road at 111th Street</t>
  </si>
  <si>
    <t>Palos Hills</t>
  </si>
  <si>
    <t>06-15-0022</t>
  </si>
  <si>
    <t>123rd St Over Mill Creek and between 93rd Ave and Hobart Ave</t>
  </si>
  <si>
    <t>Palos Park</t>
  </si>
  <si>
    <t>07-22-0086</t>
  </si>
  <si>
    <t>Western Ave - At Thorn Creek</t>
  </si>
  <si>
    <t>Park Forest</t>
  </si>
  <si>
    <t>07-20-0049</t>
  </si>
  <si>
    <t>Park Forest: Westwood / Norwood Drive - Sauk Trail to Western Ave</t>
  </si>
  <si>
    <t>Park Ridge</t>
  </si>
  <si>
    <t>03-24-0009</t>
  </si>
  <si>
    <t>Dee Road Resurfacing</t>
  </si>
  <si>
    <t>03-22-0009</t>
  </si>
  <si>
    <t>Prospect Heights Metra Station and Pace Route Access Improvements</t>
  </si>
  <si>
    <t>Prospect Heights</t>
  </si>
  <si>
    <t>Richton Park</t>
  </si>
  <si>
    <t>07-09-0025</t>
  </si>
  <si>
    <t>IL 50 Cicero Ave from N of Steger Rd (Village Limits) to University Pkwy</t>
  </si>
  <si>
    <t>River Forest</t>
  </si>
  <si>
    <t>River Grove</t>
  </si>
  <si>
    <t>04-23-0002</t>
  </si>
  <si>
    <t>Ill 171 Thatcher Ave - S of Belmont Ave</t>
  </si>
  <si>
    <t>07-12-0006</t>
  </si>
  <si>
    <t>IL 1 Halsted St over IHB Railroad over CSX Railroad</t>
  </si>
  <si>
    <t>Riverdale</t>
  </si>
  <si>
    <t>07-24-0003</t>
  </si>
  <si>
    <t>Ill 1 Halsted St - Over IHB RR &amp; Over CSX RR</t>
  </si>
  <si>
    <t>Robbins</t>
  </si>
  <si>
    <t>03-22-0002</t>
  </si>
  <si>
    <t>Hicks Rd/Euclid Rd Bike Path</t>
  </si>
  <si>
    <t>Rolling Meadows</t>
  </si>
  <si>
    <t>03-21-0010</t>
  </si>
  <si>
    <t>Meadowbrook Drive over Salt Creek</t>
  </si>
  <si>
    <t>03-20-0052</t>
  </si>
  <si>
    <t>Weber Dr from Central Rd to Algonquin Rd</t>
  </si>
  <si>
    <t>Rosemont</t>
  </si>
  <si>
    <t>04-19-0001</t>
  </si>
  <si>
    <t>Rosemont Traffic Signals and Pedestrian Improvements</t>
  </si>
  <si>
    <t>07-16-0001</t>
  </si>
  <si>
    <t>Sauk Village Multi-use Path</t>
  </si>
  <si>
    <t>Sauk Village</t>
  </si>
  <si>
    <t>03-19-0022</t>
  </si>
  <si>
    <t>Golf Road and Meacham Road Multiuse Path</t>
  </si>
  <si>
    <t>Schaumburg</t>
  </si>
  <si>
    <t>03-16-0015</t>
  </si>
  <si>
    <t>Roselle Rd from Central Rd to Hillcrest Blvd</t>
  </si>
  <si>
    <t>08-22-0042</t>
  </si>
  <si>
    <t>Ill 19 Irving Park Rd - E of Wise Rd to Roselle Rd</t>
  </si>
  <si>
    <t>03-20-0041</t>
  </si>
  <si>
    <t>Woodfield Rd from Plum Grove Rd to Meacham Rd</t>
  </si>
  <si>
    <t>03-25-0002</t>
  </si>
  <si>
    <t>McConnor Parkway Reconstruction from Meacham Rd to Roosevelt Blvd</t>
  </si>
  <si>
    <t>03-25-0003</t>
  </si>
  <si>
    <t>McConnor Parkway Reconstruction Roosevelt to Golf</t>
  </si>
  <si>
    <t>03-03-0102</t>
  </si>
  <si>
    <t>IL 62 Algonquin Rd from Plum Grove Rd to IL Route 53</t>
  </si>
  <si>
    <t>03-20-0042</t>
  </si>
  <si>
    <t>Weathersfield Way from Braintree Dr to Salem Dr</t>
  </si>
  <si>
    <t>03-24-0017</t>
  </si>
  <si>
    <t>Salem Drive Reconstruction</t>
  </si>
  <si>
    <t>Schiller Park</t>
  </si>
  <si>
    <t>04-25-0013</t>
  </si>
  <si>
    <t>Ill 19 Irving Park Rd - at Des Plaines River</t>
  </si>
  <si>
    <t>04-16-0002</t>
  </si>
  <si>
    <t>Irving Park Road at Old River Road</t>
  </si>
  <si>
    <t>02-14-0003</t>
  </si>
  <si>
    <t>Church St. from Linder Av to Mccormick Blv</t>
  </si>
  <si>
    <t>Skokie</t>
  </si>
  <si>
    <t>02-23-0016</t>
  </si>
  <si>
    <t>US 41 Skokie Blvd - S of Old Glenview Rd to N of Golf Rd</t>
  </si>
  <si>
    <t>02-97-0006</t>
  </si>
  <si>
    <t>Old Orchard Rd from Woods Drive to Skokie Blvd (HPP1809)</t>
  </si>
  <si>
    <t>02-21-0004</t>
  </si>
  <si>
    <t>US 41 at Church St and Church St at Niles Center Rd</t>
  </si>
  <si>
    <t>02-21-0006</t>
  </si>
  <si>
    <t>US 41 at Main St</t>
  </si>
  <si>
    <t>13-16-0005</t>
  </si>
  <si>
    <t>Barrington Rd from IL 62 to Central Rd</t>
  </si>
  <si>
    <t>South Barrington</t>
  </si>
  <si>
    <t>07-25-0003</t>
  </si>
  <si>
    <t>State St - Sauk Trail to 34th St/ Steger Rd</t>
  </si>
  <si>
    <t>South Chicago Heights</t>
  </si>
  <si>
    <t>07-12-0007</t>
  </si>
  <si>
    <t>I-94 Bishop Ford Expy - At US 6 (159th St), at 154th St &amp; Michigan City Rd</t>
  </si>
  <si>
    <t>South Holland</t>
  </si>
  <si>
    <t>07-24-0011</t>
  </si>
  <si>
    <t>Taft Drive (FAU 1044) Resurfacing</t>
  </si>
  <si>
    <t>Stickney</t>
  </si>
  <si>
    <t>03-21-0003</t>
  </si>
  <si>
    <t>IL 59 Bicycle and Pedestrian Overpass</t>
  </si>
  <si>
    <t>Streamwood</t>
  </si>
  <si>
    <t>03-09-0073</t>
  </si>
  <si>
    <t>IL 19 Irving Park Road from Schaumburg Road to Bartlett Road</t>
  </si>
  <si>
    <t>05-22-0019</t>
  </si>
  <si>
    <t>Ill 171 Archer Ave - At IHB RR</t>
  </si>
  <si>
    <t>Summit</t>
  </si>
  <si>
    <t>15-16-0006</t>
  </si>
  <si>
    <t>IL 171 (Archer Ave.) At 95th St.</t>
  </si>
  <si>
    <t>Unincorporated (Cook)</t>
  </si>
  <si>
    <t>15-24-0002</t>
  </si>
  <si>
    <t>Ill 43 Harlem Ave at 143rd St</t>
  </si>
  <si>
    <t>04-21-0016</t>
  </si>
  <si>
    <t>Westchester Wedgwood Avenue Bridge</t>
  </si>
  <si>
    <t>Westchester</t>
  </si>
  <si>
    <t>04-16-0005</t>
  </si>
  <si>
    <t>Balmoral Ave from Roosevelt Rd to Canterbury St - Westchester</t>
  </si>
  <si>
    <t>05-16-0008</t>
  </si>
  <si>
    <t>US 34 at Wolf Rd, Saratoga Ave &amp; Main St and Ill 59 At Main St</t>
  </si>
  <si>
    <t>Western Springs</t>
  </si>
  <si>
    <t>05-24-0001</t>
  </si>
  <si>
    <t>Hampton Avenue Resurfacing (Hillgrove Avenue to Ogden Avenue)</t>
  </si>
  <si>
    <t>05-24-0004</t>
  </si>
  <si>
    <t>Burlington Avenue Resurfacing (Central Avenue to Wolf Road)</t>
  </si>
  <si>
    <t>Wheeling</t>
  </si>
  <si>
    <t>Wilmette</t>
  </si>
  <si>
    <t>02-16-0005</t>
  </si>
  <si>
    <t>US 41 Skokie Blvd at Lake Ave</t>
  </si>
  <si>
    <t>Winnetka</t>
  </si>
  <si>
    <t>Worth</t>
  </si>
  <si>
    <t>Obligated_Amount_Sum</t>
  </si>
  <si>
    <t>Project_Count</t>
  </si>
  <si>
    <t>Project Description</t>
  </si>
  <si>
    <t>Project Scope (Work Types)</t>
  </si>
  <si>
    <t>Programming Agency</t>
  </si>
  <si>
    <t>Location: County</t>
  </si>
  <si>
    <t>Location: Municipality</t>
  </si>
  <si>
    <t>Federal Project</t>
  </si>
  <si>
    <t>State Job</t>
  </si>
  <si>
    <t>Federal Program Code</t>
  </si>
  <si>
    <t>Obligated Amount ($)</t>
  </si>
  <si>
    <t>Street Design Relevant</t>
  </si>
  <si>
    <t>Signal Interconnect project, Stony Island Ave from 69th St to 95th St. Includes the intersections at Cornell Dr &amp; 57th Dr.</t>
  </si>
  <si>
    <t>[S-TIM] Signals - Interconnects And Timing</t>
  </si>
  <si>
    <t>CDOT</t>
  </si>
  <si>
    <t>Cook</t>
  </si>
  <si>
    <t>CKIJ135</t>
  </si>
  <si>
    <t>C-88-062-06</t>
  </si>
  <si>
    <t>Y400</t>
  </si>
  <si>
    <t>CREATE WA1-WA5, WA7, WA10,WA11</t>
  </si>
  <si>
    <t>[A-LTS] Safety - Lighting, [E-ADAIMP] Improve ADA Infrastructure (Roadway), [H-RS] Highway/Road - Resurface (with No Lane Widening), [H- STWTR] Highway/Road - Stormwater Infrastucture, [R-IMP] Rail Line - Improve Line, [S-MOD] Signals - Modernization, [U-SIGS] CPS - Signals, [Z- OTHEX] Miscellaneous - Exempt Projects</t>
  </si>
  <si>
    <t>IDOT OIPI</t>
  </si>
  <si>
    <t>0020063</t>
  </si>
  <si>
    <t>D-20-054-12</t>
  </si>
  <si>
    <t>LY40</t>
  </si>
  <si>
    <t>2UBT352</t>
  </si>
  <si>
    <t>C-20-004-25</t>
  </si>
  <si>
    <t>Y430</t>
  </si>
  <si>
    <t>CREATE GS-11</t>
  </si>
  <si>
    <t>[H-RRGS] Highway/Road - Railroad Grade Separation</t>
  </si>
  <si>
    <t>1TM1578</t>
  </si>
  <si>
    <t>D-88-001-20</t>
  </si>
  <si>
    <t>Y460</t>
  </si>
  <si>
    <t>J86L198</t>
  </si>
  <si>
    <t>C-88-001-22</t>
  </si>
  <si>
    <t>Bridge Deck Overlay of thirty-eight structures, Bridge Joint Repair, Patching, Sign Maintenance, RR Flagger</t>
  </si>
  <si>
    <t>[A-OTH] Safety - Other, [B-REPAIR] Bridge/Structure - Reconst/Rehab No Chng in #, Wdth, or Lane, [H-PATCH] Highway/Road - Pavement Patching, [Z-OTHEX] Miscellaneous - Exempt Projects</t>
  </si>
  <si>
    <t>IDOT D1 Hwys</t>
  </si>
  <si>
    <t>WKBE580</t>
  </si>
  <si>
    <t>C-91-194-20</t>
  </si>
  <si>
    <t>Y001</t>
  </si>
  <si>
    <t>Reconstruction of the Canal Street viaducts over Union Station and railroad tracks.</t>
  </si>
  <si>
    <t>[A-LTS] Safety - Lighting, [A-PMRK] Safety - Pavement Marking, [B-REPAIR] Bridge/Structure - Reconst/Rehab No Chng in #, Wdth, or Lane, [B- REPLACE] Bridge/Structure - Replace, [E-ADAIMP] Improve ADA Infrastructure (Roadway), [E-ADAMAINT] Maintain/Repair ADA Infrastructure (Roadway), [E-BIKEMAINT] Maintain Bicycle Facility, [H- ALIGN] Highway/Road - Vertical/Horizontal Alignment (e.g. Clearance), [H- RS] Highway/Road - Resurface (with No Lane Widening), [H-UTIL] Highway/Road - Utility Relocation, [S-MOD] Signals - Modernization, [S- TIM] Signals - Interconnects And Timing</t>
  </si>
  <si>
    <t>K6CZ725</t>
  </si>
  <si>
    <t>C-88-002-19</t>
  </si>
  <si>
    <t>Y230</t>
  </si>
  <si>
    <t>LOWER ROADWAY; PUMP STATION; RAILROAD RELOCATION</t>
  </si>
  <si>
    <t>[A-LTS] Safety - Lighting, [B-REPLACE] Bridge/Structure - Replace, [H- INTRC] Highway/Road - Intersection Reconstruction, [Z-OTHEX] Miscellaneous - Exempt Projects</t>
  </si>
  <si>
    <t>8U4X907</t>
  </si>
  <si>
    <t>D-91-364-20</t>
  </si>
  <si>
    <t>Fiber Optic Network (-7000), Surveillance &amp; Changeable Message Signs (- 1000, -3000, -5000), Signing New (-3000), Lighting (-1001, -4100, -4200, - 6000), ITS</t>
  </si>
  <si>
    <t>[A-LTS] Safety - Lighting, [H-INFO] Highway/Road - Directional/Informational Signs, [Z-OTHEX] Miscellaneous - Exempt Projects</t>
  </si>
  <si>
    <t>Cook, Lake</t>
  </si>
  <si>
    <t>Chicago, Gurnee, Highland Park, Lake Bluff, Lake Forest, Lincolnwood, Morton Grove, North Chicago, Northbrook, Northfield, Park City, Skokie, Wadsworth, Waukegan, Wilmette</t>
  </si>
  <si>
    <t>B3QI749</t>
  </si>
  <si>
    <t>C-91-041-21</t>
  </si>
  <si>
    <t>YS30</t>
  </si>
  <si>
    <t>FZAB086</t>
  </si>
  <si>
    <t>C-91-105-17</t>
  </si>
  <si>
    <t>Bridge Superstructure, Bridge New Deck</t>
  </si>
  <si>
    <t>[B-SUP] Bridge Superstructure - Repair/Rehab, [Z-OTHEX] Miscellaneous - Exempt Projects</t>
  </si>
  <si>
    <t>VWWD010</t>
  </si>
  <si>
    <t>P-91-037-18</t>
  </si>
  <si>
    <t>Z001</t>
  </si>
  <si>
    <t>Bridge Deck Overlay, Bridge Joint Replace/Repair, RR Flagger, Resurfacing (Int-2nd), Drainage, Culvert Repair, Bridge Superstructure Rehab, Patching, Lighting</t>
  </si>
  <si>
    <t>[A-LTS] Safety - Lighting, [A-OTH] Safety - Other, [B-DECK] Bridge Deck - Repair/Rehab, [B-OVR] Bridge Deck - Overlay, [B-SUP] Bridge Superstructure - Repair/Rehab, [H-CLVT] Highway/Road - Repair/Replace Culvert, [H-PATCH] Highway/Road - Pavement Patching, [H-RS] Highway/Road - Resurface (with No Lane Widening), [Z-OTHEX] Miscellaneous - Exempt Projects</t>
  </si>
  <si>
    <t>Calumet City, Chicago, Dolton, South Holland</t>
  </si>
  <si>
    <t>2B1H072</t>
  </si>
  <si>
    <t>C-91-249-24</t>
  </si>
  <si>
    <t>B6PK600</t>
  </si>
  <si>
    <t>P-91-050-18</t>
  </si>
  <si>
    <t>Z0E1</t>
  </si>
  <si>
    <t>Standard Overlay, ADA Improvements</t>
  </si>
  <si>
    <t>[E-ADAMAINT] Maintain/Repair ADA Infrastructure (Roadway), [H-RS] Highway/Road - Resurface (with No Lane Widening)</t>
  </si>
  <si>
    <t>E8QB871</t>
  </si>
  <si>
    <t>C-91-206-24</t>
  </si>
  <si>
    <t>Bridge Superstructure Replacement, Lighting, ADA Improvements</t>
  </si>
  <si>
    <t>[A-LTS] Safety - Lighting, [B-REPLACE] Bridge/Structure - Replace, [B-SUP] Bridge Superstructure - Repair/Rehab, [E-ADAMAINT] Maintain/Repair ADA Infrastructure (Roadway)</t>
  </si>
  <si>
    <t>CIH0915</t>
  </si>
  <si>
    <t>C-91-242-21</t>
  </si>
  <si>
    <t>Bridge Joint Replace/Repair, Bridge Deck Overlay</t>
  </si>
  <si>
    <t>[B-OVR] Bridge Deck - Overlay, [B-REPAIR] Bridge/Structure - Reconst/Rehab No Chng in #, Wdth, or Lane</t>
  </si>
  <si>
    <t>VIFN450</t>
  </si>
  <si>
    <t>C-91-345-22</t>
  </si>
  <si>
    <t>Y114</t>
  </si>
  <si>
    <t>ZPMP576</t>
  </si>
  <si>
    <t>C-91-347-22</t>
  </si>
  <si>
    <t>47AB268</t>
  </si>
  <si>
    <t>C-91-348-22</t>
  </si>
  <si>
    <t>RG6J998</t>
  </si>
  <si>
    <t>C-91-358-22</t>
  </si>
  <si>
    <t>Smart Overlay</t>
  </si>
  <si>
    <t>[H-RS] Highway/Road - Resurface (with No Lane Widening)</t>
  </si>
  <si>
    <t>Chicago, Lyons, McCook, Summit</t>
  </si>
  <si>
    <t>T687197</t>
  </si>
  <si>
    <t>C-91-042-24</t>
  </si>
  <si>
    <t>01-25-0004</t>
  </si>
  <si>
    <t>I-90 Chicago Electric Vehicle Charging Station</t>
  </si>
  <si>
    <t>NEVI funds for electric vehicle charging station at 4306 S. Wentworth Ave.</t>
  </si>
  <si>
    <t>Emissions Reduction</t>
  </si>
  <si>
    <t>[H-EVINF] Highway/Road - EV Infrastructure</t>
  </si>
  <si>
    <t>IDOT OP&amp;P</t>
  </si>
  <si>
    <t>600Q735</t>
  </si>
  <si>
    <t>N-75-010-25</t>
  </si>
  <si>
    <t>Y130</t>
  </si>
  <si>
    <t>Various ADA accessibility improvements in Lincoln Park.</t>
  </si>
  <si>
    <t>[E-ADAIMP] Improve ADA Infrastructure (Roadway), [E-ADANEW] New ADA Infrastructure (Roadway)</t>
  </si>
  <si>
    <t>323D016</t>
  </si>
  <si>
    <t>A-91-002-26</t>
  </si>
  <si>
    <t>Y928</t>
  </si>
  <si>
    <t>On-street bikeway installations, lane striping, road diet (Canal St), parking lane relocations.</t>
  </si>
  <si>
    <t>[A-MED] Safety - Median Projects, [A-OTH] Safety - Other, [A-PMRK] Safety - Pavement Marking, [A-RDIET] Safety - Road Diet, [E-BIKEIMP] Improve Bicycle Facility, [E-BIKE] Bicycle Facility</t>
  </si>
  <si>
    <t>STN5702</t>
  </si>
  <si>
    <t>N-75-001-20</t>
  </si>
  <si>
    <t>Z400</t>
  </si>
  <si>
    <t>Partial-width reconstruction, sewer separation, intersection improvement at Oakton St., and mill and HMA overlay</t>
  </si>
  <si>
    <t>[H-INTRC] Highway/Road - Intersection Reconstruction, [H-RCINKND] Highway/Road - Reconstruct in Kind</t>
  </si>
  <si>
    <t>North Shore Council</t>
  </si>
  <si>
    <t>4003172</t>
  </si>
  <si>
    <t>D-91-225-13</t>
  </si>
  <si>
    <t>Z030</t>
  </si>
  <si>
    <t>Bike lanes</t>
  </si>
  <si>
    <t>[A-PMRK] Safety - Pavement Marking, [E-BIKENEW] New Bicycle Facility, [E- PEDIMP] Improve Pedestrian Facility, [H-RL] Highway/Road - Remove Lanes, [S-MOD] Signals - Modernization</t>
  </si>
  <si>
    <t>940K189</t>
  </si>
  <si>
    <t>C-91-382-19</t>
  </si>
  <si>
    <t>Y301</t>
  </si>
  <si>
    <t>Road resurfacing with bicycle and pedestrian improvements</t>
  </si>
  <si>
    <t>[D-FAC] ADA - Transit Facility Improvements, [E-BIKEIMP] Improve Bicycle Facility, [E-BIKEPARK] Bicycle Parking, [E-LS] Enhancement - Landscaping, [E-PEDIMP] Improve Pedestrian Facility, [H-INTIMP] Highway/Road - Intersection Improvement, [H-RS] Highway/Road - Resurface (with No Lane Widening), [S-MOD] Signals - Modernization</t>
  </si>
  <si>
    <t>CJ5G950</t>
  </si>
  <si>
    <t>C-91-188-18</t>
  </si>
  <si>
    <t>Z23E</t>
  </si>
  <si>
    <t>Intersection widening to provide right turn lanes on all four approaches, traffic signal modernization, resurfacing, ADA improvements, update intersection lighting and transition lighting, add pedestrian signals. The existing lanes (through and left turn) will be changed from 12 width to through lanes (11), left turn lanes (10), new right turn lanes (10).</t>
  </si>
  <si>
    <t>[A-LTS] Safety - Lighting, [E-ADAMAINT] Maintain/Repair ADA Infrastructure (Roadway), [E-PEDIMP] Improve Pedestrian Facility, [H-C/G] Highway/Road - Curb And Gutter, [H-INTIMP] Highway/Road - Intersection Improvement</t>
  </si>
  <si>
    <t>711V952</t>
  </si>
  <si>
    <t>D-91-008-23</t>
  </si>
  <si>
    <t>Resurfacing and intersection reconstruction/improvements, including bus stops, lighting, sidewalk, curb and gutter, pedestrian signals at Green Bay Rd and Lincoln St, Central St, Livingston St, and Isabella St. Bicycle parking and intersection improvements at Central St and Broadway Ave. Realignment of Poplar/Broadway/Green Bay intersection. Signal interconnect on Green Bay from McCormick Blvd to Isabella St.</t>
  </si>
  <si>
    <t>[A-LTS] Safety - Lighting, [A-PMRK] Safety - Pavement Marking, [E-ADAIMP] Improve ADA Infrastructure (Roadway), [E-ADANEW] New ADA Infrastructure (Roadway), [E-LS] Enhancement - Landscaping, [H-C/G] Highway/Road - Curb And Gutter, [H-INTIMP] Highway/Road - Intersection Improvement, [H-PATCH] Highway/Road - Pavement Patching, [H-RCNST] Highway/Road - Reconst with Change in Use or Width Of Lane, [H-RS] Highway/Road - Resurface (with No Lane Widening), [S-MOD] Signals - Modernization, [S-TIM] Signals - Interconnects And Timing</t>
  </si>
  <si>
    <t>IKT1871</t>
  </si>
  <si>
    <t>C-91-169-21</t>
  </si>
  <si>
    <t>Interconnect the traffic signal at Church St and Niles Center Rd to the existing signal system at US 41 and Church St (ECON 2).</t>
  </si>
  <si>
    <t>L2HA083</t>
  </si>
  <si>
    <t>C-91-253-22</t>
  </si>
  <si>
    <t>Project is to add the intersections of IL 50 at Devon Ave and Devon Ave at Kenton Ave/ Lemont Ave to the existing traffic signal interconnect system - Eagle 1L. The existing system runs along IL 50 from Devon Ave to Pratt Ave.</t>
  </si>
  <si>
    <t>Project is to add the intersection of US 41 (Skokie Blvd) at Main St to the north end of the existing traffic signal interconnect system - Eagle 6P. The existing system runs along US 41 (Skokie Blvd) from Oakton St to Searle Pkwy and along Oakton St from La Crosse Ave to US 41 and includes three (3) intersections.</t>
  </si>
  <si>
    <t>Project work will include pavement milling, pavement patching (base repair), placement of new HMA leveling binder and surface layers, and road diet configuration (narrow lanes from 12' to 11', no change to number or use of lanes). New thermoplastic pavement markings, sidewalk/ADA ramp repair/improvements at select locations. Concrete side walk will be replaced by 10 foot wide HMA Side Path east of Shermer Road.</t>
  </si>
  <si>
    <t>[A-PMRK] Safety - Pavement Marking, [E-ADAMAINT] Maintain/Repair ADA Infrastructure (Roadway), [E-SharedNew] New Shared Use Path, [H- PATCH] Highway/Road - Pavement Patching, [H-RS] Highway/Road - Resurface (with No Lane Widening)</t>
  </si>
  <si>
    <t>TFZT648</t>
  </si>
  <si>
    <t>C-91-193-24</t>
  </si>
  <si>
    <t>Due to the need to correct trip hazards, non-compliant ADA conditions, ponding and icing conditions on existing sidewalks, the purpose of the project is to replace those sidewalk slabs that are in poor condition or are in non-compliance with current ADA standards. The goal is to encourage and channel more students to walk to school along the walk routes and thereby reduce the number of vehicle drop-offs and pick-ups at schools.</t>
  </si>
  <si>
    <t>[E-ADAIMP] Improve ADA Infrastructure (Roadway), [E-PEDMAINT] Maintain Pedestrian Facility, [E-SRTS] Safe Routes to School</t>
  </si>
  <si>
    <t>XF0D103</t>
  </si>
  <si>
    <t>C-91-148-24</t>
  </si>
  <si>
    <t>Y300</t>
  </si>
  <si>
    <t>Add turn lanes, add through lane at intersection</t>
  </si>
  <si>
    <t>[H-AL] Highway/Road - Add Lanes, [H-INTRC] Highway/Road - Intersection Reconstruction, [H-RCNST] Highway/Road - Reconst with Change in Use or Width Of Lane, [S-MOD] Signals - Modernization</t>
  </si>
  <si>
    <t>Northwest Council</t>
  </si>
  <si>
    <t>3FXK479</t>
  </si>
  <si>
    <t>R-90-021-16</t>
  </si>
  <si>
    <t>Reconstruction of IL 62 @ New Wilke intersection, lengthening of left turn storage bays, addition of westbound right turn lane, possible addition of eastbound left turn lane, traffic signal modernization including pedestrian countdown timers, addition of shared use path on east side of New Wilke.</t>
  </si>
  <si>
    <t>[E-ADAIMP] Improve ADA Infrastructure (Roadway), [E-PEDIMP] Improve Pedestrian Facility, [E-SharedNew] New Shared Use Path, [H-INTIMP] Highway/Road - Intersection Improvement, [H-INTRC] Highway/Road - Intersection Reconstruction, [S-MOD] Signals - Modernization, [S-TIM] Signals - Interconnects And Timing</t>
  </si>
  <si>
    <t>Arlington Heights, Rolling Meadows</t>
  </si>
  <si>
    <t>GTPH008</t>
  </si>
  <si>
    <t>D-91-091-22</t>
  </si>
  <si>
    <t>PD79015</t>
  </si>
  <si>
    <t>C-91-102-22</t>
  </si>
  <si>
    <t>Widening and reconstruction, intersection improvements, add lighting</t>
  </si>
  <si>
    <t>[A-LTS] Safety - Lighting, [A-PMRK] Safety - Pavement Marking, [E-ADAIMP] Improve ADA Infrastructure (Roadway), [E-ADANEW] New ADA Infrastructure (Roadway), [E-PEDIMP] Improve Pedestrian Facility, [E- SharedNew] New Shared Use Path, [H-AL] Highway/Road - Add Lanes, [H- C/G] Highway/Road - Curb And Gutter, [H-CLTL] Highway/Road - Continuous Bi-Directional Turn Lanes, [H-INTRC] Highway/Road - Intersection Reconstruction, [H-RS] Highway/Road - Resurface (with No Lane Widening), [S-MOD] Signals - Modernization</t>
  </si>
  <si>
    <t>B7KQ664</t>
  </si>
  <si>
    <t>C-91-187-21</t>
  </si>
  <si>
    <t>P8VI787</t>
  </si>
  <si>
    <t>D-91-387-20</t>
  </si>
  <si>
    <t>L23E</t>
  </si>
  <si>
    <t>Intersection Improvement, Traffic Signal Modernization, milled rumble strip, ADA Improvements</t>
  </si>
  <si>
    <t>[E-ADAIMP] Improve ADA Infrastructure (Roadway), [H-INTIMP] Highway/Road - Intersection Improvement, [S-MOD] Signals - Modernization, [Z-OTHEX] Miscellaneous - Exempt Projects</t>
  </si>
  <si>
    <t>UCZX187</t>
  </si>
  <si>
    <t>C-91-186-21</t>
  </si>
  <si>
    <t>ZS30</t>
  </si>
  <si>
    <t>ZS3E</t>
  </si>
  <si>
    <t>MS3E</t>
  </si>
  <si>
    <t>Includes new path using existing bridge over I-90/Jane Addams and new bridge for shared use path over Central Road to Paul Douglass Forest Preserve</t>
  </si>
  <si>
    <t>[E-SharedNew] New Shared Use Path</t>
  </si>
  <si>
    <t>U2M9501</t>
  </si>
  <si>
    <t>C-91-211-16</t>
  </si>
  <si>
    <t>Y240</t>
  </si>
  <si>
    <t>Resurfacing (3P), ADA Improvements, removing a travel lane in each direction to accommodate the addition of on street bicycle lanes, Intersection Improvements</t>
  </si>
  <si>
    <t>[E-ADAMAINT] Maintain/Repair ADA Infrastructure (Roadway), [E- BIKENEW] New Bicycle Facility, [H-CLTL] Highway/Road - Continuous Bi- Directional Turn Lanes, [H-INTIMP] Highway/Road - Intersection Improvement, [H-RL] Highway/Road - Remove Lanes, [H-RS] Highway/Road - Resurface (with No Lane Widening), [P-MAINT] Parking - Maintain, Rehabilitate, Replace Commuter Parking, [S-MOD] Signals - Modernization</t>
  </si>
  <si>
    <t>Des Plaines, Park Ridge</t>
  </si>
  <si>
    <t>37V7145</t>
  </si>
  <si>
    <t>C-91-179-18</t>
  </si>
  <si>
    <t>Bridge New Deck, Bridge Superstructure Replace, Retaining Wall, Shoulder Reconstruction, Miscellaneous, Bridge Superstructure Rehab, Bridge Repair, Bridge Replacement, Standard Overlay, Traffic Signal Modernization, Lighting, Bridge Joint Replace/Repair, Bridge Deck Overlay, Smart Overlay</t>
  </si>
  <si>
    <t>[A-BAR] Safety - Barriers, [A-LTS] Safety - Lighting, [A-SHDR] Safety - Shoulder Improvements, [B-OVR] Bridge Deck - Overlay, [B-PNT] Bridge/Structure - Paint, [B-REPAIR] Bridge/Structure - Reconst/Rehab No Chng in #, Wdth, or Lane, [B-REPLACE] Bridge/Structure - Replace, [B-SUP] Bridge Superstructure - Repair/Rehab, [E-ADAMAINT] Maintain/Repair ADA Infrastructure (Roadway), [H-RS] Highway/Road - Resurface (with No Lane Widening), [S-MOD] Signals - Modernization, [Z-OTHEX] Miscellaneous - Exempt Projects</t>
  </si>
  <si>
    <t>Arlington Heights, Palatine, Rolling Meadows</t>
  </si>
  <si>
    <t>8Z8C183</t>
  </si>
  <si>
    <t>C-91-123-24</t>
  </si>
  <si>
    <t>BRWL799</t>
  </si>
  <si>
    <t>C-91-136-24</t>
  </si>
  <si>
    <t>Q9Z5435</t>
  </si>
  <si>
    <t>P-91-014-18</t>
  </si>
  <si>
    <t>Z450650</t>
  </si>
  <si>
    <t>C-91-172-21</t>
  </si>
  <si>
    <t>Replacement of Culverts on Wellington Ave and Leicester Rd over Lake Cosman</t>
  </si>
  <si>
    <t>[H-CLVT] Highway/Road - Repair/Replace Culvert</t>
  </si>
  <si>
    <t>373W497</t>
  </si>
  <si>
    <t>D-91-107-19</t>
  </si>
  <si>
    <t>Z2E3</t>
  </si>
  <si>
    <t>Z233</t>
  </si>
  <si>
    <t>EDIJ468</t>
  </si>
  <si>
    <t>C-91-311-19</t>
  </si>
  <si>
    <t>Y120</t>
  </si>
  <si>
    <t>Improve mobility at the triangle intersections of Rand, Central, and Mount Prospect Roads by modifying access, adding turn lanes, and modernizing traffic signals</t>
  </si>
  <si>
    <t>[E-ADAIMP] Improve ADA Infrastructure (Roadway), [E-ADANEW] New ADA Infrastructure (Roadway), [E-PEDIMP] Improve Pedestrian Facility, [E- PEDNEW] New Pedestrian Facility, [E-SharedModern] Improve Shared Path Facility, [E-SharedNew] New Shared Use Path, [H-C/G] Highway/Road - Curb And Gutter, [H-INTIMP] Highway/Road - Intersection Improvement, [H-RCNST] Highway/Road - Reconst with Change in Use or Width Of Lane, [S-ASNG] Signals - Add Signals At Single Intersection, [S-MOD] Signals - Modernization, [S-TIM] Signals - Interconnects And Timing</t>
  </si>
  <si>
    <t>0UBY034</t>
  </si>
  <si>
    <t>C-91-383-20</t>
  </si>
  <si>
    <t>Replacement of culvert on North Baldwin Rd over Buffalo Creek</t>
  </si>
  <si>
    <t>[B-REPLACE] Bridge/Structure - Replace, [E-ADAIMP] Improve ADA Infrastructure (Roadway), [E-BIKENEW] New Bicycle Facility, [H-CLVT] Highway/Road - Repair/Replace Culvert</t>
  </si>
  <si>
    <t>9CYH164</t>
  </si>
  <si>
    <t>D-91-172-19</t>
  </si>
  <si>
    <t>Left Turn Lanes, Culvert Replacement, Drainage</t>
  </si>
  <si>
    <t>[H-CLVT] Highway/Road - Repair/Replace Culvert, [Z-OTHEX] Miscellaneous - Exempt Projects</t>
  </si>
  <si>
    <t>N4ZL479</t>
  </si>
  <si>
    <t>C-91-228-22</t>
  </si>
  <si>
    <t>Resurfacing of Tonne Rd @ Devon Ave from approx 70 ft south of Center St to Driscoll Ln and 300 ft east of Bristol Ln to 480 ft west of Arthur Ave. Full depth patching and concrete curb and gutter repair where necessary, ADA improvements, pedestrian countdown timers.</t>
  </si>
  <si>
    <t>[E-ADAIMP] Improve ADA Infrastructure (Roadway), [H-C/G] Highway/Road - Curb And Gutter, [H-RS] Highway/Road - Resurface (with No Lane Widening)</t>
  </si>
  <si>
    <t>K7DI517</t>
  </si>
  <si>
    <t>C-91-157-24</t>
  </si>
  <si>
    <t>Resurfacing of the Arlington Heights Rd at Devon Ave intersection from 500 ft north of Devon Ave to 370 ft south of Devon Ave and 190 ft east of Somerset Ln to 105 ft west of Turner Ave. Full depth patching and concrete curb and gutter where necessary, ADA improvements, pedestrian countdown timers.</t>
  </si>
  <si>
    <t>H7E7827</t>
  </si>
  <si>
    <t>C-91-175-24</t>
  </si>
  <si>
    <t>Y041</t>
  </si>
  <si>
    <t>Reconstruction of Tonne Rd from Elk Grove Blvd/Touhy Ave to Landmeier Rd, re-evaluation of access between northbound and southbound lanes, construction of a roundabout at Elk Grove Blvd, realignment of receiving lanes for southbound traffic at Landmeier intersection, signal modernization, construction of a shared use path on the west side of the segment, replacement of all existing culverts, clearing of ditch, ADA improvements, replacement of existing sidewalk</t>
  </si>
  <si>
    <t>[A-PMRK] Safety - Pavement Marking, [E-ADAIMP] Improve ADA Infrastructure (Roadway), [E-ADANEW] New ADA Infrastructure (Roadway), [E-PEDIMP] Improve Pedestrian Facility, [E-SharedNew] New Shared Use Path, [H-C/G] Highway/Road - Curb And Gutter, [H-CLVT] Highway/Road - Repair/Replace Culvert, [H-INTIMP] Highway/Road - Intersection Improvement, [H-RAB] Highway/Road - Roundabout, [H- RCINKND] Highway/Road - Reconstruct in Kind, [S-MOD] Signals - Modernization</t>
  </si>
  <si>
    <t>3IJV695</t>
  </si>
  <si>
    <t>C-91-041-25</t>
  </si>
  <si>
    <t>Y603</t>
  </si>
  <si>
    <t>Resurfacing of Weathersfield Way from Braintree Dr to Salem Dr. Pavement patching, ADA improvements, curb and gutter repairs, pavement markings, 8' off street path on the north side of the roadway, rehabilitation of existing storm sewers.</t>
  </si>
  <si>
    <t>[A-PMRK] Safety - Pavement Marking, [E-ADAIMP] Improve ADA Infrastructure (Roadway), [E-SharedNew] New Shared Use Path, [H-C/G] Highway/Road - Curb And Gutter, [H-RS] Highway/Road - Resurface (with No Lane Widening)</t>
  </si>
  <si>
    <t>91DZ172</t>
  </si>
  <si>
    <t>C-91-063-21</t>
  </si>
  <si>
    <t>Z230</t>
  </si>
  <si>
    <t>03-20-0049</t>
  </si>
  <si>
    <t>Bernard Dr from Arlington Heights Rd to Lincoln Terrace</t>
  </si>
  <si>
    <t>Roadway reconstruction, new shared use path along the south side of the roadway. Roadway will be narrowed 2 ft to provide required separation from path, ADA ramp improvements, culvert replacement.</t>
  </si>
  <si>
    <t>[E-ADAIMP] Improve ADA Infrastructure (Roadway), [E-SharedNew] New Shared Use Path, [H-CLVT] Highway/Road - Repair/Replace Culvert, [H- RCNST] Highway/Road - Reconst with Change in Use or Width Of Lane</t>
  </si>
  <si>
    <t>Buffalo Grove</t>
  </si>
  <si>
    <t>WS7C658</t>
  </si>
  <si>
    <t>C-91-290-24</t>
  </si>
  <si>
    <t>Add, extend, reconfigure turn lanes, replace sidewalk with multi-use path along Rand Rd within project limits, optimize traffic signal timing, install sidewalk along south side of Kensington Rd east of Rand Rd, consolidate access within project limits. Project limits are Rand Road (Business Center Drive to Wedgewood Lane); IL 83 (Highland Street to Euclid Avenue); Kensington Road (Elmhurst Avenue to N. Wheeling Road)</t>
  </si>
  <si>
    <t>[A-PMRK] Safety - Pavement Marking, [E-ADAIMP] Improve ADA Infrastructure (Roadway), [E-PEDIMP] Improve Pedestrian Facility, [E- SharedNew] New Shared Use Path, [H-INTIMP] Highway/Road - Intersection Improvement, [H-INTRC] Highway/Road - Intersection Reconstruction, [S-MOD] Signals - Modernization</t>
  </si>
  <si>
    <t>0KLG967</t>
  </si>
  <si>
    <t>R-90-025-22</t>
  </si>
  <si>
    <t>Y926</t>
  </si>
  <si>
    <t>Reconstruction of Weber Dr from Central Rd to Algonquin Rd (IL 62). Addition of right turn lane at Algonquin Rd, reconstruction of bike path on west side of Weber Dr and extension to Algonquin Rd. Traffic signal upgrades at Algonquin Rd to account for right turn overlap phase. ADA improvements at all pedestrian crossings.</t>
  </si>
  <si>
    <t>[E-ADAIMP] Improve ADA Infrastructure (Roadway), [E-BIKEIMP] Improve Bicycle Facility, [E-BIKENEW] New Bicycle Facility, [H-INTIMP] Highway/Road - Intersection Improvement, [H-RCINKND] Highway/Road - Reconstruct in Kind, [S-MOD] Signals - Modernization</t>
  </si>
  <si>
    <t>W8NL514</t>
  </si>
  <si>
    <t>D-91-095-23</t>
  </si>
  <si>
    <t>New bicycle/pedestrian bridge over IL 59 north of IL 19, multi-use trail and boardwalks.</t>
  </si>
  <si>
    <t>[E-ADANEW] New ADA Infrastructure (Roadway), [E-BIKENEW] New Bicycle Facility, [E-PEDNEW] New Pedestrian Facility, [E-SharedNew] New Shared Use Path</t>
  </si>
  <si>
    <t>ZANV627</t>
  </si>
  <si>
    <t>D-91-092-22</t>
  </si>
  <si>
    <t>Rehabilitation or replacement of structure carrying Meadowbrook Drive over Salt Creek.</t>
  </si>
  <si>
    <t>[B-REPAIR] Bridge/Structure - Reconst/Rehab No Chng in #, Wdth, or Lane</t>
  </si>
  <si>
    <t>D1ML993</t>
  </si>
  <si>
    <t>P-91-034-21</t>
  </si>
  <si>
    <t>New bike path on Hicks Rd from Euclid Ave to North of Kirchoff and on Euclid Ave from west of Vermont St to Hicks Rd</t>
  </si>
  <si>
    <t>[E-BIKENEW] New Bicycle Facility</t>
  </si>
  <si>
    <t>MQYJ382</t>
  </si>
  <si>
    <t>D-91-107-22</t>
  </si>
  <si>
    <t>Z30E</t>
  </si>
  <si>
    <t>Various bike-ped and access to transit improvements along Hassell Rd from Barrington Rd to Rosedale Ln, along the full length of Pembroke Ave, and on Stonington Ave from Pembroke Ave to Hassell Rd.</t>
  </si>
  <si>
    <t>[A-LTS] Safety - Lighting, [A-PMRK] Safety - Pavement Marking, [E- BIKEIMP] Improve Bicycle Facility, [E-PEDIMP] Improve Pedestrian Facility, [E-PEDNEW] New Pedestrian Facility</t>
  </si>
  <si>
    <t>U0PL247</t>
  </si>
  <si>
    <t>P-91-031-22</t>
  </si>
  <si>
    <t>Proposed improvements include constructing a sidewalk on the east side of Wolf Road which will run north from the Prospect Heights Metra Commuter Station to Willow Road. This will make the connection to a future phase of the multi-use path on Wolf Road that goes north from Willow Road to Palatine Road. The project also includes pedestrian signals at Camp McDonald Road as well as a new at grade crossing over the Metra tracks. New sidewalk on Wolf Rd from Palatine Frontage Rd to Old Willow Rd.</t>
  </si>
  <si>
    <t>[E-ADANEW] New ADA Infrastructure (Roadway), [E-PEDNEW] New Pedestrian Facility, [S-MOD] Signals - Modernization</t>
  </si>
  <si>
    <t>KHCX417</t>
  </si>
  <si>
    <t>C-91-171-22</t>
  </si>
  <si>
    <t>XYCG221</t>
  </si>
  <si>
    <t>D-91-136-22</t>
  </si>
  <si>
    <t>BH0L352</t>
  </si>
  <si>
    <t>C-91-186-22</t>
  </si>
  <si>
    <t>WE2D791</t>
  </si>
  <si>
    <t>C-91-326-22</t>
  </si>
  <si>
    <t>03-22-0023</t>
  </si>
  <si>
    <t>North Ave from Oak Ave to Lake St</t>
  </si>
  <si>
    <t>HMA resurfacing, full depth pavement patching, spot aggregate base repair, combination concrete curb and gutter replacement, spot sidewalk removal and replacement, detectable warnings, pavement markings and reflective pavement markers. A wider shared use path will be constructed along the south side of the roadway, replacing the existing sidewalk.</t>
  </si>
  <si>
    <t>[A-PMRK] Safety - Pavement Marking, [E-ADAIMP] Improve ADA Infrastructure (Roadway), [E-ADAMAINT] Maintain/Repair ADA Infrastructure (Roadway), [E-SharedNew] New Shared Use Path, [H-C/G] Highway/Road - Curb And Gutter, [H-PATCH] Highway/Road - Pavement Patching, [H-RS] Highway/Road - Resurface (with No Lane Widening)</t>
  </si>
  <si>
    <t>Bartlett</t>
  </si>
  <si>
    <t>IJ41587</t>
  </si>
  <si>
    <t>C-91-146-23</t>
  </si>
  <si>
    <t>Resurface roadway, bring facilities to ADA compliance, spot curb and gutter repair, and pavement patching.</t>
  </si>
  <si>
    <t>[E-ADAMAINT] Maintain/Repair ADA Infrastructure (Roadway), [H-C/G] Highway/Road - Curb And Gutter, [H-PATCH] Highway/Road - Pavement Patching, [H-RS] Highway/Road - Resurface (with No Lane Widening)</t>
  </si>
  <si>
    <t>UR81697</t>
  </si>
  <si>
    <t>C-91-192-24</t>
  </si>
  <si>
    <t>Bicycle and Pedestrian bridge consisting of a shared use bridge structure, ramps and sidewalk. The project will connect to the Mount Prospect bike route system within and south of Melas Park, and continue over Northwest Highway (US 14) and the Union Pacific Railroad (UPPR) tracks connecting to the Northwest Corridor bikeway and Mount Prospect bike route system at Meadows Park.</t>
  </si>
  <si>
    <t>[A-LTS] Safety - Lighting, [E-ADANEW] New ADA Infrastructure (Roadway), [E-BIKENEW] New Bicycle Facility, [E-PEDNEW] New Pedestrian Facility, [E- SharedNew] New Shared Use Path</t>
  </si>
  <si>
    <t>KTTL227</t>
  </si>
  <si>
    <t>D-91-142-23</t>
  </si>
  <si>
    <t>Des Plaines, Elk Grove Village, Mount Prospect</t>
  </si>
  <si>
    <t>FYJV201</t>
  </si>
  <si>
    <t>C-91-021-24</t>
  </si>
  <si>
    <t>Intersection Improvement, Traffic Signal Modernization</t>
  </si>
  <si>
    <t>[H-INTIMP] Highway/Road - Intersection Improvement, [S-MOD] Signals - Modernization</t>
  </si>
  <si>
    <t>Arlington Heights, Des Plaines, Palatine</t>
  </si>
  <si>
    <t>XKVR554</t>
  </si>
  <si>
    <t>C-91-112-24</t>
  </si>
  <si>
    <t>Smart Overlay, ADA Im;provements</t>
  </si>
  <si>
    <t>Hoffman Estates, Schaumburg</t>
  </si>
  <si>
    <t>HGI5827</t>
  </si>
  <si>
    <t>C-91-075-24</t>
  </si>
  <si>
    <t>Roadway reconstruction from Weathersfield Way to Schaumburg Rd. Existing HMA roadway will be reconstructed in place with new full depth HMA pavement and new curb and gutter. Existing 16' lanes will be reduced to 12' and bike lanes removed and replaced with a new PCC multiuse path along the west side of Salem Drive. Sidewalk on east side will remain. The improvements will also include pedestrian ramp upgrades, driveway replacement, and pavement marking and signing improvements.</t>
  </si>
  <si>
    <t>[A-PMRK] Safety - Pavement Marking, [E-ADAIMP] Improve ADA Infrastructure (Roadway), [E-PEDMAINT] Maintain Pedestrian Facility, [E- SharedNew] New Shared Use Path, [H-C/G] Highway/Road - Curb And Gutter, [H-INFO] Highway/Road - Directional/Informational Signs, [H- RCNST] Highway/Road - Reconst with Change in Use or Width Of Lane</t>
  </si>
  <si>
    <t>D3SN663</t>
  </si>
  <si>
    <t>C-91-300-24</t>
  </si>
  <si>
    <t>03-25-0004</t>
  </si>
  <si>
    <t>I-90 Rolling Meadows Electric Vehicle Charging Station</t>
  </si>
  <si>
    <t>NEVI funds for electric vehicle charging station at 1301 Meijer Dr.</t>
  </si>
  <si>
    <t>4IDD923</t>
  </si>
  <si>
    <t>N-75-042-25</t>
  </si>
  <si>
    <t>A proposed 3.4 mile, 10 wide, east-west shared-use path throughout the northern Arlington Heights area, connecting the Palatine Trail to the Prospect Heights Bike Path. Grading and drainage improvements will be designed as required, in addition to signage along the corridors. The project will include an overhead or underground accommodation connecting the Palatine Trail on the west side of IL Route 53 to the ComEd Multi-Use trail on the east side of IL Route 53.</t>
  </si>
  <si>
    <t>[E-ADANEW] New ADA Infrastructure (Roadway), [E-BIKENEW] New Bicycle Facility, [E-SharedNew] New Shared Use Path</t>
  </si>
  <si>
    <t>VBM6169</t>
  </si>
  <si>
    <t>P-91-031-25</t>
  </si>
  <si>
    <t>New pedestrian/bicyclist grade separation along Main St at the CN Railway</t>
  </si>
  <si>
    <t>[A-BAR] Safety - Barriers, [A-OPT] Safety - Opticom Equipment, [E- ADAMAINT] Maintain/Repair ADA Infrastructure (Roadway), [E-PEDIMP] Improve Pedestrian Facility, [S-TIM] Signals - Interconnects And Timing</t>
  </si>
  <si>
    <t>3B67156</t>
  </si>
  <si>
    <t>P-91-037-25</t>
  </si>
  <si>
    <t>Limited Access Freeway. West O'Hare Bypass from I-90 to I-294 plus east segment of extension (from Bypass to I-290) and Add Lanes from I-290 to Gary. Includes demolition.</t>
  </si>
  <si>
    <t>[A-OTH] Safety - Other, [H-AL] Highway/Road - Add Lanes, [H-COR] Highway/Road - Corridor Improvement, [H-EXT] Highway/Road - Extend Road, [H-INTIMP] Highway/Road - Intersection Improvement, [H-INTRC] Highway/Road - Intersection Reconstruction, [H-NEW] Highway/Road - New Road, [H-RRGS] Highway/Road - Railroad Grade Separation, [H-RS] Highway/Road - Resurface (with No Lane Widening), [I-EXP] Interchange - Expand (New Movements Added to Interchange), [I-NEW] Interchange - New, [S-ASNG] Signals - Add Signals At Single Intersection, [S-MOD] Signals - Modernization</t>
  </si>
  <si>
    <t>IL Tollway</t>
  </si>
  <si>
    <t>Cook, DuPage</t>
  </si>
  <si>
    <t>Countywide</t>
  </si>
  <si>
    <t>UKUA050</t>
  </si>
  <si>
    <t>C-91-398-19</t>
  </si>
  <si>
    <t>Z300</t>
  </si>
  <si>
    <t>ZAGE365</t>
  </si>
  <si>
    <t>C-91-192-21</t>
  </si>
  <si>
    <t>I-290 Eisenhower High Occupancy Toll Lanes/I-290 Multimodal Corridor; Reconstruction/add lane, bridge reconstruction from Mannheim Rd to Austin Blvd.; Reconstruct/restripe from Austin Blvd. to Kostner Ave.; Restripe from Kostner Ave. to Racine Ave.; I-290 at Des Plaines River pump station reconstruction; CTA station reconstruction.</t>
  </si>
  <si>
    <t>[A-MED] Safety - Median Projects, [A-PMRK] Safety - Pavement Marking, [B-RECNFG] Bridge/Structure - Reconst/Rehab Chng in Lane Use/Widths, [B-REPAIR] Bridge/Structure - Reconst/Rehab No Chng in #, Wdth, or Lane, [C-MAINT] Rail Stations - Maintain, Rehabilitate, Replace, [H-COR] Highway/Road - Corridor Improvement, [H-HOT3] Highway/Road - HOT 3- Plus Lanes, [H-INTIMP] Highway/Road - Intersection Improvement, [H- STWTR] Highway/Road - Stormwater Infrastucture, [I-RCNST] Interchange - Reconstruction, [S-TIM] Signals - Interconnects And Timing, [Z-OTHEX] Miscellaneous - Exempt Projects</t>
  </si>
  <si>
    <t>Bellwood, Broadview, Chicago, Forest Park, Hillside, Maywood, Oak Park, Westchester</t>
  </si>
  <si>
    <t>TRTJ747</t>
  </si>
  <si>
    <t>C-91-137-16</t>
  </si>
  <si>
    <t>Intersection improvement at Irving Park Road and Old River Road</t>
  </si>
  <si>
    <t>[H-INTIMP] Highway/Road - Intersection Improvement</t>
  </si>
  <si>
    <t>North Central Council</t>
  </si>
  <si>
    <t>HMTU653</t>
  </si>
  <si>
    <t>C-91-189-16</t>
  </si>
  <si>
    <t>SVUV902</t>
  </si>
  <si>
    <t>D-91-189-16</t>
  </si>
  <si>
    <t>Reconstruction</t>
  </si>
  <si>
    <t>[H-RCINKND] Highway/Road - Reconstruct in Kind</t>
  </si>
  <si>
    <t>ZZEE871</t>
  </si>
  <si>
    <t>C-91-249-17</t>
  </si>
  <si>
    <t>Grade Separation on Grand Avenue and Northeast Illinois Regional Commercial RR</t>
  </si>
  <si>
    <t>87G2105</t>
  </si>
  <si>
    <t>P-91-029-17</t>
  </si>
  <si>
    <t>Rehab, Removal, Replacement of Bridge</t>
  </si>
  <si>
    <t>[B-REPAIR] Bridge/Structure - Reconst/Rehab No Chng in #, Wdth, or Lane, [S-MOD] Signals - Modernization</t>
  </si>
  <si>
    <t>RRBN653</t>
  </si>
  <si>
    <t>D-91-138-17</t>
  </si>
  <si>
    <t>Creation, maintenance, and reconstruction of the Des Plaines River Trail from Touhy Avenue to North Avenue Park Ridge ITEP 143076 Touhy to Devon</t>
  </si>
  <si>
    <t>[E-PEDIMP] Improve Pedestrian Facility, [E-PEDMAINT] Maintain Pedestrian Facility, [E-SharedMaint] Maintain Shared Path Facility, [E- SharedModern] Improve Shared Path Facility</t>
  </si>
  <si>
    <t>Chicago, Des Plaines, Elmwood Park, Franklin Park, Norridge, Park Ridge, River Grove, Rosemont, Schiller Park</t>
  </si>
  <si>
    <t>0REL643</t>
  </si>
  <si>
    <t>C-91-260-24</t>
  </si>
  <si>
    <t>Z301</t>
  </si>
  <si>
    <t>E440489</t>
  </si>
  <si>
    <t>D-91-193-22</t>
  </si>
  <si>
    <t>MC6P813</t>
  </si>
  <si>
    <t>C-91-039-22</t>
  </si>
  <si>
    <t>Reconstruction of Armitage Avenue in the Village of Melrose Park as well as some improvements to the bridge and box culvert over Silver Creek. The Bridge at Silver creek will be non-participating construction.</t>
  </si>
  <si>
    <t>[A-PMRK] Safety - Pavement Marking, [B-REPAIR] Bridge/Structure - Reconst/Rehab No Chng in #, Wdth, or Lane, [E-ADAMAINT] Maintain/Repair ADA Infrastructure (Roadway), [H-IRS] Highway/Road - Intermittent Resurfacing, [H-RCINKND] Highway/Road - Reconstruct in Kind</t>
  </si>
  <si>
    <t>M0C3917</t>
  </si>
  <si>
    <t>D-91-141-22</t>
  </si>
  <si>
    <t>Modernization of 14 existing traffic signals, pedestrian accommodations, pavement marking and signing</t>
  </si>
  <si>
    <t>[A-PMRK] Safety - Pavement Marking, [E-PEDIMP] Improve Pedestrian Facility, [E-PEDMAINT] Maintain Pedestrian Facility, [E-PEDNEW] New Pedestrian Facility, [E-PED] Pedestrian Facility, [H-INTIMP] Highway/Road - Intersection Improvement, [Z-OTH] Miscellaneous - Project Types Not Listed</t>
  </si>
  <si>
    <t>6TKG691</t>
  </si>
  <si>
    <t>P-91-052-19</t>
  </si>
  <si>
    <t>A reconstruction in-kind of 19th Avenue in the Village of Maywood from Madison Street to Oak Street</t>
  </si>
  <si>
    <t>[A-LTS] Safety - Lighting, [A-PMRK] Safety - Pavement Marking, [E-ADAIMP] Improve ADA Infrastructure (Roadway), [E-PEDIMP] Improve Pedestrian Facility, [H-C/G] Highway/Road - Curb And Gutter, [H-RCINKND] Highway/Road - Reconstruct in Kind</t>
  </si>
  <si>
    <t>90KB677</t>
  </si>
  <si>
    <t>C-91-179-21</t>
  </si>
  <si>
    <t>The creation and maintenance of a Shared Use Path on 25th Avenue within the Village of Broadview from Salt Creek to 25th Avenue</t>
  </si>
  <si>
    <t>[A-LTS] Safety - Lighting, [A-PMRK] Safety - Pavement Marking, [E- BIKENEW] New Bicycle Facility, [E-PEDNEW] New Pedestrian Facility, [H- RS] Highway/Road - Resurface (with No Lane Widening)</t>
  </si>
  <si>
    <t>8IXD653</t>
  </si>
  <si>
    <t>D-91-101-23</t>
  </si>
  <si>
    <t>Superstructure replacement and approach roadway, sidewalk repair, replacement of Parkview Dr. and Palmer Ave Bridges</t>
  </si>
  <si>
    <t>[B-REPLACE] Bridge/Structure - Replace, [B-SUP] Bridge Superstructure - Repair/Rehab, [E-PEDMAINT] Maintain Pedestrian Facility</t>
  </si>
  <si>
    <t>6DZ1399</t>
  </si>
  <si>
    <t>D-91-002-23</t>
  </si>
  <si>
    <t>Y233</t>
  </si>
  <si>
    <t>JUC2911</t>
  </si>
  <si>
    <t>C-91-003-23</t>
  </si>
  <si>
    <t>Designed Overlay, Smart Overlay, ADA Improvements, Drainage</t>
  </si>
  <si>
    <t>[E-ADAMAINT] Maintain/Repair ADA Infrastructure (Roadway), [H-RS] Highway/Road - Resurface (with No Lane Widening), [Z-OTHEX] Miscellaneous - Exempt Projects</t>
  </si>
  <si>
    <t>Elmwood Park, Melrose Park, Northlake, River Forest, River Grove</t>
  </si>
  <si>
    <t>ML0A796</t>
  </si>
  <si>
    <t>C-91-298-24</t>
  </si>
  <si>
    <t>Modernization of the existing traffic signal.</t>
  </si>
  <si>
    <t>[A-OPT] Safety - Opticom Equipment, [A-PMRK] Safety - Pavement Marking, [S-MOD] Signals - Modernization</t>
  </si>
  <si>
    <t>UXFQ887</t>
  </si>
  <si>
    <t>C-91-147-24</t>
  </si>
  <si>
    <t>Modernization of the existing traffic signal at Wolf Road and Wiltse Drive</t>
  </si>
  <si>
    <t>[A-OPT] Safety - Opticom Equipment, [S-MOD] Signals - Modernization</t>
  </si>
  <si>
    <t>KBZK227</t>
  </si>
  <si>
    <t>C-91-146-24</t>
  </si>
  <si>
    <t>Local Agency Functional Overlay (LAFO), including HMA surface removal, drainage structure repairs, intermittent curb and gutter removal and replacement, pavement patching, intermittent sidewalk removal and replacement, ADA ramp upgrades, resurfacing with HMA leveling binder and surface courses, pavement markings, landscape restoration, and appurtenant work.</t>
  </si>
  <si>
    <t>[A-PMRK] Safety - Pavement Marking, [E-ADAIMP] Improve ADA Infrastructure (Roadway), [E-PEDIMP] Improve Pedestrian Facility, [H-C/G] Highway/Road - Curb And Gutter, [H-RS] Highway/Road - Resurface (with No Lane Widening)</t>
  </si>
  <si>
    <t>Maywood, Melrose Park</t>
  </si>
  <si>
    <t>2TX9757</t>
  </si>
  <si>
    <t>C-91-094-24</t>
  </si>
  <si>
    <t>Project is to add the intersections of 17th Ave at 14th St, 17th Ave at Harvard St, and 17th Ave at I-290 (Eisenhower Expy) to the west end of the existing traffic signal interconnect system - Econ 29. The existing system runs along Roosevelt Rd from 25th Ave to IL 43 (Harlem Ave) and includes nine (9) intersections.</t>
  </si>
  <si>
    <t>G4TG960</t>
  </si>
  <si>
    <t>C-91-244-22</t>
  </si>
  <si>
    <t>The project is to add the intersections of IL 43 at Bloomingdale Ave and IL 43 at Armitage Ave to the existing traffic signal interconnect system - ECON 100. The existing system runs along IL 64 from Cornell to Austin Blvd and along IL 171 from IL 64 to Strieby D, Which includes 23 intersections. In addition, the project will replace existing TS 1 cabinet and controller at two locations. IL 43 at Bloomingdale Ave and Armitage Ave.</t>
  </si>
  <si>
    <t>Project is to add the intersections of US 20 (Lake St) at I-294 Ramps and US 20 (Lake St) at Wolf Rd to the south/west end of the existing traffic signal interconnect system - Econ 99. The existing system runs along IL 64 (North Ave) from Northwest Ave to Roy Ave and along Railroad Ave from IL 64 to US 20 and includes six (6) intersections.</t>
  </si>
  <si>
    <t>Bridge replacement and associated roadway improvements with bridge replacement. Lighting improvements as impacted by the bridge replacement. EII shown in IDOT MYP in 2025 (24-28)</t>
  </si>
  <si>
    <t>[B-DECK] Bridge Deck - Repair/Rehab, [B-REPLACE] Bridge/Structure - Replace</t>
  </si>
  <si>
    <t>DSU8102</t>
  </si>
  <si>
    <t>P-91-055-22</t>
  </si>
  <si>
    <t>LB6A724</t>
  </si>
  <si>
    <t>C-91-350-22</t>
  </si>
  <si>
    <t>Installation of decorative streetlight standards; concrete foundations; unit duct assembly, directionally bored; removal of existing street light poles and foundations; and all appurtenant construction to increase night time visibility and improve overall safety in the area.</t>
  </si>
  <si>
    <t>[A-LTS] Safety - Lighting, [A-OTH] Safety - Other</t>
  </si>
  <si>
    <t>WL3A619</t>
  </si>
  <si>
    <t>C-91-137-23</t>
  </si>
  <si>
    <t>RR Crossing Improvement</t>
  </si>
  <si>
    <t>[A-RRXING] Safety - Railroad Crossing Improvements</t>
  </si>
  <si>
    <t>4ZHP031</t>
  </si>
  <si>
    <t>C-91-114-23</t>
  </si>
  <si>
    <t>ZS40</t>
  </si>
  <si>
    <t>Sidewalk network improvements to provide access from residential neighborhoods south of St. Charles Road to Pace Bus Route 313.</t>
  </si>
  <si>
    <t>[E-PEDIMP] Improve Pedestrian Facility</t>
  </si>
  <si>
    <t>JPL0431</t>
  </si>
  <si>
    <t>C-91-224-24</t>
  </si>
  <si>
    <t>YS70</t>
  </si>
  <si>
    <t>[S-ASNG] Signals - Add Signals At Single Intersection</t>
  </si>
  <si>
    <t>AGTY053</t>
  </si>
  <si>
    <t>P-91-016-25</t>
  </si>
  <si>
    <t>Bridge Painting</t>
  </si>
  <si>
    <t>[B-PNT] Bridge/Structure - Paint</t>
  </si>
  <si>
    <t>Cook, Will</t>
  </si>
  <si>
    <t>Chicago, Mokena</t>
  </si>
  <si>
    <t>BLWB517</t>
  </si>
  <si>
    <t>C-91-005-25</t>
  </si>
  <si>
    <t>04-25-0002</t>
  </si>
  <si>
    <t>I-290 Westchester Electric Vehicle Charging Station</t>
  </si>
  <si>
    <t>NEVI funds for electric vehicle charging station at 825 S. Mannheim Rd.</t>
  </si>
  <si>
    <t>UAKA172</t>
  </si>
  <si>
    <t>N-75-012-25</t>
  </si>
  <si>
    <t>ADA RAMPS</t>
  </si>
  <si>
    <t>[E-ADAIMP] Improve ADA Infrastructure (Roadway), [H-INTIMP] Highway/Road - Intersection Improvement, [H-WRS] Highway/Road - Widen Lanes And Resurface</t>
  </si>
  <si>
    <t>TM1F500</t>
  </si>
  <si>
    <t>C-91-126-12</t>
  </si>
  <si>
    <t>Signal modernization along 16th Street, resurfacing, ADA improvements, Signal Interconnects, and curb bump outs</t>
  </si>
  <si>
    <t>[E-ADAIMP] Improve ADA Infrastructure (Roadway), [E-ADANEW] New ADA Infrastructure (Roadway), [E-BIKEIMP] Improve Bicycle Facility, [E- BIKEPARK] Bicycle Parking, [E-PEDIMP] Improve Pedestrian Facility, [H- INTIMP] Highway/Road - Intersection Improvement, [H-INTRC] Highway/Road - Intersection Reconstruction, [H-RS] Highway/Road - Resurface (with No Lane Widening), [S-MOD] Signals - Modernization, [S- NEW] Signals - New Signals for Multiple Intersections, [S-TIM] Signals - Interconnects And Timing</t>
  </si>
  <si>
    <t>Central Council</t>
  </si>
  <si>
    <t>YA4T592</t>
  </si>
  <si>
    <t>D-91-146-21</t>
  </si>
  <si>
    <t>Changeable Message Signs, Pedestrian Signals, Sidewalks, Signal Timing/Progression, Signing (New), Surveillance, Traffic Signal Modernization, ADA</t>
  </si>
  <si>
    <t>[H-INFO] Highway/Road - Directional/Informational Signs, [S-MOD] Signals - Modernization, [S-TIM] Signals - Interconnects And Timing, [Z-OTHEX] Miscellaneous - Exempt Projects</t>
  </si>
  <si>
    <t>Berwyn, Broadview, Chicago, Cicero, Elmhurst, Elmwood Park, Melrose Park, North Riverside, Northlake, Oak Brook, Oak Park, River Forest, River Grove, Westchester</t>
  </si>
  <si>
    <t>97TW455</t>
  </si>
  <si>
    <t>D-91-078-21</t>
  </si>
  <si>
    <t>XVU6771</t>
  </si>
  <si>
    <t>C-91-107-21</t>
  </si>
  <si>
    <t>Traffic Signal Modernization, Pavement Marking, Intersection Improvement, ADA Improvements</t>
  </si>
  <si>
    <t>[A-PMRK] Safety - Pavement Marking, [E-ADAIMP] Improve ADA Infrastructure (Roadway), [H-INTIMP] Highway/Road - Intersection Improvement, [S-MOD] Signals - Modernization, [Z-OTHEX] Miscellaneous - Exempt Projects</t>
  </si>
  <si>
    <t>KBWQ375</t>
  </si>
  <si>
    <t>C-91-024-23</t>
  </si>
  <si>
    <t>Acacia Drive Reconstruction, ADA improvements, and pedestrian projects</t>
  </si>
  <si>
    <t>[A-PMRK] Safety - Pavement Marking, [A-SHDR] Safety - Shoulder Improvements, [E-ADAIMP] Improve ADA Infrastructure (Roadway), [E- ADANEW] New ADA Infrastructure (Roadway), [E-PEDIMP] Improve Pedestrian Facility, [H-RCINKND] Highway/Road - Reconstruct in Kind</t>
  </si>
  <si>
    <t>NHFS890</t>
  </si>
  <si>
    <t>D-91-279-18</t>
  </si>
  <si>
    <t>Bus pad and sidewalk placement, detectable warnings, curb replacement, pedestrian signal heads and push buttons, earthwork, and drainage replacement.</t>
  </si>
  <si>
    <t>[E-PEDIMP] Improve Pedestrian Facility, [E-PEDNEW] New Pedestrian Facility, [T-IMPSVC] Bus Routes - Improve Service</t>
  </si>
  <si>
    <t>210R285</t>
  </si>
  <si>
    <t>C-91-321-16</t>
  </si>
  <si>
    <t>Project is to add the intersection of 26th St at Riverside Dr to the west/south end of the existing traffic signal interconnect system - Econ 30. The existing system runs along Cermak Rd from North Riverside Mall West Entrance to 54th Ave and along IL 43 (Harlem Ave) from Cermak Rd to Riverside Dr/Longcommon Rd and includes twenty (20) intersections.</t>
  </si>
  <si>
    <t>Resurfacing Brookfield Avenue from Prairie Avenue to Woodside Avenue, Woodside Avenue from Brookfield Avenue to Parkview Avenue, Parkview Avenue from Woodside Avenue to Golf Road, and Golf Road from Parkview Avenue to Washington Avenue. The project also includes resurfacing Grand Boulevard from Brookfield Avenue to Grant Avenue.</t>
  </si>
  <si>
    <t>[A-PMRK] Safety - Pavement Marking, [E-ADAMAINT] Maintain/Repair ADA Infrastructure (Roadway), [E-BIKENEW] New Bicycle Facility, [H-C/G] Highway/Road - Curb And Gutter, [H-PATCH] Highway/Road - Pavement Patching, [H-RS] Highway/Road - Resurface (with No Lane Widening), [P- MAINT] Parking - Maintain, Rehabilitate, Replace Commuter Parking</t>
  </si>
  <si>
    <t>AQ4W052</t>
  </si>
  <si>
    <t>C-91-252-24</t>
  </si>
  <si>
    <t>1RPG948</t>
  </si>
  <si>
    <t>C-91-273-22</t>
  </si>
  <si>
    <t>64ZN009</t>
  </si>
  <si>
    <t>C-91-359-22</t>
  </si>
  <si>
    <t>This project consists of resurfacing Hampton Avenue from Hillgrove Avenue to Ogden Avenue. Curb and gutter and sidewalk repairs are included as part of the project.</t>
  </si>
  <si>
    <t>[A-PMRK] Safety - Pavement Marking, [E-ADAMAINT] Maintain/Repair ADA Infrastructure (Roadway), [E-PEDMAINT] Maintain Pedestrian Facility, [H- C/G] Highway/Road - Curb And Gutter, [H-RCINKND] Highway/Road - Reconstruct in Kind</t>
  </si>
  <si>
    <t>FRKK939</t>
  </si>
  <si>
    <t>C-91-254-24</t>
  </si>
  <si>
    <t>Roadway improvements to 46th Street from Harlem Avenue to Oak Park Avenue in the Village of Forest View, Illinois. This work will consist of removing and replacing drainage structures, manholes, sewer laterals, sewer point repairs, removing and replacing deteriorated sections of combined concrete curb &amp; gutter, sidewalk, driveway aprons, upgrading sidewalk ramps to comply with ADA guidelines, cold milling HMA from the roadway and placing a lift of leveling binder and a lift of HMA surface.</t>
  </si>
  <si>
    <t>[A-PMRK] Safety - Pavement Marking, [E-ADAIMP] Improve ADA Infrastructure (Roadway), [H-C/G] Highway/Road - Curb And Gutter, [H- PATCH] Highway/Road - Pavement Patching, [H-RS] Highway/Road - Resurface (with No Lane Widening)</t>
  </si>
  <si>
    <t>C9RC593</t>
  </si>
  <si>
    <t>C-91-266-24</t>
  </si>
  <si>
    <t>This project consists of the resurfacing of Burlington Avenue from Central Avenue to Wolf Road, with curb and gutter and sidewalk repairs as needed.</t>
  </si>
  <si>
    <t>[A-PMRK] Safety - Pavement Marking, [E-ADAMAINT] Maintain/Repair ADA Infrastructure (Roadway), [E-PEDMAINT] Maintain Pedestrian Facility, [H- C/G] Highway/Road - Curb And Gutter, [H-PATCH] Highway/Road - Pavement Patching, [H-RS] Highway/Road - Resurface (with No Lane Widening)</t>
  </si>
  <si>
    <t>1IR0610</t>
  </si>
  <si>
    <t>C-91-291-24</t>
  </si>
  <si>
    <t>05-25-0003</t>
  </si>
  <si>
    <t>I-55 Cicero Electric Vehicle Charging Station</t>
  </si>
  <si>
    <t>NEVI funds for electric vehicle charging station at 3800 S. Cicero Ave</t>
  </si>
  <si>
    <t>JHCN243</t>
  </si>
  <si>
    <t>N-75-044-25</t>
  </si>
  <si>
    <t>143rd St Reconstruction; traffic signal modernization and interconnect; Roadway widening, addition of signalized intersections, addition of turn lanes, and construction of a shared-use path and sidewalk on 143rd Street between Wolf Road and Southwest Highway in the Village of Orland Park. Signal interconnect extends to US 45. Southwest Hwy Metra Commuter Lot expansion, roadway lighting (West Ave to Southwest Hwy)</t>
  </si>
  <si>
    <t>[A-LTS] Safety - Lighting, [A-MED] Safety - Median Projects, [E-SharedNew] New Shared Use Path, [H-AL] Highway/Road - Add Lanes, [H-CLVT] Highway/Road - Repair/Replace Culvert, [H-INTIMP] Highway/Road - Intersection Improvement, [S-NEW] Signals - New Signals for Multiple Intersections, [S-TIM] Signals - Interconnects And Timing</t>
  </si>
  <si>
    <t>Southwest Council</t>
  </si>
  <si>
    <t>AMPX674</t>
  </si>
  <si>
    <t>D-91-180-14</t>
  </si>
  <si>
    <t>Sidewalks</t>
  </si>
  <si>
    <t>[E-PEDNEW] New Pedestrian Facility</t>
  </si>
  <si>
    <t>H99H730</t>
  </si>
  <si>
    <t>D-91-243-18</t>
  </si>
  <si>
    <t>Exit ramp northbound I-294 to 88th Ave and entrance ramp from westbound Archer Rd</t>
  </si>
  <si>
    <t>[A-LTS] Safety - Lighting, [A-PMRK] Safety - Pavement Marking, [E-LS] Enhancement - Landscaping, [E-SharedNew] New Shared Use Path, [H- INTIMP] Highway/Road - Intersection Improvement, [I-NEW] Interchange - New, [S-NEW] Signals - New Signals for Multiple Intersections, [S-TIM] Signals - Interconnects And Timing</t>
  </si>
  <si>
    <t>284E761</t>
  </si>
  <si>
    <t>C-91-008-20</t>
  </si>
  <si>
    <t>CULVERT REPLACEMENT, RETAINING WALL</t>
  </si>
  <si>
    <t>JSP0118</t>
  </si>
  <si>
    <t>C-91-353-22</t>
  </si>
  <si>
    <t>Intersection improvement, repair and expansion of dry land bridge beneath 143rd St just east of JohnHumphry Drive</t>
  </si>
  <si>
    <t>[B-REPAIR] Bridge/Structure - Reconst/Rehab No Chng in #, Wdth, or Lane, [H-INTIMP] Highway/Road - Intersection Improvement</t>
  </si>
  <si>
    <t>5ZJJ285</t>
  </si>
  <si>
    <t>D-91-264-18</t>
  </si>
  <si>
    <t>F6GB348</t>
  </si>
  <si>
    <t>C-91-261-24</t>
  </si>
  <si>
    <t>Y050</t>
  </si>
  <si>
    <t>Intersection Improvement, Traffic Signal Modernization and installation of an exclusive southbound right turn lane</t>
  </si>
  <si>
    <t>B2CI246</t>
  </si>
  <si>
    <t>C-91-214-17</t>
  </si>
  <si>
    <t>Project is to add the intersections of 79th St at 88th Ave/Cork Ave, 79th St at Roberts Rd, 79th St at 78th Ave, 79th St at Oketo Ave, 79th St at IL 43 (Harlem Ave), 79th St at Sayre Ave, 79th St at [Burbank] Fire Station, 79th St at Narragansett Ave, and 79th St at Austin Ave to the west end of the existing traffic signal interconnect system - Econ 51. The existing Econ 51 system runs between three (3) intersections including two along 79th St at both Central Ave and State Rd.</t>
  </si>
  <si>
    <t>Blue Island, Dixmoor</t>
  </si>
  <si>
    <t>G2DR523</t>
  </si>
  <si>
    <t>C-91-073-24</t>
  </si>
  <si>
    <t>M0E1</t>
  </si>
  <si>
    <t>BRIDGE DECK OVERLAY; JOINT REPAIR</t>
  </si>
  <si>
    <t>[B-OVR] Bridge Deck - Overlay, [B-REPAIR] Bridge/Structure - Reconst/Rehab No Chng in #, Wdth, or Lane, [E-PEDNEW] New Pedestrian Facility</t>
  </si>
  <si>
    <t>HTDL389</t>
  </si>
  <si>
    <t>C-91-294-19</t>
  </si>
  <si>
    <t>Traffic Signal Modernization, ADA Improvements</t>
  </si>
  <si>
    <t>[E-ADAMAINT] Maintain/Repair ADA Infrastructure (Roadway), [S-MOD] Signals - Modernization</t>
  </si>
  <si>
    <t>TBNJ040</t>
  </si>
  <si>
    <t>R-90-005-20</t>
  </si>
  <si>
    <t>W34X107</t>
  </si>
  <si>
    <t>C-91-360-22</t>
  </si>
  <si>
    <t>Street resurfacing, pavement patching, adding a multi-use path from 175th Street to 172nd Street, ADA ramps at all intersections, ditch regrading and driveway culvert replacement as necessary, street lighting and adding beautification planting along roadway.</t>
  </si>
  <si>
    <t>[A-LTS] Safety - Lighting, [A-PMRK] Safety - Pavement Marking, [E- ADANEW] New ADA Infrastructure (Roadway), [E-LS] Enhancement - Landscaping, [E-SharedNew] New Shared Use Path, [H-C/G] Highway/Road - Curb And Gutter, [H-RS] Highway/Road - Resurface (with No Lane Widening)</t>
  </si>
  <si>
    <t>South Council</t>
  </si>
  <si>
    <t>NM5A507</t>
  </si>
  <si>
    <t>C-91-177-23</t>
  </si>
  <si>
    <t>LAFO Resurfacing</t>
  </si>
  <si>
    <t>1CWT209</t>
  </si>
  <si>
    <t>C-91-013-25</t>
  </si>
  <si>
    <t>Smart Overlay, ADA Improvements</t>
  </si>
  <si>
    <t>Midlothian, Oak Forest</t>
  </si>
  <si>
    <t>WIU7540</t>
  </si>
  <si>
    <t>C-91-308-22</t>
  </si>
  <si>
    <t>EBIC484</t>
  </si>
  <si>
    <t>C-91-357-22</t>
  </si>
  <si>
    <t>ADA, sidewalk, truck apron in roundabout, trees, gates, benches, pavers, bump-outs, bike racks, drainage, wayfinding signage, and lighting.</t>
  </si>
  <si>
    <t>[A-LTS] Safety - Lighting, [A-MED] Safety - Median Projects, [A-PMRK] Safety - Pavement Marking, [E-ADAIMP] Improve ADA Infrastructure (Roadway), [E-BIKEPARK] Bicycle Parking, [E-LS] Enhancement - Landscaping, [H-RAB] Highway/Road - Roundabout</t>
  </si>
  <si>
    <t>ZZR2010</t>
  </si>
  <si>
    <t>C-91-065-25</t>
  </si>
  <si>
    <t>Bridge Painting, RR Flagger</t>
  </si>
  <si>
    <t>[A-OTH] Safety - Other, [B-PNT] Bridge/Structure - Paint</t>
  </si>
  <si>
    <t>43ZU021</t>
  </si>
  <si>
    <t>C-91-003-24</t>
  </si>
  <si>
    <t>Bridge Rehabilitation, Bikeway</t>
  </si>
  <si>
    <t>[B-REPAIR] Bridge/Structure - Reconst/Rehab No Chng in #, Wdth, or Lane, [Z-OTHEX] Miscellaneous - Exempt Projects</t>
  </si>
  <si>
    <t>LAFO Resurfacing along Taft Drive (FAU 1044) from East of Union Ave to Canal St. Improvements include hot-mix asphalt surface removal and resurfacing with binder and surface courses, concrete curb and gutter replacement, hot-mix asphalt patches, hot-mix asphalt driveway replacement, concrete driveway replacement, drainage adjustments, restoration, pavement marking, concrete sidewalk replacement and ADA facility improvements.</t>
  </si>
  <si>
    <t>[A-PMRK] Safety - Pavement Marking, [E-ADAIMP] Improve ADA Infrastructure (Roadway), [E-PEDIMP] Improve Pedestrian Facility, [H- PATCH] Highway/Road - Pavement Patching, [H-RS] Highway/Road - Resurface (with No Lane Widening)</t>
  </si>
  <si>
    <t>Y7DP186</t>
  </si>
  <si>
    <t>C-91-046-25</t>
  </si>
  <si>
    <t>Stony Island Avenue is a 2-lane road serving commercial and residential users. Project details include HMA surface removal and replacement, aggregate shoulder modification, pavement patching as needed, ADA ramps and landscaping as needed. 1 signalized intersection and 2 stop controlled intersections within the project limits</t>
  </si>
  <si>
    <t>[A-PMRK] Safety - Pavement Marking, [A-SHDR] Safety - Shoulder Improvements, [E-ADAIMP] Improve ADA Infrastructure (Roadway), [E-LS] Enhancement - Landscaping, [H-PATCH] Highway/Road - Pavement Patching, [H-RS] Highway/Road - Resurface (with No Lane Widening)</t>
  </si>
  <si>
    <t>D74F960</t>
  </si>
  <si>
    <t>C-91-063-25</t>
  </si>
  <si>
    <t>Resurfacing of 207th Street from Cicero Avenue to Crawford Avenue</t>
  </si>
  <si>
    <t>[A-GRD] Safety - Guardrails, [A-PMRK] Safety - Pavement Marking, [E- ADAIMP] Improve ADA Infrastructure (Roadway), [E-LS] Enhancement - Landscaping, [E-PEDIMP] Improve Pedestrian Facility, [H-C/G] Highway/Road - Curb And Gutter, [H-PATCH] Highway/Road - Pavement Patching, [H-RS] Highway/Road - Resurface (with No Lane Widening)</t>
  </si>
  <si>
    <t>L6L2866</t>
  </si>
  <si>
    <t>C-91-057-25</t>
  </si>
  <si>
    <t>Y030</t>
  </si>
  <si>
    <t>Main Street Resurfacing from Lincoln Highway to 216th Street</t>
  </si>
  <si>
    <t>[A-GRD] Safety - Guardrails, [A-PMRK] Safety - Pavement Marking, [E- ADAIMP] Improve ADA Infrastructure (Roadway), [E-LS] Enhancement - Landscaping, [E-PEDIMP] Improve Pedestrian Facility, [H-C/G] Highway/Road - Curb And Gutter, [H-PATCH] Highway/Road - Pavement Patching</t>
  </si>
  <si>
    <t>5VWT535</t>
  </si>
  <si>
    <t>C-91-059-25</t>
  </si>
  <si>
    <t>07-25-0004</t>
  </si>
  <si>
    <t>I-57 Calumet Park Electric Vehicle Charging Station</t>
  </si>
  <si>
    <t>NEVI funds for electric vehicle charging station at 12716 Ashland Ave.</t>
  </si>
  <si>
    <t>W6BY101</t>
  </si>
  <si>
    <t>N-75-023-25</t>
  </si>
  <si>
    <t>07-25-0024</t>
  </si>
  <si>
    <t>I-80 Homewood Electric Vehicle Charing Station</t>
  </si>
  <si>
    <t>Install Electric Vehicle Charging infrastructure for TESLA vehicles at the Homewood Target</t>
  </si>
  <si>
    <t>CM75095</t>
  </si>
  <si>
    <t>N-75-001-26</t>
  </si>
  <si>
    <t>Y133</t>
  </si>
  <si>
    <t>07-25-0025</t>
  </si>
  <si>
    <t>I-80 Lansing Electric Vehicle Charging Station</t>
  </si>
  <si>
    <t>Install Electric Charging Infrastructure at the Taco Bell in Lansing</t>
  </si>
  <si>
    <t>Designed Overlay, New Shoulders, ADA Improvements</t>
  </si>
  <si>
    <t>[A-SHDR] Safety - Shoulder Improvements, [E-ADAMAINT] Maintain/Repair ADA Infrastructure (Roadway), [H-RS] Highway/Road - Resurface (with No Lane Widening)</t>
  </si>
  <si>
    <t>Roselle, Schaumburg</t>
  </si>
  <si>
    <t>YJJD457</t>
  </si>
  <si>
    <t>C-91-209-22</t>
  </si>
  <si>
    <t>08-25-0004</t>
  </si>
  <si>
    <t>I-290 Elmhurst Electric Vehicle Charging Station</t>
  </si>
  <si>
    <t>NEVI funds for electric vehicle charging station at 601 N. York St.</t>
  </si>
  <si>
    <t>Elmhurst</t>
  </si>
  <si>
    <t>LMZX366</t>
  </si>
  <si>
    <t>N-75-015-25</t>
  </si>
  <si>
    <t>09-20-0039</t>
  </si>
  <si>
    <t>US 20/Shales - from Poplar Creek to IL 59</t>
  </si>
  <si>
    <t>Interchange Reconstruction, Bridge Replacement, Retaining Wall, Bridge Joint Replace/Repair, Bride Deck Overlay, Road Extension , Roundabouts, Interchange reconfiguration.</t>
  </si>
  <si>
    <t>[A-BAR] Safety - Barriers, [B-NEW] Bridge/Structure - New, [B-OVR] Bridge Deck - Overlay, [B-REPAIR] Bridge/Structure - Reconst/Rehab No Chng in #, Wdth, or Lane, [B-REPLACE] Bridge/Structure - Replace, [H-COR] Highway/Road - Corridor Improvement, [H-EXT] Highway/Road - Extend Road, [H-INTIMP] Highway/Road - Intersection Improvement, [H-RAB] Highway/Road - Roundabout, [I-EXP] Interchange - Expand (New Movements Added to Interchange), [I-RCNST] Interchange - Reconstruction, [S-MOD] Signals - Modernization</t>
  </si>
  <si>
    <t>Elgin</t>
  </si>
  <si>
    <t>339F142</t>
  </si>
  <si>
    <t>P-91-027-20</t>
  </si>
  <si>
    <t>Surveillance, Signing (New), Miscellaneous, RR Flagger</t>
  </si>
  <si>
    <t>[A-OTH] Safety - Other, [Z-OTHEX] Miscellaneous - Exempt Projects</t>
  </si>
  <si>
    <t>Chicago, Highland Park, Lincolnwood, Morton Grove, Northbrook, Northfield, Skokie, Wilmette</t>
  </si>
  <si>
    <t>BZF0469</t>
  </si>
  <si>
    <t>C-91-222-23</t>
  </si>
  <si>
    <t>Add lanes, Bike Path, Reconstruction, Culvert Replacement, Traffic Signal Modernization, Traffic Signal Replacement</t>
  </si>
  <si>
    <t>[E-BIKENEW] New Bicycle Facility, [H-AL] Highway/Road - Add Lanes, [H- CLVT] Highway/Road - Repair/Replace Culvert, [H-INTIMP] Highway/Road - Intersection Improvement, [H-RCNST] Highway/Road - Reconst with Change in Use or Width Of Lane, [S-MOD] Signals - Modernization</t>
  </si>
  <si>
    <t>ZN4W267</t>
  </si>
  <si>
    <t>D-91-312-20</t>
  </si>
  <si>
    <t>ITS elements include: traffic signal interconnect, travel time monitoring, dynamic message signs, closed-circuit television cameras, transit signal priority emergency vehicle preemption, and pedestrian countdown signals. Full ADA compliance at signalized intersections, improved pedestrian access to transit, the addition of high visibility crosswalks, and far side relocation of bus stops at traffic signals where feasible and desirable.</t>
  </si>
  <si>
    <t>[E-ADAIMP] Improve ADA Infrastructure (Roadway), [E-PEDIMP] Improve Pedestrian Facility, [S-MOD] Signals - Modernization, [S-TIM] Signals - Interconnects And Timing, [T-IMPSVC] Bus Routes - Improve Service</t>
  </si>
  <si>
    <t>1DXU858</t>
  </si>
  <si>
    <t>C-91-108-21</t>
  </si>
  <si>
    <t>2JSY870</t>
  </si>
  <si>
    <t>C-91-101-21</t>
  </si>
  <si>
    <t>Z40E</t>
  </si>
  <si>
    <t>M40E</t>
  </si>
  <si>
    <t>G36K567</t>
  </si>
  <si>
    <t>D-91-081-21</t>
  </si>
  <si>
    <t>Intersection Improvement</t>
  </si>
  <si>
    <t>Unincorporated</t>
  </si>
  <si>
    <t>I8L4637</t>
  </si>
  <si>
    <t>C-91-235-24</t>
  </si>
  <si>
    <t>16-19-0039</t>
  </si>
  <si>
    <t>CTA Blue Line Forest Park Reconstruction, RSP -93</t>
  </si>
  <si>
    <t>Project will reconstruct and reconfigure the Forest Park Terminal and Yard. The CTAs Forest Park Blue Line Upgrades Project is the first of four phases of the Forest Park Branch. Phase I: new trackwork from Halsted to IMD, an accessible station at Racine, advanced utility work, and a new substation and traction power equipment upgrades at Hermitage.</t>
  </si>
  <si>
    <t>Guideway Improvements</t>
  </si>
  <si>
    <t>[R-IMP] Rail Line - Improve Line</t>
  </si>
  <si>
    <t>CTA</t>
  </si>
  <si>
    <t>Chicago, Forest Park, Oak Park</t>
  </si>
  <si>
    <t>UYS6565</t>
  </si>
  <si>
    <t>N-91-002-26</t>
  </si>
  <si>
    <t>Y280</t>
  </si>
  <si>
    <t>Federal Project(s)</t>
  </si>
  <si>
    <t>Programmed Fund Source(s)</t>
  </si>
  <si>
    <t>AC Authorization Amount ($)</t>
  </si>
  <si>
    <t>CREATE East-West Corridor, EW-1, EW-2, EW-3, EW-4</t>
  </si>
  <si>
    <t>[A-LTS] Safety - Lighting, [E-ADAIMP] Improve ADA Infrastructure (Roadway), [H-C/G] Highway/Road - Curb And Gutter, [H-RS] Highway/Road - Resurface (with No Lane Widening), [H-STWTR] Highway/Road - Stormwater Infrastucture, [R-IMP] Rail Line - Improve Line, [S-MOD] Signals - Modernization, [Z-OTHEX] Miscellaneous - Exempt Projects</t>
  </si>
  <si>
    <t>Bedford Park, Chicago, McCook, Summit</t>
  </si>
  <si>
    <t>91LD405</t>
  </si>
  <si>
    <t>Natl Hwy Freight Pgm</t>
  </si>
  <si>
    <t>KMG3103</t>
  </si>
  <si>
    <t>B9V5881</t>
  </si>
  <si>
    <t>CREATE-GS1, 65th St, &amp; 63rd St @ BRC 59th St Line</t>
  </si>
  <si>
    <t>[A-OTH] Safety - Other, [E-ADAMAINT] Maintain/Repair ADA Infrastructure (Roadway), [H-RRGS] Highway/Road - Railroad Grade Separation, [H-RS] Highway/Road - Resurface (with No Lane Widening), [H-STWTR] Highway/Road - Stormwater Infrastucture, [Z-OTHEX] Miscellaneous - Exempt Projects</t>
  </si>
  <si>
    <t>JEAG627</t>
  </si>
  <si>
    <t>NHPP</t>
  </si>
  <si>
    <t>STP - Locally Prgmd</t>
  </si>
  <si>
    <t>CREATE PASSENGER CORRIDOR: P1-63rd &amp; State; P2-74th St; P3-75th St; P3-75th St+CMB; P4-Grand Crossing; P5-Brighton Park; P6 Canal in Summit; P7-Chicago Ridge. P1-P5 in Chicago. See also 18-09-2400 for EIS for P1-7.</t>
  </si>
  <si>
    <t>[A-LTS] Safety - Lighting, [E-ADAIMP] Improve ADA Infrastructure (Roadway), [E-LS] Enhancement - Landscaping, [E-PEDIMP] Improve Pedestrian Facility, [H-C/G] Highway/Road - Curb And Gutter, [H-RS] Highway/Road - Resurface (with No Lane Widening), [H-STWTR] Highway/Road - Stormwater Infrastucture, [R-IMP] Rail Line - Improve Line, [U-SIGS] CPS - Signals</t>
  </si>
  <si>
    <t>Chicago, Chicago Ridge</t>
  </si>
  <si>
    <t>-</t>
  </si>
  <si>
    <t>UH3A902</t>
  </si>
  <si>
    <t>Chicago, Dolton</t>
  </si>
  <si>
    <t>4MJ6604</t>
  </si>
  <si>
    <t>STP - State Prgmd Urban</t>
  </si>
  <si>
    <t>Bridge Replacement, RR Flagger</t>
  </si>
  <si>
    <t>[A-OTH] Safety - Other, [B-REPLACE] Bridge/Structure - Replace</t>
  </si>
  <si>
    <t>1XTC478</t>
  </si>
  <si>
    <t>Bridge Repair, Drainage</t>
  </si>
  <si>
    <t>Y1E5528</t>
  </si>
  <si>
    <t>Bridge - State Prgmd</t>
  </si>
  <si>
    <t>Bridge Deck Overlay, Bridge Joint Replace/Repair</t>
  </si>
  <si>
    <t>[B-DECK] Bridge Deck - Repair/Rehab, [B-OVR] Bridge Deck - Overlay</t>
  </si>
  <si>
    <t>8P9N708</t>
  </si>
  <si>
    <t>TAP - Locally Prgmd</t>
  </si>
  <si>
    <t>Road modernization with pedestrian improvements, including pedestrian refuge medians</t>
  </si>
  <si>
    <t>[A-LTS] Safety - Lighting, [A-MED] Safety - Median Projects, [A-PMRK] Safety - Pavement Marking, [E-ADAIMP] Improve ADA Infrastructure (Roadway), [E-LS] Enhancement - Landscaping, [E-PEDIMP] Improve Pedestrian Facility, [H-CLTL] Highway/Road - Continuous Bi-Directional Turn Lanes</t>
  </si>
  <si>
    <t>K3LS696</t>
  </si>
  <si>
    <t>[E-PEDIMP] Improve Pedestrian Facility, [E-PEDNEW] New Pedestrian Facility, [H-INTIMP] Highway/Road - Intersection Improvement, [S-MOD] Signals - Modernization</t>
  </si>
  <si>
    <t>7H9P533</t>
  </si>
  <si>
    <t>TAP - State ITEP (Fed)</t>
  </si>
  <si>
    <t>Bridge Replacement</t>
  </si>
  <si>
    <t>[B-REPLACE] Bridge/Structure - Replace</t>
  </si>
  <si>
    <t>17VU753</t>
  </si>
  <si>
    <t>SI5F661</t>
  </si>
  <si>
    <t>CMAQ</t>
  </si>
  <si>
    <t>Glencoe, Kenilworth, Winnetka</t>
  </si>
  <si>
    <t>34NK011</t>
  </si>
  <si>
    <t>Safe Routes to School</t>
  </si>
  <si>
    <t>Skokie, Wilmette</t>
  </si>
  <si>
    <t>X3TL656</t>
  </si>
  <si>
    <t>Replacement of the Lincoln Street Bridge over the North Shore Channel.</t>
  </si>
  <si>
    <t>178G358</t>
  </si>
  <si>
    <t>Bridge - Local Prgmd</t>
  </si>
  <si>
    <t>Hot-mix asphalt surface removal and resurfacing of Shermer Road from East Lake Avenue to Golf Road. Curb and gutter removal and replacement and pavement patching as needed along the full length of the improvement. ADA improvements will be completed as needed. Existing bike lanes will be re-striped as part of the improvements.</t>
  </si>
  <si>
    <t>[A-PMRK] Safety - Pavement Marking, [E-ADAIMP] Improve ADA Infrastructure (Roadway), [E-ADAMAINT] Maintain/Repair ADA Infrastructure (Roadway), [E-BIKEIMP] Improve Bicycle Facility, [E- BIKEMAINT] Maintain Bicycle Facility, [H-C/G] Highway/Road - Curb And Gutter, [H-PATCH] Highway/Road - Pavement Patching, [H-RS] Highway/Road - Resurface (with No Lane Widening)</t>
  </si>
  <si>
    <t>DD5S371</t>
  </si>
  <si>
    <t>Designed Overlay, ADA Improvements</t>
  </si>
  <si>
    <t>AZ3V926</t>
  </si>
  <si>
    <t>Pavement surface removal and HMA resurfacing with ADA improvements and curb and gutter spot repairs.</t>
  </si>
  <si>
    <t>[A-PMRK] Safety - Pavement Marking, [E-ADAMAINT] Maintain/Repair ADA Infrastructure (Roadway), [H-C/G] Highway/Road - Curb And Gutter, [H- PATCH] Highway/Road - Pavement Patching, [H-RS] Highway/Road - Resurface (with No Lane Widening)</t>
  </si>
  <si>
    <t>RS2J351</t>
  </si>
  <si>
    <t>Mill and resurface 3-3/4 inches; repair curb and gutter; repair or adjust utility structures; hot-mix asphalt patching; install pavement marking; and incidental restoration.</t>
  </si>
  <si>
    <t>[H-C/G] Highway/Road - Curb And Gutter, [H-PATCH] Highway/Road - Pavement Patching, [H-RS] Highway/Road - Resurface (with No Lane Widening)</t>
  </si>
  <si>
    <t>Mill and resurface 3-3/4 inches; repair curb and gutter; repair or adjust utility structures; patch hot-mix asphalt base; install pavement marking; and incidental restoration.</t>
  </si>
  <si>
    <t>NHVQ365</t>
  </si>
  <si>
    <t>The proposed scope of work is to be completed from Greenwood Avenue to Golf Road. Mill and resurface 3 inches; repair curb and gutter; repair or adjust utility structures; patch hot-mix asphalt base; install pavement marking; and incidental restoration.</t>
  </si>
  <si>
    <t>83E5067</t>
  </si>
  <si>
    <t>Crash analysis at major intersections; evaluate intersection of Beckwith Road for need for a variety of safety countermeasures; construct intersection improvements as needed; mill and resurface 3 inches; repair curb and gutter; repair or adjust utility structures; patch hot-mix asphalt base; install pavement marking; and incidental restoration.</t>
  </si>
  <si>
    <t>[A-PMRK] Safety - Pavement Marking, [H-C/G] Highway/Road - Curb And Gutter, [H-INTIMP] Highway/Road - Intersection Improvement, [H-PATCH] Highway/Road - Pavement Patching, [H-RS] Highway/Road - Resurface (with No Lane Widening)</t>
  </si>
  <si>
    <t>[H-INTIMP] Highway/Road - Intersection Improvement, [H-RCNST] Highway/Road - Reconst with Change in Use or Width Of Lane, [S-TIM] Signals - Interconnects And Timing</t>
  </si>
  <si>
    <t>Cook Co DOTH</t>
  </si>
  <si>
    <t>HTBZ252</t>
  </si>
  <si>
    <t>PROTECT (Discretionary)</t>
  </si>
  <si>
    <t>Hwy Safety Improve Pgm</t>
  </si>
  <si>
    <t>New multiuse path along Golf Road and Meacham Road, ADA improvements, pedestrian signal improvements.</t>
  </si>
  <si>
    <t>[E-ADAIMP] Improve ADA Infrastructure (Roadway), [E-SharedNew] New Shared Use Path, [S-MOD] Signals - Modernization</t>
  </si>
  <si>
    <t>VBND841</t>
  </si>
  <si>
    <t>Resurfacing and restriping of the Busse Rd (IL 83) @ Landmeier Rd intersection from 420 ft west of Busse Rd to 500 ft east of Busse Rd. Resurfacing omission for the intersection of Busse RdFull depth patching and concrete curb and gutter repairs where necessary, ADA improvements and accessible push button signals. New sidewalk segment on south side of Landmeier.</t>
  </si>
  <si>
    <t>[A-PMRK] Safety - Pavement Marking, [E-ADAIMP] Improve ADA Infrastructure (Roadway), [E-PEDNEW] New Pedestrian Facility, [H-C/G] Highway/Road - Curb And Gutter, [H-RS] Highway/Road - Resurface (with No Lane Widening)</t>
  </si>
  <si>
    <t>RTQ0408</t>
  </si>
  <si>
    <t>Community Project Funding</t>
  </si>
  <si>
    <t>JR0B740</t>
  </si>
  <si>
    <t>Roadway rehabilitation and drainage improvements, bicycle and pedestrian and ADA improvements. Intersection improvements will evaluate the needs for increased turn lane storage, modernized traffic signal equipment such as pedestrian countdowns and roadway lighting.</t>
  </si>
  <si>
    <t>[A-LTS] Safety - Lighting, [E-ADAIMP] Improve ADA Infrastructure (Roadway), [E-BIKEIMP] Improve Bicycle Facility, [E-PEDIMP] Improve Pedestrian Facility, [E-SharedMaint] Maintain Shared Path Facility, [E- SharedModern] Improve Shared Path Facility, [H-C/G] Highway/Road - Curb And Gutter, [H-INTIMP] Highway/Road - Intersection Improvement, [H-RS] Highway/Road - Resurface (with No Lane Widening), [S-MOD] Signals - Modernization</t>
  </si>
  <si>
    <t>2AKS214</t>
  </si>
  <si>
    <t>New sidewalk on the south side of Algonquin Road and provide an off-road bike path on the north side of Algonquin Road. Add pedestrian and bicycle crossings of Algonquin Road at signalized intersections, including the addition of pedestrian signals. Existing roadway lighting will be upgraded and new roadway lighting will be installed on the eastern portion.</t>
  </si>
  <si>
    <t>[A-LTS] Safety - Lighting, [E-PEDIMP] Improve Pedestrian Facility, [E- PEDNEW] New Pedestrian Facility, [E-SharedNew] New Shared Use Path</t>
  </si>
  <si>
    <t>Roadway resurfacing, replace concrete curb and gutter, install new 5' wide concrete sidewalk on west side of roadway for the entire limits, install pavement markings and raised pavement markers</t>
  </si>
  <si>
    <t>[A-PMRK] Safety - Pavement Marking, [E-PEDNEW] New Pedestrian Facility, [H-C/G] Highway/Road - Curb And Gutter, [H-RS] Highway/Road - Resurface (with No Lane Widening)</t>
  </si>
  <si>
    <t>P688375</t>
  </si>
  <si>
    <t>Arlington Heights, Des Plaines, Evanston, Wilmette</t>
  </si>
  <si>
    <t>WGJJ923</t>
  </si>
  <si>
    <t>Des Plaines, Elk Grove Village, Schaumburg</t>
  </si>
  <si>
    <t>8SP4014</t>
  </si>
  <si>
    <t>Improvements include milling and resurfacing of the existing HMA pavement, removing and replacing portions of the curb and gutter, sidewalk removal and replacement. There will be a replacement of pavement markings for the entirety of the project.</t>
  </si>
  <si>
    <t>[A-PMRK] Safety - Pavement Marking, [E-ADANEW] New ADA Infrastructure (Roadway), [H-C/G] Highway/Road - Curb And Gutter, [H-RS] Highway/Road - Resurface (with No Lane Widening)</t>
  </si>
  <si>
    <t>STP - Shared Fund</t>
  </si>
  <si>
    <t>Reconstruction of McConnor Pkwy from Meacham Rd to Roosevelt Blvd. The existing HMA roadway will be reconstructed in place with new full depth HMA pavement and new curb and gutter, increased median left turn lane storage and tapers, replacement of sidewalk on north side of road, replacement of multi-use on south side of road, replace existing storm sewer. Traffic signal modernization at Roosevelt Blvd. Project will also include corridor lighting replacement.</t>
  </si>
  <si>
    <t>[A-LTS] Safety - Lighting, [A-MED] Safety - Median Projects, [A-PMRK] Safety - Pavement Marking, [E-ADAIMP] Improve ADA Infrastructure (Roadway), [E-BIKEIMP] Improve Bicycle Facility, [E-SharedModern] Improve Shared Path Facility, [H-C/G] Highway/Road - Curb And Gutter, [H- INTIMP] Highway/Road - Intersection Improvement, [H-INTRC] Highway/Road - Intersection Reconstruction, [H-RCINKND] Highway/Road - Reconstruct in Kind, [S-MOD] Signals - Modernization</t>
  </si>
  <si>
    <t>6PF3524</t>
  </si>
  <si>
    <t>Reconstruction of McConnor Pkwy from Roosevelt Blvd to Golf Rd. The existing HMA roadway will be reconstructed in place with new full depth HMA pavement and new curb and gutter, increased median left turn lane storage and tapers, replacement of sidewalk on north side of road, replacement of multi-use on south side of road, replace existing storm sewer. Traffic signal modernization at Golf Rd and the addition of east bound dual left turn lanes on Golf Rd at McConnor Pkwy.</t>
  </si>
  <si>
    <t>[A-MED] Safety - Median Projects, [A-PMRK] Safety - Pavement Marking, [E ADAIMP] Improve ADA Infrastructure (Roadway), [E-PEDIMP] Improve Pedestrian Facility, [E-SharedModern] Improve Shared Path Facility, [H- C/G] Highway/Road - Curb And Gutter, [H-INTIMP] Highway/Road - Intersection Improvement, [H-RCINKND] Highway/Road - Reconstruct in Kind, [S-MOD] Signals - Modernization</t>
  </si>
  <si>
    <t>-Northwest Council</t>
  </si>
  <si>
    <t>Designed Overlay, ADA Improvements, RR Flagger</t>
  </si>
  <si>
    <t>[A-OTH] Safety - Other, [E-ADAMAINT] Maintain/Repair ADA Infrastructure (Roadway), [H-RS] Highway/Road - Resurface (with No Lane Widening)</t>
  </si>
  <si>
    <t>Arlington Heights, Buffalo Grove, Wheeling</t>
  </si>
  <si>
    <t>NQHR926</t>
  </si>
  <si>
    <t>The SRTS sidewalk improvement includes adding sidewalks on both sides of Prairie Ave from South St to about 300 feet south of Hillside Ave and on the north side of South St between Summit St and Prairie Ave. On Prairie Ave, sidewalks will be placed in the parkway on both sides with a crossing at South St. On South St, the sidewalk will run along the north side against the back of the curb, with crossings at Summit St and Division St.</t>
  </si>
  <si>
    <t>[E-ADAIMP] Improve ADA Infrastructure (Roadway), [E-ADANEW] New ADA Infrastructure (Roadway), [E-PEDNEW] New Pedestrian Facility, [E- SRTS] Safe Routes to School</t>
  </si>
  <si>
    <t>5CN6267</t>
  </si>
  <si>
    <t>6CYP041</t>
  </si>
  <si>
    <t>DLYC077</t>
  </si>
  <si>
    <t>4NTV036</t>
  </si>
  <si>
    <t>This project consists of the complete replacement of Structure Number 016-3231, Wedgwood Drive over Addison Creek, and installation of concrete approach slabs and sidewalks. Scour countermeasures will be included in the proposed design. The existing structure consists of a three- span concrete slab deck on concrete stub abutments with concrete slope walls and concrete piers.</t>
  </si>
  <si>
    <t>[B-SUP] Bridge Superstructure - Repair/Rehab</t>
  </si>
  <si>
    <t>RMON321</t>
  </si>
  <si>
    <t>S3ID047</t>
  </si>
  <si>
    <t>Smart Overlay, Drainage, Curb &amp; Gutter, ADA Improvements</t>
  </si>
  <si>
    <t>Broadview, Maywood, North Riverside</t>
  </si>
  <si>
    <t>8AWS744</t>
  </si>
  <si>
    <t>Replacement of the Home Avenue Bridge over I-290 in the Village of Oak Park</t>
  </si>
  <si>
    <t>[B-REPAIR] Bridge/Structure - Reconst/Rehab No Chng in #, Wdth, or Lane, [E-PEDIMP] Improve Pedestrian Facility, [E-SharedModern] Improve Shared Path Facility</t>
  </si>
  <si>
    <t>1JHV790</t>
  </si>
  <si>
    <t>Other - Federal</t>
  </si>
  <si>
    <t>Pedestrian Improvement near Garfield Elementary School on 9th St at Van Buren and Quincy and 8th St at Quincy.</t>
  </si>
  <si>
    <t>[E-SRTS] Safe Routes to School</t>
  </si>
  <si>
    <t>DS43688</t>
  </si>
  <si>
    <t>DYLR456</t>
  </si>
  <si>
    <t>Intersection Improvement, ADA Improvement</t>
  </si>
  <si>
    <t>[E-ADAMAINT] Maintain/Repair ADA Infrastructure (Roadway), [H-INTIMP] Highway/Road - Intersection Improvement</t>
  </si>
  <si>
    <t>I1LY522</t>
  </si>
  <si>
    <t>Rehabilitating the roadway, sidewalk and curb and gutter, pedestrian enhancements, traffic safety measures, permeable pavers, and rain gardens.</t>
  </si>
  <si>
    <t>[A-LTS] Safety - Lighting, [A-OPT] Safety - Opticom Equipment, [A-OTH] Safety - Other, [A-PMRK] Safety - Pavement Marking, [E-ADAMAINT] Maintain/Repair ADA Infrastructure (Roadway), [E-BIKEMAINT] Maintain Bicycle Facility, [E-BIKEPARK] Bicycle Parking, [E-LS] Enhancement - Landscaping, [E-PEDMAINT] Maintain Pedestrian Facility, [H-C/G] Highway/Road - Curb And Gutter, [H-PATCH] Highway/Road - Pavement Patching, [H-RS] Highway/Road - Resurface (with No Lane Widening), [S- MOD] Signals - Modernization</t>
  </si>
  <si>
    <t>Y3SE235</t>
  </si>
  <si>
    <t>Standard Overlay</t>
  </si>
  <si>
    <t>Berwyn, Cicero, Lyons, Stickney</t>
  </si>
  <si>
    <t>FZ1C813</t>
  </si>
  <si>
    <t>Resurfacing Maple Avenue from Brookfield Avenue to 31st Street.</t>
  </si>
  <si>
    <t>DI0V663</t>
  </si>
  <si>
    <t>Bike trail improvements and pavement resurfacing and construction of a parking lot expansion</t>
  </si>
  <si>
    <t>GQHL676</t>
  </si>
  <si>
    <t>Resurfacing project - 2-1/4" hot mix asphalt surface removal, 1-3/4" surface course &amp; 3/4" polymerized leveling binder replacement. Spot curb &amp; gutter replacement, ADA compliant sidewalk crossings, class D patching where needed, adjustment of utility structures, thermoplastic striping, and restoration.</t>
  </si>
  <si>
    <t>[A-PMRK] Safety - Pavement Marking, [E-ADAMAINT] Maintain/Repair ADA Infrastructure (Roadway), [H-RS] Highway/Road - Resurface (with No Lane Widening)</t>
  </si>
  <si>
    <t>YMMG074</t>
  </si>
  <si>
    <t>WZPB549</t>
  </si>
  <si>
    <t>Designed Overlay</t>
  </si>
  <si>
    <t>5WVJ064</t>
  </si>
  <si>
    <t>Alsip, Oak Lawn</t>
  </si>
  <si>
    <t>QQU3962</t>
  </si>
  <si>
    <t>Alsip, Chicago, Oak Lawn</t>
  </si>
  <si>
    <t>LIPA365</t>
  </si>
  <si>
    <t>Lighting and Landscaping</t>
  </si>
  <si>
    <t>[A-LTS] Safety - Lighting, [E-LS] Enhancement - Landscaping</t>
  </si>
  <si>
    <t>Richton Park, University Park</t>
  </si>
  <si>
    <t>9003016</t>
  </si>
  <si>
    <t>Bridge Repair, Bridge Deck Overlay, Bridge Replacement</t>
  </si>
  <si>
    <t>[B-OVR] Bridge Deck - Overlay, [B-REPAIR] Bridge/Structure - Reconst/Rehab No Chng in #, Wdth, or Lane, [B-REPLACE] Bridge/Structure - Replace</t>
  </si>
  <si>
    <t>GZ34587</t>
  </si>
  <si>
    <t>Construct a new multi-use path in the Village of Sauk Village along Cottage Grove Ave, Sauk Trail, Cornell Avenue, and 223rd Street</t>
  </si>
  <si>
    <t>2YL3004</t>
  </si>
  <si>
    <t>Part of RTA's Access to Transit program, pedestrian improvements around the Midlothian Metra Station</t>
  </si>
  <si>
    <t>[E-ADAIMP] Improve ADA Infrastructure (Roadway), [E-PEDIMP] Improve Pedestrian Facility, [E-PEDNEW] New Pedestrian Facility</t>
  </si>
  <si>
    <t>VI1I084</t>
  </si>
  <si>
    <t>Roadway resurfacing on Westwood Drive including pavement patching, replace existing curb and gutter, replace existing driveway aprons, sidewalk improvements across driveway apron areas, ADA sidewalk improvements at intersections, sewer structure reconstructions and adjustments, pavement markings, replace on-street parking pavement markings, bike sharrow pavement markings,</t>
  </si>
  <si>
    <t>[A-OPT] Safety - Opticom Equipment, [A-PMRK] Safety - Pavement Marking, [E-ADAIMP] Improve ADA Infrastructure (Roadway), [E- ADAMAINT] Maintain/Repair ADA Infrastructure (Roadway), [E-ADANEW] New ADA Infrastructure (Roadway), [E-BIKEMAINT] Maintain Bicycle Facility, [E-PEDIMP] Improve Pedestrian Facility, [E-PEDMAINT] Maintain Pedestrian Facility, [H-C/G] Highway/Road - Curb And Gutter, [H-PATCH] Highway/Road - Pavement Patching, [H-RS] Highway/Road - Resurface (with No Lane Widening), [S-MOD] Signals - Modernization</t>
  </si>
  <si>
    <t>3P75528</t>
  </si>
  <si>
    <t>Trail project connecting the Tinley Creek and Cal-Sag trails in Blue Island, Robbins, Midlothian, Oak Forest, and Crestwood.</t>
  </si>
  <si>
    <t>[E-ADAIMP] Improve ADA Infrastructure (Roadway), [E-BIKENEW] New Bicycle Facility, [E-SharedNew] New Shared Use Path, [S-MOD] Signals - Modernization</t>
  </si>
  <si>
    <t>Blue Island, Crestwood, Midlothian, Robbins</t>
  </si>
  <si>
    <t>PDY1340</t>
  </si>
  <si>
    <t>Chicago Heights, Hazel Crest, Homewood, Richton Park</t>
  </si>
  <si>
    <t>ZVSZ220</t>
  </si>
  <si>
    <t>HBLQ493</t>
  </si>
  <si>
    <t>8TBS840</t>
  </si>
  <si>
    <t>9I6B759</t>
  </si>
  <si>
    <t>Glenwood, Homewood</t>
  </si>
  <si>
    <t>WWFK227</t>
  </si>
  <si>
    <t>08-24-0017</t>
  </si>
  <si>
    <t>Center Avenue Sidewalk</t>
  </si>
  <si>
    <t>Installation of a new sidewalk, where none currently exits, along the east side of Center Avenue between Maple Avenue and Laurel Avenue. Also included is upgrading all crossings to the latest ADA standards through the corridor.</t>
  </si>
  <si>
    <t>[E-ADAIMP] Improve ADA Infrastructure (Roadway), [E-ADANEW] New ADA Infrastructure (Roadway), [E-PEDNEW] New Pedestrian Facility</t>
  </si>
  <si>
    <t>DuPage Council</t>
  </si>
  <si>
    <t>Hanover Park</t>
  </si>
  <si>
    <t>E35N441</t>
  </si>
  <si>
    <t>Cook, DuPage, Kane</t>
  </si>
  <si>
    <t>Glen Ellyn, Hillside, St. Charles, West Chicago</t>
  </si>
  <si>
    <t>G9UR363</t>
  </si>
  <si>
    <t>Clarendon Hills, Hinsdale, McCook, Naperville, Westmont</t>
  </si>
  <si>
    <t>I039578</t>
  </si>
  <si>
    <t>09-25-0023</t>
  </si>
  <si>
    <t>US 20 Lake St - Shales Pkwy/Bluff City Blvd to W of Intersection</t>
  </si>
  <si>
    <t>LZPB560</t>
  </si>
  <si>
    <t>6LX9253</t>
  </si>
  <si>
    <t>Traffic Signal Modernization, Intersection Improvement</t>
  </si>
  <si>
    <t>Braidwood, Crestwood, Lynwood, Plainfield, Worth</t>
  </si>
  <si>
    <t>YIV6043</t>
  </si>
  <si>
    <t>Intersection Reconstruction, Culvert Rehabilitation, Landscaping</t>
  </si>
  <si>
    <t>[B-REPAIR] Bridge/Structure - Reconst/Rehab No Chng in #, Wdth, or Lane, [E-LS] Enhancement - Landscaping, [H-INTRC] Highway/Road - Intersection Reconstruction</t>
  </si>
  <si>
    <t>5CJN586</t>
  </si>
  <si>
    <t>FTA Project #</t>
  </si>
  <si>
    <t>Federal Fund</t>
  </si>
  <si>
    <t>01-94-0006</t>
  </si>
  <si>
    <t>254.001 Red Line Extension from US 12 US 20 95th St to 130th - RSP 57</t>
  </si>
  <si>
    <t>The proposed Red Line Extension (RLE) project would extend the Red Line from the existing terminal at 95th Street/Dan Ryan to the vicinity of 132nd Street, subject to the availability of funding. The 5.6-mile extension would include four new, accessible stations at 103rd Street, 111th Street, Michigan Avenue, and 130th Street. Other-Federal in FFY 23 are 450k from Areas of Persistent poverty FFY 21 grant and $1.5M in workforce development grants.</t>
  </si>
  <si>
    <t>Transit Line/Route Expansion</t>
  </si>
  <si>
    <t>[C-NEW] Station - New, [R-EXP] Rail Line - Expand Line</t>
  </si>
  <si>
    <t>IL-2025-001-00</t>
  </si>
  <si>
    <t>FTA 5309 (CIG - New Starts)</t>
  </si>
  <si>
    <t>FTA Obligation</t>
  </si>
  <si>
    <t>IL-2025-001-01</t>
  </si>
  <si>
    <t>13-24-0001</t>
  </si>
  <si>
    <t>FTA Section (FFY 22 and 23) 5310 Enhanced Mobility for Seniors and Individuals with Disabilities (RTA 2022 &amp; 2023 Program of Projects)</t>
  </si>
  <si>
    <t>Projects that provide enhanced transportation services for Seniors and Individuals with Disabilities throughout the region using FTA Section 5310 funds from FFY 22 and 23.</t>
  </si>
  <si>
    <t>Transit Operations</t>
  </si>
  <si>
    <t>[O-C&amp;A] Operations - Contingency And Administration, [O-OPS] Operations - Transit Operating Assistance, [Z-OTHEX] Miscellaneous - Exempt Projects</t>
  </si>
  <si>
    <t>RTA</t>
  </si>
  <si>
    <t>IL-2024-004-00</t>
  </si>
  <si>
    <t>FTA 5310 Elderly/Disabled</t>
  </si>
  <si>
    <t>16-02-0004</t>
  </si>
  <si>
    <t>141.273 Reconstruct Rail Stations</t>
  </si>
  <si>
    <t>Project will provide for the upgrade and enhancement of CTAs rail stations system-wide. The Refreshed &amp; Renewed Program performs major improvement work at transit operations facilities for both the customer and the internal needs of the Authority. Project will also provide for Customer Assistant Kiosks.</t>
  </si>
  <si>
    <t>[R-MAINT] Rail Line - Maintain, Rehabilitate, Replace</t>
  </si>
  <si>
    <t>IL-2025-028</t>
  </si>
  <si>
    <t>FTA 5337 Good Repair</t>
  </si>
  <si>
    <t>16-03-0011</t>
  </si>
  <si>
    <t>150.028 Implement Security Projects</t>
  </si>
  <si>
    <t>The HLS Program provides funding to state, local, tribal, and territorial governments, as well as transportation authorities, nonprofit organizations, and the private sector, to improve the nation's readiness in preventing, protecting against, responding to, recovering from and mitigating terrorist attacks, major disasters and other emergencies.</t>
  </si>
  <si>
    <t>[Z-OTHEX] Miscellaneous - Exempt Projects</t>
  </si>
  <si>
    <t>FTA 5307 Urban Formula</t>
  </si>
  <si>
    <t>16-03-0014</t>
  </si>
  <si>
    <t>308.002 CTA Bond Repayment- Principal, Interest and Finance Cost</t>
  </si>
  <si>
    <t>Funding will provide for debt service and the cost of issuance of bonds, notes and other indebtedness incurred by CTA while utilizing either short- term or long-term financing for capital activities.</t>
  </si>
  <si>
    <t>Other Transit</t>
  </si>
  <si>
    <t>16-13-0003</t>
  </si>
  <si>
    <t>086.500 Equipment and Non-Revenue Vehicles Replacement</t>
  </si>
  <si>
    <t>Funding provides for Open Fare Lease (OFL), the Purchase of Diesel Locomotives and Non-Rev Utility Vehicles. OFL provides for the principal and interest costs needed for the open fare standard equipment, hardware and software costs. Provides for the replacement of 4 diesel locomotive snow-fighters. Creates a small, multi-year program to replace, renew, or lease vehicles assigned to the Utility Group with CTA Facility Maintenance.</t>
  </si>
  <si>
    <t>Transit Equipment &amp; Furnishings</t>
  </si>
  <si>
    <t>16-15-0005</t>
  </si>
  <si>
    <t>132.056 Purchase Rail Cars - 7000's (Base Order 400 Cars &amp; Options)</t>
  </si>
  <si>
    <t>Funding will provide for a share of anticipated cash needs and obligation provisions as identified in the contract documents for the base order to procure 400 new 7000' series rail cars. Project is funded with Federal, State (Rebuild Illinois), and Service Board Funds.</t>
  </si>
  <si>
    <t>Transit Vehicles (Bus/Rail)</t>
  </si>
  <si>
    <t>[J-REP] Rolling Stock - Replace Existing Vehicles</t>
  </si>
  <si>
    <t>16-19-0001</t>
  </si>
  <si>
    <t>310.001 Capital Improvement Program Management</t>
  </si>
  <si>
    <t>This project provides for various program administration teams to support CTA staff in the planning and management of the agency's Capital Program.</t>
  </si>
  <si>
    <t>FTA 5339A Bus (Formula)</t>
  </si>
  <si>
    <t>16-22-0007</t>
  </si>
  <si>
    <t>141.283 Rehabilitate Rail Stations - ASAP</t>
  </si>
  <si>
    <t>ASAP is a dedicated planning effort to establish the first-ever blueprint for making 42 remaining non-accessible rail stations vertically accessible over the next 20 years. FY2022 will provide funding to complete the 100% design plan for all six targeted Oak Pk, Ridgeland, Irving Pk, Belmont, Grand, and Division) Stations; and also provides for elevator replacement.</t>
  </si>
  <si>
    <t>[C-MAINT] Rail Stations - Maintain, Rehabilitate, Replace, [D-FAC] ADA - Transit Facility Improvements, [E-ADAIMP] Improve ADA Infrastructure (Roadway), [E-ADAMAINT] Maintain/Repair ADA Infrastructure (Roadway), [E-ADANEW] New ADA Infrastructure (Roadway)</t>
  </si>
  <si>
    <t>16-22-0011</t>
  </si>
  <si>
    <t>150.207 Subway Life Safety</t>
  </si>
  <si>
    <t>This Program includes projects that improve safety across CTA Right of Way (ROW), particularly in the subway systems and facilities to help meet life safety requirements per applicable codes. Life safety code standards encompass the construction, protection and occupancy features necessary to minimize danger to life from the effects of fire, including smoke, heat, and toxic gases created during a fire. This includes proper means of egress, lighting enhancements, subway ventilation and others.</t>
  </si>
  <si>
    <t>[A-OTH] Safety - Other</t>
  </si>
  <si>
    <t>16-23-0001</t>
  </si>
  <si>
    <t>021.806 Mid-Life Bus Overhaul - 450 of 450 Nova Series 7900</t>
  </si>
  <si>
    <t>Funding will provide for the mid-life overhaul of the CTA Nova buses 7900 Series.</t>
  </si>
  <si>
    <t>[J-REHAB] Rolling Stock - Rehabilitate Vehicles</t>
  </si>
  <si>
    <t>16-23-0002</t>
  </si>
  <si>
    <t>022.903 Life extending Overhaul 2600/3200 Series</t>
  </si>
  <si>
    <t>Life extending overhaul on the 258 3200 Series and 300 2600 Series cars. Work on these cars will focus on major systems starting with the proplusion/powering.</t>
  </si>
  <si>
    <t>16-23-0003</t>
  </si>
  <si>
    <t>022.903 Replace/Upgrade Rail Car Systems and Technology</t>
  </si>
  <si>
    <t>Replace existing video system on the 3200 and 5000 series rail cars with a more reliable system. Funds will also provide for various Technology upgrades, such as: Replace RETS engineer computers. Improve Skokie server capacity for storage of larger files related to new car/overhaul programs, incident investigations. New laptops are needed for instructors to properly address troubleshooting, event recorder and diagnostics. Tablets for repairers connected via WiFi to MMIS to allow easy access.</t>
  </si>
  <si>
    <t>[U-COM] CPS - Communications, [Z-OTHEX] Miscellaneous - Exempt Projects</t>
  </si>
  <si>
    <t>16-23-0004</t>
  </si>
  <si>
    <t>086.500 Non-Revenue Rail Vehicle Equipment Replacement (Rail-Borne)</t>
  </si>
  <si>
    <t>Replace various rail-borne non-revenue vehicles that have exceeded their useful lives. Equipment includes: car movers, rail borne sewer vacuum, subway washer vehicle, rail profile grinder, rail cranes, locomotive cranes 22 ton, tie cranes, tie inserters, MKVI tamper and stabilizer. Car movers needed to move rail cars in/out of shops, sewer vac needed for subway sewers, subway washer needed for subway cleanliness, other equip. needed for track maintenance.</t>
  </si>
  <si>
    <t>[D-VEH] ADA - Transit Vehicle Improvements, [F-SHOP] Facility - Shop Facilities/Equipment</t>
  </si>
  <si>
    <t>16-24-0004</t>
  </si>
  <si>
    <t>132.056 Purchase Rail Cars - 9000' Series</t>
  </si>
  <si>
    <t>Planned new 9000 Series rail car contract will consist of a Base Order to purchase 300 cars and option(s) for an additional 246 cars.</t>
  </si>
  <si>
    <t>16-25-0021</t>
  </si>
  <si>
    <t>041.500 Bus Turnaround Improvements</t>
  </si>
  <si>
    <t>Project will provide for rehab/replacement of bus turnarounds at priority locations, project will also provide for permanent restroom facilities at certain bus turnarounds; project will also focus on Bus Turnaround ADA &amp; Site Improvements- Halsted and 79th Street.</t>
  </si>
  <si>
    <t>[E-ADANEW] New ADA Infrastructure (Roadway), [F-TRN] Facility - Bus Turnaround</t>
  </si>
  <si>
    <t>16-96-0061</t>
  </si>
  <si>
    <t>031.054 Replace Buses</t>
  </si>
  <si>
    <t>Project will provide for the Standard Bus Procurement of up to 600 Buses.</t>
  </si>
  <si>
    <t>16-98-0003</t>
  </si>
  <si>
    <t>061.059 Implement Computer System</t>
  </si>
  <si>
    <t>Funds will provide for periodic replacement of systems, computers and associated components as well as annual funds for IT's state-of-good- repair maintenance program. This state of good repair maintenance program will provide for the repair, replacement, and upgrade of IT systems and/or devices, software, emergency restoration, subject matter expertise support, system monitoring, and cyber security solutions. Funds will also provide for enhancements to the asset management system.</t>
  </si>
  <si>
    <t>Transit Support Facilities</t>
  </si>
  <si>
    <t>[F-OFC] Facility - Office Facilities/Equipment, [U-COM] CPS - Communications</t>
  </si>
  <si>
    <t>16-99-0002</t>
  </si>
  <si>
    <t>073.500 Improve Facilities - Systemwide</t>
  </si>
  <si>
    <t>Planned work includes renewal initiatives for the following: (1) Facilities Maintenance funding will be targeted at preventive maintenance projects at various CTA facilities system-wide. (2) Modernization of rail yards and (3) Critical repairs at CTA facilities system-wide; it will also provides for (4) Office Building Lease payments principal and interest; and (5) Sheds for the new Diesel Locomotives.</t>
  </si>
  <si>
    <t>[C-MAINT] Rail Stations - Maintain, Rehabilitate, Replace, [D-FAC] ADA - Transit Facility Improvements, [M-MAINT] Multi-Modal Center - Maintain, Rehabilitate, Replace, [V-MAINT] Vehicle Facility - Maintenance</t>
  </si>
  <si>
    <t>17-24-0001</t>
  </si>
  <si>
    <t>Enhanced Mobility of Seniors &amp; Individuals with Disabilities program for Mobility as a Service (MaaS)</t>
  </si>
  <si>
    <t>Mobility as a Service (MaaS) is a two-year pilot project designed to support customer access to one click real-time trip planning throughout Pace's six-county service area for Pace's Fixed Route, On-Demand and Paratransit family of services.</t>
  </si>
  <si>
    <t>Pace</t>
  </si>
  <si>
    <t>IL-2024-011-01-00</t>
  </si>
  <si>
    <t>17-94-0008</t>
  </si>
  <si>
    <t>Pace - Purchase/Replace Fixed Rte Buses</t>
  </si>
  <si>
    <t>2021 and 2022 funding will purchase 13 replacement 40 ft. hybrid buses, 10 expansion 40 ft. hybrid buses for Pulse Dempster and 24 replacement 35 ft. hybrid buses. Pace will also purchase an additional 33 replacement 35 ft. hybrid buses using FY2024 Low-No discretionary funds. Pace's 2025 capital budget includes the purchase of 13 over-the-road coach buses and 8 hybrid buses.</t>
  </si>
  <si>
    <t>[J-EXP] Rolling Stock - Expand Fleet, [J-FUEL] Rolling Stock - Alternate Fuels, [J-REP] Rolling Stock - Replace Existing Vehicles</t>
  </si>
  <si>
    <t>IL-2025-006</t>
  </si>
  <si>
    <t>FTA 5339C Low or No Emission Bus</t>
  </si>
  <si>
    <t>IL-2025-026</t>
  </si>
  <si>
    <t>17-94-0009</t>
  </si>
  <si>
    <t>Pace-Purchase/Replace Paratransit Vehicles</t>
  </si>
  <si>
    <t>Purchase Paratransit Vehicles including associated equipment</t>
  </si>
  <si>
    <t>17-96-0005</t>
  </si>
  <si>
    <t>Pace-Expand Existing Garage from 76th St and Industrial Dr (Southwest Garage Expansion)</t>
  </si>
  <si>
    <t>Southwest Division was built in 1994 and is currently at capacity and an expansion is needed to support future growth, including Rapid Transit service on the Pulse Network and the Tri-State Express Bus service. Additionally, necessary improvements would be made to the existing 80,000 square foot building which would reduce maintenance and operating costs.</t>
  </si>
  <si>
    <t>[J-INF] Alternative Fuel Infrastructure, [V-MAINT] Vehicle Facility - Maintenance, [V-STOR] Vehicle Facility - Storage</t>
  </si>
  <si>
    <t>18-10-0006</t>
  </si>
  <si>
    <t>Metra Regionwide Rolling Stock Improvement</t>
  </si>
  <si>
    <t>Metra Rolling Stock Improvement</t>
  </si>
  <si>
    <t>[C-MAINT] Rail Stations - Maintain, Rehabilitate, Replace, [J-REHAB] Rolling Stock - Rehabilitate Vehicles</t>
  </si>
  <si>
    <t>Metra</t>
  </si>
  <si>
    <t>IL-2025-027-01-00</t>
  </si>
  <si>
    <t>18-10-0026</t>
  </si>
  <si>
    <t>Metra - Interlockings Regionwide</t>
  </si>
  <si>
    <t>Upgrades and improvements to the signal system and tracks at switches, crossovers, and larger interlocking plants. Locations include 16th Street on the Rock Island, A-20 Interlocking on the Milwaukee District North, Morgan Interlocking on the Milwaukee District, Western Interlocking on the Rock Island, and the interlockings at Chicago Union Station.</t>
  </si>
  <si>
    <t>[U-SIGS] CPS - Signals</t>
  </si>
  <si>
    <t>IL-2024-025-01-00</t>
  </si>
  <si>
    <t>18-16-0001</t>
  </si>
  <si>
    <t>Catenary Structures on Metra Electric line</t>
  </si>
  <si>
    <t>Catenary Structures on MED line.</t>
  </si>
  <si>
    <t>18-16-0002</t>
  </si>
  <si>
    <t>Locomotive Rehab, Traction Motor Rebuild</t>
  </si>
  <si>
    <t>5011 Loco Rehab (Used F59), Traction Motor Rebuild</t>
  </si>
  <si>
    <t>[J-RETRO] Rolling Stock - Retrofit Engine</t>
  </si>
  <si>
    <t>18-16-0003</t>
  </si>
  <si>
    <t>Digital Recording System, HVAC Refrigerant Conversion</t>
  </si>
  <si>
    <t>5010 Digital Recording System &amp; Cameras, 5004 HVAC Refrigerant Conversion</t>
  </si>
  <si>
    <t>[J-REHAB] Rolling Stock - Rehabilitate Vehicles, [Z-OTHEX] Miscellaneous - Exempt Projects</t>
  </si>
  <si>
    <t>18-16-0004</t>
  </si>
  <si>
    <t>Train Car Improvements and Rehab</t>
  </si>
  <si>
    <t>5008 MU Car Imps, 5009 Car Rehab Nippon Sharyo</t>
  </si>
  <si>
    <t>IL-2025-027-02-00</t>
  </si>
  <si>
    <t>18-16-0005</t>
  </si>
  <si>
    <t>Locomotive and Car Improvements, Wheel Replacements</t>
  </si>
  <si>
    <t>Loco and Car Improvements, Wheel Replacement</t>
  </si>
  <si>
    <t>18-16-0007</t>
  </si>
  <si>
    <t>Ties and Ballast</t>
  </si>
  <si>
    <t>5012, 5018, 5112, 5113, 5115, 5212, 5213, 5214, 5215, 5312, 5313, 5314, 5315, 5316, 5412, 5413, 5512, 5513, 5514, 5614, 5616, 5816</t>
  </si>
  <si>
    <t>18-16-0008</t>
  </si>
  <si>
    <t>Renewal of Rail Highway Grade Crossings</t>
  </si>
  <si>
    <t>Crossings (Road &amp; Track) 5023, 5024, 5432, 5433, 5134, 5431, 5135, 5143, 5432, 5433, 5136, 5434, 5137, 5435, 5234, 5236, 5237, 5238, 5235, 5331, 5332, 5333, 5334, 5335, 5532, 5533, 5534, 5535, 5631, 5632, 5634, 5731, 5732, 5734, 5735</t>
  </si>
  <si>
    <t>18-16-0009</t>
  </si>
  <si>
    <t>Rail Renewal</t>
  </si>
  <si>
    <t>Rail Renewal 5017, 5428, 5028, 5426, 5033, 5427, 5027, 5117, 5127, 5128, 5129, 5130, 5131, 5132, 5227, 5228, 5230, 5231, 5232, 5325, 5326, 5327, 5328, 5329, 5525, 5526, 5527, 5528, 5529, 5625, 5626, 5627, 5628, 5725, 5726, 5727, 5728, 5729</t>
  </si>
  <si>
    <t>18-16-0012</t>
  </si>
  <si>
    <t>Bridge and Retaining Wall Improvements</t>
  </si>
  <si>
    <t>Bridge and Retaining Wall Improvements 5038, 5138, 5239, 5336, 5436, 5536, 5440, 5540, 5636, 5637, 5638, 5639, 5736, 5737, 5738, 5739, 5740</t>
  </si>
  <si>
    <t>18-16-0015</t>
  </si>
  <si>
    <t>Signal System Upgrades</t>
  </si>
  <si>
    <t>Signal System Upgrades; 5034, 5035, 5056, 5145, 5146, 5147, 5253, 5244, 5255, 5256, 5353, 5354, 5355, 5447; 5551, 5552, 5553, 5560 Signal Standards 5352; Switch Layout Standards 5554, 5560, 5747, 5748, 5749</t>
  </si>
  <si>
    <t>18-16-0017</t>
  </si>
  <si>
    <t>Impedance Bonds, Stray Current Protection</t>
  </si>
  <si>
    <t>4746 Impedance Bonds, 4742 Stray Current Protection</t>
  </si>
  <si>
    <t>18-16-0018</t>
  </si>
  <si>
    <t>Yard Improvements</t>
  </si>
  <si>
    <t>Systemwide Yard Improvements</t>
  </si>
  <si>
    <t>[F-YRDS] Facility - Towers And Yards</t>
  </si>
  <si>
    <t>18-16-0019</t>
  </si>
  <si>
    <t>Right of Way Equipment, Equipment and Vehicle-Mech, Police Vehicles</t>
  </si>
  <si>
    <t>5065 Right of Way Equipment, 5068 Equipment and Vehicle-Mech, 5070 Police Vehicles; 5161 ROW Equipment, 5162 Equipment and Vehicles- Mech, 5163 Police Vehicles, 5268 Police Vehicles, 5269 ROW Equipment, 5271 Equip &amp; Vehicle-Mech, 5772 Right of Way Equipment, 5773 Vehicles and Equipment</t>
  </si>
  <si>
    <t>[F-SHOP] Facility - Shop Facilities/Equipment, [R-MAINT] Rail Line - Maintain, Rehabilitate, Replace</t>
  </si>
  <si>
    <t>18-16-0020</t>
  </si>
  <si>
    <t>IT Components and Services</t>
  </si>
  <si>
    <t>5064, 5165, 5272, 5573; IT Components and Services; 5555 CCF Generation; 5574 Troi Net, 5274, 5671, 5750, 5759, 5774</t>
  </si>
  <si>
    <t>[F-OFC] Facility - Office Facilities/Equipment</t>
  </si>
  <si>
    <t>18-16-0022</t>
  </si>
  <si>
    <t>Office Equipment</t>
  </si>
  <si>
    <t>5066 Office Equipment; 5164 Office Equipment, 5270 Office Equipment, 5572 Office Equipment, 5775, 5870</t>
  </si>
  <si>
    <t>18-16-0023</t>
  </si>
  <si>
    <t>Station Improvements - Systemwide</t>
  </si>
  <si>
    <t>Station Improvements throughout the system (Van Buren St, West Chicago, Westmont, Millennium, River Forest, Roger Park, Round Lake, Congress, Western Ave, University Park, Kenilworth, LaGrange, West Hinsdale, 95th, Homewood, Kedzie, Olympia Fields, 79th St, 115th St, Elmhurst). RTA Schedule IIB doc. ID's: 4479, 4878, 4981, 5041, 5042, 5043, 5044, 5054, 5057, 5058, 5059, 5067, 5075, 5077, 5078, 5079, 5084, 5085, 5086, 5087; 5175, 5177, 5179; 5176, 5184, 5280, 5281, 5282, 5283, 5678, 5679, 5675</t>
  </si>
  <si>
    <t>[P-MAINT] Parking - Maintain, Rehabilitate, Replace Commuter Parking</t>
  </si>
  <si>
    <t>18-16-0026</t>
  </si>
  <si>
    <t>Infrastructure Engineering and other Engineering Studies</t>
  </si>
  <si>
    <t>Infrastructure Engineering: 5063, 5089, 5090, 5093, 5094; 5189, 5190, 5191, 5192, 5193, 5194, 5290, 5291, 5292, 5293, 5294, 5295, 5490, 5491, 5492, 5493, 5494, 5495, 5694, 5794; Constant Tension Catenary Study 5556; O'Hare NCS Station Concept Study</t>
  </si>
  <si>
    <t>18-16-0027</t>
  </si>
  <si>
    <t>Project Administration and Contingencies</t>
  </si>
  <si>
    <t>5098 Project Administration, 5099 Contingencies; 5198 Project Administration, 5199 Contingencies, 5298 Project Administration, 5299 Contingencies, 5398, 5399, 5799, Project Administration 5498, 5798, Contingencies 5499</t>
  </si>
  <si>
    <t>18-17-0006</t>
  </si>
  <si>
    <t>Storage Equipment</t>
  </si>
  <si>
    <t>Storage Equipment for use in store houses - 5169, 5307</t>
  </si>
  <si>
    <t>18-17-0008</t>
  </si>
  <si>
    <t>Undercutting &amp; Surfacing</t>
  </si>
  <si>
    <t>Undercutting and Surfacing - 5122, 5123, 5124, 5125, 5126, 5222, 5223, 5224, 5225, 5226, 5421, 5422, 5423, 5521, 5522, 5523, 5524, 5621, 5622, 5623, 5624, 5722, 5723, 5724</t>
  </si>
  <si>
    <t>18-18-0003</t>
  </si>
  <si>
    <t>Locomotive Rehabilitation (5204, 5205, 5406)</t>
  </si>
  <si>
    <t>18-19-0005</t>
  </si>
  <si>
    <t>Rectifier Replacement, Electrical Upgrades, Substation Improvements 5363, 5454</t>
  </si>
  <si>
    <t>Rectifier Replacement, Electrical Upgrades, Substation Improvements on MED 5363, 5454. 5751, 5752, 5753, 5754, 5755, 5756, 5757, 5758,5766</t>
  </si>
  <si>
    <t>18-19-0008</t>
  </si>
  <si>
    <t>Communications Improvements</t>
  </si>
  <si>
    <t>Purchase of communications equipment to be used at various locations on the Metra system</t>
  </si>
  <si>
    <t>[F-SHOP] Facility - Shop Facilities/Equipment</t>
  </si>
  <si>
    <t>18-20-0004</t>
  </si>
  <si>
    <t>Bridge Rehabilitation</t>
  </si>
  <si>
    <t>Bridge Rehabilitation: Bridge A110/56, A318, Hickory Creek Bridge, 275- Old 96th Avenue, Stoney Creek Bridge, Grand Avenue Bridge</t>
  </si>
  <si>
    <t>18-20-0008</t>
  </si>
  <si>
    <t>Crew Facilities</t>
  </si>
  <si>
    <t>18-20-0011</t>
  </si>
  <si>
    <t>Project Development, Program Management</t>
  </si>
  <si>
    <t>18-21-0001</t>
  </si>
  <si>
    <t>PTC Renewal of on-board and wayside equipment</t>
  </si>
  <si>
    <t>PTC Renewal of on-board and wayside equipment 5505, 5651</t>
  </si>
  <si>
    <t>18-21-0003</t>
  </si>
  <si>
    <t>Metra Electric District Improvements for NICTD Service Improvements</t>
  </si>
  <si>
    <t>Metra Electric District Improvements for NICTD Service Improvements (5557)</t>
  </si>
  <si>
    <t>18-21-0004</t>
  </si>
  <si>
    <t>Systemwide Cameras at Grade Crossings and Stations</t>
  </si>
  <si>
    <t>Systemwide Cameras at grade crossings and stations 5559</t>
  </si>
  <si>
    <t>18-21-0027</t>
  </si>
  <si>
    <t>Metra Alternative Fuel Locomotives</t>
  </si>
  <si>
    <t>Procure locomotives powered by next-generation battery technology. Alternative fuel locomotives will produce zero mobile emissions.</t>
  </si>
  <si>
    <t>[J-FUEL] Rolling Stock - Alternate Fuels</t>
  </si>
  <si>
    <t>18-21-0031</t>
  </si>
  <si>
    <t>Commuter Asset Acquisition</t>
  </si>
  <si>
    <t>Commuter Asset Acquisition, 5519, Protective Asset Acquisition, 5771</t>
  </si>
  <si>
    <t>18-25-0001</t>
  </si>
  <si>
    <t>Station Improvements - BNSF</t>
  </si>
  <si>
    <t>Station Improvements along Metra's BNSF line (West Hinsdale, Cicero, Highlands, Riverside)</t>
  </si>
  <si>
    <t>18-25-0002</t>
  </si>
  <si>
    <t>Station Improvements - MED</t>
  </si>
  <si>
    <t>Station Improvements along MED line (115th Street/Kensington, Riverdale, Matteson, West Pullman, Van Buren Street, Olympia Fields)</t>
  </si>
  <si>
    <t>18-25-0003</t>
  </si>
  <si>
    <t>Station Improvements - MWD</t>
  </si>
  <si>
    <t>Station Improvements along MWD lines (Edgebrook, Forest Glen, O'Hare)</t>
  </si>
  <si>
    <t>[C-MAINT] Rail Stations - Maintain, Rehabilitate, Replace</t>
  </si>
  <si>
    <t>18-25-0004</t>
  </si>
  <si>
    <t>Station Improvements - RID</t>
  </si>
  <si>
    <t>Station Improvements along RID lines (LaSalle Street Station)</t>
  </si>
  <si>
    <t>18-25-0005</t>
  </si>
  <si>
    <t>Station Improvements - UPR</t>
  </si>
  <si>
    <t>Station Improvements along UPR lines (Kenilworth, Pingree Road, Evanston/Davis, Rogers Park, Kedzie, West Chicago, Glen Ellyn, Indian Hill, Braeside)</t>
  </si>
  <si>
    <t>[C-MAINT] Rail Stations - Maintain, Rehabilitate, Replace, [P-MAINT] Parking - Maintain, Rehabilitate, Replace Commuter Parking</t>
  </si>
  <si>
    <t>18-25-0008</t>
  </si>
  <si>
    <t>Right of Way Fencing</t>
  </si>
  <si>
    <t>Right of Way Fencing 5964</t>
  </si>
  <si>
    <t>[A-FNC] Safety - Fencing, [R-MAINT] Rail Line - Maintain, Rehabilitate, Replace</t>
  </si>
  <si>
    <t>18-25-0009</t>
  </si>
  <si>
    <t>Yard Improvements - BNSF</t>
  </si>
  <si>
    <t>Yard Improvements on Metra's BNSF line</t>
  </si>
  <si>
    <t>18-25-0010</t>
  </si>
  <si>
    <t>Yard Improvements - MED</t>
  </si>
  <si>
    <t>Yard Improvements on Metra's Electric District line</t>
  </si>
  <si>
    <t>18-25-0011</t>
  </si>
  <si>
    <t>Yard Improvements - MWD</t>
  </si>
  <si>
    <t>Yard Improvements on Metra's Milwaukee District Lines (MD-N, MD-W, NCS)</t>
  </si>
  <si>
    <t>18-25-0012</t>
  </si>
  <si>
    <t>Yard Improvements - RID</t>
  </si>
  <si>
    <t>Yard Improvements on Metra's Rock Island line</t>
  </si>
  <si>
    <t>18-25-0013</t>
  </si>
  <si>
    <t>Yard Improvements - UPR</t>
  </si>
  <si>
    <t>Yard Improvements on Metra's Union Pacific lines (UP-N, UP-W, UP-NW)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</si>
</sst>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 x14ac:knownFonts="1">
    <font>
      <sz val="11"/>
      <color theme="1"/>
      <name val="Calibri"/>
      <family val="2"/>
      <scheme val="minor"/>
    </font>
    <font>
      <b/>
      <sz val="14"/>
      <name val="Calibri"/>
    </font>
    <font>
      <sz val="11"/>
      <name val="Calibri"/>
    </font>
    <font>
      <b/>
      <sz val="12"/>
      <name val="Calibri"/>
    </font>
    <font>
      <b/>
      <sz val="11"/>
      <color rgb="FFFFFFFF"/>
      <name val="Calibri"/>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lodedDetail" displayName="ExplodedDetail" ref="A1:J491">
  <autoFilter ref="A1:J491" xr:uid="{00000000-0009-0000-0100-000001000000}">
    <filterColumn colId="7">
      <filters>
        <filter val="Yes"/>
      </filters>
    </filterColumn>
  </autoFilter>
  <tableColumns count="10">
    <tableColumn id="1" xr3:uid="{00000000-0010-0000-0000-000001000000}" name="Fiscal Year"/>
    <tableColumn id="2" xr3:uid="{00000000-0010-0000-0000-000002000000}" name="Table"/>
    <tableColumn id="3" xr3:uid="{00000000-0010-0000-0000-000003000000}" name="TIP ID"/>
    <tableColumn id="4" xr3:uid="{00000000-0010-0000-0000-000004000000}" name="Project Title"/>
    <tableColumn id="5" xr3:uid="{00000000-0010-0000-0000-000005000000}" name="Project Type"/>
    <tableColumn id="6" xr3:uid="{00000000-0010-0000-0000-000006000000}" name="Municipality"/>
    <tableColumn id="7" xr3:uid="{00000000-0010-0000-0000-000007000000}" name="Amount"/>
    <tableColumn id="8" xr3:uid="{00000000-0010-0000-0000-000008000000}" name="Includes Bike/Ped Elements"/>
    <tableColumn id="9" xr3:uid="{00000000-0010-0000-0000-000009000000}" name="Includes ADA Elements"/>
    <tableColumn id="10" xr3:uid="{00000000-0010-0000-0000-00000A000000}" name="Includes Safety Ele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ummaryTypeMuni" displayName="SummaryTypeMuni" ref="A1:F259">
  <autoFilter ref="A1:F259" xr:uid="{00000000-0009-0000-0100-000002000000}"/>
  <tableColumns count="6">
    <tableColumn id="1" xr3:uid="{00000000-0010-0000-0100-000001000000}" name="Fiscal Year"/>
    <tableColumn id="2" xr3:uid="{00000000-0010-0000-0100-000002000000}" name="Table"/>
    <tableColumn id="3" xr3:uid="{00000000-0010-0000-0100-000003000000}" name="Project Type"/>
    <tableColumn id="4" xr3:uid="{00000000-0010-0000-0100-000004000000}" name="Municipality"/>
    <tableColumn id="5" xr3:uid="{00000000-0010-0000-0100-000005000000}" name="Obligated_Amount_Sum"/>
    <tableColumn id="6" xr3:uid="{00000000-0010-0000-0100-000006000000}" name="Project_C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yMuni" displayName="ByMuni" ref="A1:D99">
  <autoFilter ref="A1:D99" xr:uid="{00000000-0009-0000-0100-000003000000}"/>
  <tableColumns count="4">
    <tableColumn id="1" xr3:uid="{00000000-0010-0000-0200-000001000000}" name="Fiscal Year"/>
    <tableColumn id="2" xr3:uid="{00000000-0010-0000-0200-000002000000}" name="Municipality"/>
    <tableColumn id="3" xr3:uid="{00000000-0010-0000-0200-000003000000}" name="Obligated_Amount_Sum"/>
    <tableColumn id="4" xr3:uid="{00000000-0010-0000-0200-000004000000}" name="Project_Cou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yType" displayName="ByType" ref="A1:E33">
  <autoFilter ref="A1:E33" xr:uid="{00000000-0009-0000-0100-000004000000}"/>
  <tableColumns count="5">
    <tableColumn id="1" xr3:uid="{00000000-0010-0000-0300-000001000000}" name="Fiscal Year"/>
    <tableColumn id="2" xr3:uid="{00000000-0010-0000-0300-000002000000}" name="Table"/>
    <tableColumn id="3" xr3:uid="{00000000-0010-0000-0300-000003000000}" name="Project Type"/>
    <tableColumn id="4" xr3:uid="{00000000-0010-0000-0300-000004000000}" name="Obligated_Amount_Sum"/>
    <tableColumn id="5" xr3:uid="{00000000-0010-0000-0300-000005000000}" name="Project_Cou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HWADetail" displayName="FHWADetail" ref="A1:R189">
  <autoFilter xmlns:x14="http://schemas.microsoft.com/office/spreadsheetml/2009/9/main" ref="A1:R189" xr:uid="{00000000-0009-0000-0100-000005000000}">
    <filterColumn colId="3">
      <filters>
        <filter val="Bicycle &amp; Pedestrian"/>
      </filters>
    </filterColumn>
    <filterColumn colId="4">
      <filters>
        <mc:AlternateContent xmlns:mc="http://schemas.openxmlformats.org/markup-compatibility/2006">
          <mc:Choice Requires="x14">
            <x14:filter val="[A-BAR] Safety - Barriers, [A-LTS] Safety - Lighting, [A-SHDR] Safety - Shoulder Improvements, [B-OVR] Bridge Deck - Overlay, [B-PNT] Bridge/Structure - Paint, [B-REPAIR] Bridge/Structure - Reconst/Rehab No Chng in #, Wdth, or Lane, [B-REPLACE] Bridge/Structure - Replace, [B-SUP] Bridge Superstructure - Repair/Rehab, [E-ADAMAINT] Maintain/Repair ADA Infrastructure (Roadway), [H-RS] Highway/Road - Resurface (with No Lane Widening), [S-MOD] Signals - Modernization, [Z-OTHEX] Miscellaneous - Exempt Projects"/>
            <x14:filter val="[A-BAR] Safety - Barriers, [A-OPT] Safety - Opticom Equipment, [E- ADAMAINT] Maintain/Repair ADA Infrastructure (Roadway), [E-PEDIMP] Improve Pedestrian Facility, [S-TIM] Signals - Interconnects And Timing"/>
            <x14:filter val="[A-BAR] Safety - Barriers, [B-NEW] Bridge/Structure - New, [B-OVR] Bridge Deck - Overlay, [B-REPAIR] Bridge/Structure - Reconst/Rehab No Chng in #, Wdth, or Lane, [B-REPLACE] Bridge/Structure - Replace, [H-COR] Highway/Road - Corridor Improvement, [H-EXT] Highway/Road - Extend Road, [H-INTIMP] Highway/Road - Intersection Improvement, [H-RAB] Highway/Road - Roundabout, [I-EXP] Interchange - Expand (New Movements Added to Interchange), [I-RCNST] Interchange - Reconstruction, [S-MOD] Signals - Modernization"/>
            <x14:filter val="[A-GRD] Safety - Guardrails, [A-PMRK] Safety - Pavement Marking, [E- ADAIMP] Improve ADA Infrastructure (Roadway), [E-LS] Enhancement - Landscaping, [E-PEDIMP] Improve Pedestrian Facility, [H-C/G] Highway/Road - Curb And Gutter, [H-PATCH] Highway/Road - Pavement Patching"/>
            <x14:filter val="[A-GRD] Safety - Guardrails, [A-PMRK] Safety - Pavement Marking, [E- ADAIMP] Improve ADA Infrastructure (Roadway), [E-LS] Enhancement - Landscaping, [E-PEDIMP] Improve Pedestrian Facility, [H-C/G] Highway/Road - Curb And Gutter, [H-PATCH] Highway/Road - Pavement Patching, [H-RS] Highway/Road - Resurface (with No Lane Widening)"/>
            <x14:filter val="[A-LTS] Safety - Lighting, [A-MED] Safety - Median Projects, [A-PMRK] Safety - Pavement Marking, [E-ADAIMP] Improve ADA Infrastructure (Roadway), [E-BIKEPARK] Bicycle Parking, [E-LS] Enhancement - Landscaping, [H-RAB] Highway/Road - Roundabout"/>
            <x14:filter val="[A-LTS] Safety - Lighting, [A-MED] Safety - Median Projects, [E-SharedNew] New Shared Use Path, [H-AL] Highway/Road - Add Lanes, [H-CLVT] Highway/Road - Repair/Replace Culvert, [H-INTIMP] Highway/Road - Intersection Improvement, [S-NEW] Signals - New Signals for Multiple Intersections, [S-TIM] Signals - Interconnects And Timing"/>
            <x14:filter val="[A-LTS] Safety - Lighting, [A-OTH] Safety - Other"/>
            <x14:filter val="[A-LTS] Safety - Lighting, [A-OTH] Safety - Other, [B-DECK] Bridge Deck - Repair/Rehab, [B-OVR] Bridge Deck - Overlay, [B-SUP] Bridge Superstructure - Repair/Rehab, [H-CLVT] Highway/Road - Repair/Replace Culvert, [H-PATCH] Highway/Road - Pavement Patching, [H-RS] Highway/Road - Resurface (with No Lane Widening), [Z-OTHEX] Miscellaneous - Exempt Projects"/>
            <x14:filter val="[A-LTS] Safety - Lighting, [A-PMRK] Safety - Pavement Marking, [B-REPAIR] Bridge/Structure - Reconst/Rehab No Chng in #, Wdth, or Lane, [B- REPLACE] Bridge/Structure - Replace, [E-ADAIMP] Improve ADA Infrastructure (Roadway), [E-ADAMAINT] Maintain/Repair ADA Infrastructure (Roadway), [E-BIKEMAINT] Maintain Bicycle Facility, [H- ALIGN] Highway/Road - Vertical/Horizontal Alignment (e.g. Clearance), [H- RS] Highway/Road - Resurface (with No Lane Widening), [H-UTIL] Highway/Road - Utility Relocation, [S-MOD] Signals - Modernization, [S- TIM] Signals - Interconnects And Timing"/>
            <x14:filter val="[A-LTS] Safety - Lighting, [A-PMRK] Safety - Pavement Marking, [E- ADANEW] New ADA Infrastructure (Roadway), [E-LS] Enhancement - Landscaping, [E-SharedNew] New Shared Use Path, [H-C/G] Highway/Road - Curb And Gutter, [H-RS] Highway/Road - Resurface (with No Lane Widening)"/>
            <x14:filter val="[A-LTS] Safety - Lighting, [A-PMRK] Safety - Pavement Marking, [E- BIKEIMP] Improve Bicycle Facility, [E-PEDIMP] Improve Pedestrian Facility, [E-PEDNEW] New Pedestrian Facility"/>
            <x14:filter val="[A-LTS] Safety - Lighting, [A-PMRK] Safety - Pavement Marking, [E- BIKENEW] New Bicycle Facility, [E-PEDNEW] New Pedestrian Facility, [H- RS] Highway/Road - Resurface (with No Lane Widening)"/>
            <x14:filter val="[A-LTS] Safety - Lighting, [A-PMRK] Safety - Pavement Marking, [E-ADAIMP] Improve ADA Infrastructure (Roadway), [E-ADANEW] New ADA Infrastructure (Roadway), [E-LS] Enhancement - Landscaping, [H-C/G] Highway/Road - Curb And Gutter, [H-INTIMP] Highway/Road - Intersection Improvement, [H-PATCH] Highway/Road - Pavement Patching, [H-RCNST] Highway/Road - Reconst with Change in Use or Width Of Lane, [H-RS] Highway/Road - Resurface (with No Lane Widening), [S-MOD] Signals - Modernization, [S-TIM] Signals - Interconnects And Timing"/>
            <x14:filter val="[A-LTS] Safety - Lighting, [A-PMRK] Safety - Pavement Marking, [E-ADAIMP] Improve ADA Infrastructure (Roadway), [E-ADANEW] New ADA Infrastructure (Roadway), [E-PEDIMP] Improve Pedestrian Facility, [E- SharedNew] New Shared Use Path, [H-AL] Highway/Road - Add Lanes, [H- C/G] Highway/Road - Curb And Gutter, [H-CLTL] Highway/Road - Continuous Bi-Directional Turn Lanes, [H-INTRC] Highway/Road - Intersection Reconstruction, [H-RS] Highway/Road - Resurface (with No Lane Widening), [S-MOD] Signals - Modernization"/>
            <x14:filter val="[A-LTS] Safety - Lighting, [A-PMRK] Safety - Pavement Marking, [E-ADAIMP] Improve ADA Infrastructure (Roadway), [E-PEDIMP] Improve Pedestrian Facility, [H-C/G] Highway/Road - Curb And Gutter, [H-RCINKND] Highway/Road - Reconstruct in Kind"/>
            <x14:filter val="[A-LTS] Safety - Lighting, [A-PMRK] Safety - Pavement Marking, [E-LS] Enhancement - Landscaping, [E-SharedNew] New Shared Use Path, [H- INTIMP] Highway/Road - Intersection Improvement, [I-NEW] Interchange - New, [S-NEW] Signals - New Signals for Multiple Intersections, [S-TIM] Signals - Interconnects And Timing"/>
            <x14:filter val="[A-LTS] Safety - Lighting, [B-REPLACE] Bridge/Structure - Replace, [B-SUP] Bridge Superstructure - Repair/Rehab, [E-ADAMAINT] Maintain/Repair ADA Infrastructure (Roadway)"/>
            <x14:filter val="[A-LTS] Safety - Lighting, [B-REPLACE] Bridge/Structure - Replace, [H- INTRC] Highway/Road - Intersection Reconstruction, [Z-OTHEX] Miscellaneous - Exempt Projects"/>
            <x14:filter val="[A-LTS] Safety - Lighting, [E-ADAIMP] Improve ADA Infrastructure (Roadway), [H-RS] Highway/Road - Resurface (with No Lane Widening), [H- STWTR] Highway/Road - Stormwater Infrastucture, [R-IMP] Rail Line - Improve Line, [S-MOD] Signals - Modernization, [U-SIGS] CPS - Signals, [Z- OTHEX] Miscellaneous - Exempt Projects"/>
            <x14:filter val="[A-LTS] Safety - Lighting, [E-ADAMAINT] Maintain/Repair ADA Infrastructure (Roadway), [E-PEDIMP] Improve Pedestrian Facility, [H-C/G] Highway/Road - Curb And Gutter, [H-INTIMP] Highway/Road - Intersection Improvement"/>
            <x14:filter val="[A-LTS] Safety - Lighting, [E-ADANEW] New ADA Infrastructure (Roadway), [E-BIKENEW] New Bicycle Facility, [E-PEDNEW] New Pedestrian Facility, [E- SharedNew] New Shared Use Path"/>
            <x14:filter val="[A-LTS] Safety - Lighting, [H-INFO] Highway/Road - Directional/Informational Signs, [Z-OTHEX] Miscellaneous - Exempt Projects"/>
            <x14:filter val="[A-MED] Safety - Median Projects, [A-OTH] Safety - Other, [A-PMRK] Safety - Pavement Marking, [A-RDIET] Safety - Road Diet, [E-BIKEIMP] Improve Bicycle Facility, [E-BIKE] Bicycle Facility"/>
            <x14:filter val="[A-MED] Safety - Median Projects, [A-PMRK] Safety - Pavement Marking, [B-RECNFG] Bridge/Structure - Reconst/Rehab Chng in Lane Use/Widths, [B-REPAIR] Bridge/Structure - Reconst/Rehab No Chng in #, Wdth, or Lane, [C-MAINT] Rail Stations - Maintain, Rehabilitate, Replace, [H-COR] Highway/Road - Corridor Improvement, [H-HOT3] Highway/Road - HOT 3- Plus Lanes, [H-INTIMP] Highway/Road - Intersection Improvement, [H- STWTR] Highway/Road - Stormwater Infrastucture, [I-RCNST] Interchange - Reconstruction, [S-TIM] Signals - Interconnects And Timing, [Z-OTHEX] Miscellaneous - Exempt Projects"/>
            <x14:filter val="[A-OPT] Safety - Opticom Equipment, [A-PMRK] Safety - Pavement Marking, [S-MOD] Signals - Modernization"/>
            <x14:filter val="[A-OPT] Safety - Opticom Equipment, [S-MOD] Signals - Modernization"/>
            <x14:filter val="[A-OTH] Safety - Other, [B-PNT] Bridge/Structure - Paint"/>
            <x14:filter val="[A-OTH] Safety - Other, [B-REPAIR] Bridge/Structure - Reconst/Rehab No Chng in #, Wdth, or Lane, [H-PATCH] Highway/Road - Pavement Patching, [Z-OTHEX] Miscellaneous - Exempt Projects"/>
            <x14:filter val="[A-OTH] Safety - Other, [H-AL] Highway/Road - Add Lanes, [H-COR] Highway/Road - Corridor Improvement, [H-EXT] Highway/Road - Extend Road, [H-INTIMP] Highway/Road - Intersection Improvement, [H-INTRC] Highway/Road - Intersection Reconstruction, [H-NEW] Highway/Road - New Road, [H-RRGS] Highway/Road - Railroad Grade Separation, [H-RS] Highway/Road - Resurface (with No Lane Widening), [I-EXP] Interchange - Expand (New Movements Added to Interchange), [I-NEW] Interchange - New, [S-ASNG] Signals - Add Signals At Single Intersection, [S-MOD] Signals - Modernization"/>
            <x14:filter val="[A-OTH] Safety - Other, [Z-OTHEX] Miscellaneous - Exempt Projects"/>
            <x14:filter val="[A-PMRK] Safety - Pavement Marking, [A-SHDR] Safety - Shoulder Improvements, [E-ADAIMP] Improve ADA Infrastructure (Roadway), [E- ADANEW] New ADA Infrastructure (Roadway), [E-PEDIMP] Improve Pedestrian Facility, [H-RCINKND] Highway/Road - Reconstruct in Kind"/>
            <x14:filter val="[A-PMRK] Safety - Pavement Marking, [A-SHDR] Safety - Shoulder Improvements, [E-ADAIMP] Improve ADA Infrastructure (Roadway), [E-LS] Enhancement - Landscaping, [H-PATCH] Highway/Road - Pavement Patching, [H-RS] Highway/Road - Resurface (with No Lane Widening)"/>
            <x14:filter val="[A-PMRK] Safety - Pavement Marking, [B-REPAIR] Bridge/Structure - Reconst/Rehab No Chng in #, Wdth, or Lane, [E-ADAMAINT] Maintain/Repair ADA Infrastructure (Roadway), [H-IRS] Highway/Road - Intermittent Resurfacing, [H-RCINKND] Highway/Road - Reconstruct in Kind"/>
            <x14:filter val="[A-PMRK] Safety - Pavement Marking, [E-ADAIMP] Improve ADA Infrastructure (Roadway), [E-ADAMAINT] Maintain/Repair ADA Infrastructure (Roadway), [E-SharedNew] New Shared Use Path, [H-C/G] Highway/Road - Curb And Gutter, [H-PATCH] Highway/Road - Pavement Patching, [H-RS] Highway/Road - Resurface (with No Lane Widening)"/>
            <x14:filter val="[A-PMRK] Safety - Pavement Marking, [E-ADAIMP] Improve ADA Infrastructure (Roadway), [E-ADANEW] New ADA Infrastructure (Roadway), [E-PEDIMP] Improve Pedestrian Facility, [E-SharedNew] New Shared Use Path, [H-C/G] Highway/Road - Curb And Gutter, [H-CLVT] Highway/Road - Repair/Replace Culvert, [H-INTIMP] Highway/Road - Intersection Improvement, [H-RAB] Highway/Road - Roundabout, [H- RCINKND] Highway/Road - Reconstruct in Kind, [S-MOD] Signals - Modernization"/>
            <x14:filter val="[A-PMRK] Safety - Pavement Marking, [E-ADAIMP] Improve ADA Infrastructure (Roadway), [E-PEDIMP] Improve Pedestrian Facility, [E- SharedNew] New Shared Use Path, [H-INTIMP] Highway/Road - Intersection Improvement, [H-INTRC] Highway/Road - Intersection Reconstruction, [S-MOD] Signals - Modernization"/>
            <x14:filter val="[A-PMRK] Safety - Pavement Marking, [E-ADAIMP] Improve ADA Infrastructure (Roadway), [E-PEDIMP] Improve Pedestrian Facility, [H- PATCH] Highway/Road - Pavement Patching, [H-RS] Highway/Road - Resurface (with No Lane Widening)"/>
            <x14:filter val="[A-PMRK] Safety - Pavement Marking, [E-ADAIMP] Improve ADA Infrastructure (Roadway), [E-PEDIMP] Improve Pedestrian Facility, [H-C/G] Highway/Road - Curb And Gutter, [H-RS] Highway/Road - Resurface (with No Lane Widening)"/>
            <x14:filter val="[A-PMRK] Safety - Pavement Marking, [E-ADAIMP] Improve ADA Infrastructure (Roadway), [E-PEDMAINT] Maintain Pedestrian Facility, [E- SharedNew] New Shared Use Path, [H-C/G] Highway/Road - Curb And Gutter, [H-INFO] Highway/Road - Directional/Informational Signs, [H- RCNST] Highway/Road - Reconst with Change in Use or Width Of Lane"/>
            <x14:filter val="[A-PMRK] Safety - Pavement Marking, [E-ADAIMP] Improve ADA Infrastructure (Roadway), [E-SharedNew] New Shared Use Path, [H-C/G] Highway/Road - Curb And Gutter, [H-RS] Highway/Road - Resurface (with No Lane Widening)"/>
            <x14:filter val="[A-PMRK] Safety - Pavement Marking, [E-ADAIMP] Improve ADA Infrastructure (Roadway), [H-C/G] Highway/Road - Curb And Gutter, [H- PATCH] Highway/Road - Pavement Patching, [H-RS] Highway/Road - Resurface (with No Lane Widening)"/>
            <x14:filter val="[A-PMRK] Safety - Pavement Marking, [E-ADAIMP] Improve ADA Infrastructure (Roadway), [H-INTIMP] Highway/Road - Intersection Improvement, [S-MOD] Signals - Modernization, [Z-OTHEX] Miscellaneous - Exempt Projects"/>
            <x14:filter val="[A-PMRK] Safety - Pavement Marking, [E-ADAMAINT] Maintain/Repair ADA Infrastructure (Roadway), [E-BIKENEW] New Bicycle Facility, [H-C/G] Highway/Road - Curb And Gutter, [H-PATCH] Highway/Road - Pavement Patching, [H-RS] Highway/Road - Resurface (with No Lane Widening), [P- MAINT] Parking - Maintain, Rehabilitate, Replace Commuter Parking"/>
            <x14:filter val="[A-PMRK] Safety - Pavement Marking, [E-ADAMAINT] Maintain/Repair ADA Infrastructure (Roadway), [E-PEDMAINT] Maintain Pedestrian Facility, [H- C/G] Highway/Road - Curb And Gutter, [H-PATCH] Highway/Road - Pavement Patching, [H-RS] Highway/Road - Resurface (with No Lane Widening)"/>
            <x14:filter val="[A-PMRK] Safety - Pavement Marking, [E-ADAMAINT] Maintain/Repair ADA Infrastructure (Roadway), [E-PEDMAINT] Maintain Pedestrian Facility, [H- C/G] Highway/Road - Curb And Gutter, [H-RCINKND] Highway/Road - Reconstruct in Kind"/>
            <x14:filter val="[A-PMRK] Safety - Pavement Marking, [E-ADAMAINT] Maintain/Repair ADA Infrastructure (Roadway), [E-SharedNew] New Shared Use Path, [H- PATCH] Highway/Road - Pavement Patching, [H-RS] Highway/Road - Resurface (with No Lane Widening)"/>
            <x14:filter val="[A-PMRK] Safety - Pavement Marking, [E-BIKENEW] New Bicycle Facility, [E- PEDIMP] Improve Pedestrian Facility, [H-RL] Highway/Road - Remove Lanes, [S-MOD] Signals - Modernization"/>
            <x14:filter val="[A-PMRK] Safety - Pavement Marking, [E-PEDIMP] Improve Pedestrian Facility, [E-PEDMAINT] Maintain Pedestrian Facility, [E-PEDNEW] New Pedestrian Facility, [E-PED] Pedestrian Facility, [H-INTIMP] Highway/Road - Intersection Improvement, [Z-OTH] Miscellaneous - Project Types Not Listed"/>
            <x14:filter val="[A-RRXING] Safety - Railroad Crossing Improvements"/>
            <x14:filter val="[A-SHDR] Safety - Shoulder Improvements, [E-ADAMAINT] Maintain/Repair ADA Infrastructure (Roadway), [H-RS] Highway/Road - Resurface (with No Lane Widening)"/>
          </mc:Choice>
          <mc:Fallback>
            <filter val="[A-BAR] Safety - Barriers, [A-OPT] Safety - Opticom Equipment, [E- ADAMAINT] Maintain/Repair ADA Infrastructure (Roadway), [E-PEDIMP] Improve Pedestrian Facility, [S-TIM] Signals - Interconnects And Timing"/>
            <filter val="[A-LTS] Safety - Lighting, [A-MED] Safety - Median Projects, [A-PMRK] Safety - Pavement Marking, [E-ADAIMP] Improve ADA Infrastructure (Roadway), [E-BIKEPARK] Bicycle Parking, [E-LS] Enhancement - Landscaping, [H-RAB] Highway/Road - Roundabout"/>
            <filter val="[A-LTS] Safety - Lighting, [A-OTH] Safety - Other"/>
            <filter val="[A-LTS] Safety - Lighting, [A-PMRK] Safety - Pavement Marking, [E- BIKEIMP] Improve Bicycle Facility, [E-PEDIMP] Improve Pedestrian Facility, [E-PEDNEW] New Pedestrian Facility"/>
            <filter val="[A-LTS] Safety - Lighting, [A-PMRK] Safety - Pavement Marking, [E- BIKENEW] New Bicycle Facility, [E-PEDNEW] New Pedestrian Facility, [H- RS] Highway/Road - Resurface (with No Lane Widening)"/>
            <filter val="[A-LTS] Safety - Lighting, [A-PMRK] Safety - Pavement Marking, [E-ADAIMP] Improve ADA Infrastructure (Roadway), [E-PEDIMP] Improve Pedestrian Facility, [H-C/G] Highway/Road - Curb And Gutter, [H-RCINKND] Highway/Road - Reconstruct in Kind"/>
            <filter val="[A-LTS] Safety - Lighting, [B-REPLACE] Bridge/Structure - Replace, [B-SUP] Bridge Superstructure - Repair/Rehab, [E-ADAMAINT] Maintain/Repair ADA Infrastructure (Roadway)"/>
            <filter val="[A-LTS] Safety - Lighting, [B-REPLACE] Bridge/Structure - Replace, [H- INTRC] Highway/Road - Intersection Reconstruction, [Z-OTHEX] Miscellaneous - Exempt Projects"/>
            <filter val="[A-LTS] Safety - Lighting, [E-ADAMAINT] Maintain/Repair ADA Infrastructure (Roadway), [E-PEDIMP] Improve Pedestrian Facility, [H-C/G] Highway/Road - Curb And Gutter, [H-INTIMP] Highway/Road - Intersection Improvement"/>
            <filter val="[A-LTS] Safety - Lighting, [E-ADANEW] New ADA Infrastructure (Roadway), [E-BIKENEW] New Bicycle Facility, [E-PEDNEW] New Pedestrian Facility, [E- SharedNew] New Shared Use Path"/>
            <filter val="[A-LTS] Safety - Lighting, [H-INFO] Highway/Road - Directional/Informational Signs, [Z-OTHEX] Miscellaneous - Exempt Projects"/>
            <filter val="[A-MED] Safety - Median Projects, [A-OTH] Safety - Other, [A-PMRK] Safety - Pavement Marking, [A-RDIET] Safety - Road Diet, [E-BIKEIMP] Improve Bicycle Facility, [E-BIKE] Bicycle Facility"/>
            <filter val="[A-OPT] Safety - Opticom Equipment, [A-PMRK] Safety - Pavement Marking, [S-MOD] Signals - Modernization"/>
            <filter val="[A-OPT] Safety - Opticom Equipment, [S-MOD] Signals - Modernization"/>
            <filter val="[A-OTH] Safety - Other, [B-PNT] Bridge/Structure - Paint"/>
            <filter val="[A-OTH] Safety - Other, [B-REPAIR] Bridge/Structure - Reconst/Rehab No Chng in #, Wdth, or Lane, [H-PATCH] Highway/Road - Pavement Patching, [Z-OTHEX] Miscellaneous - Exempt Projects"/>
            <filter val="[A-OTH] Safety - Other, [Z-OTHEX] Miscellaneous - Exempt Projects"/>
            <filter val="[A-PMRK] Safety - Pavement Marking, [E-ADAIMP] Improve ADA Infrastructure (Roadway), [E-PEDIMP] Improve Pedestrian Facility, [H- PATCH] Highway/Road - Pavement Patching, [H-RS] Highway/Road - Resurface (with No Lane Widening)"/>
            <filter val="[A-PMRK] Safety - Pavement Marking, [E-ADAIMP] Improve ADA Infrastructure (Roadway), [E-PEDIMP] Improve Pedestrian Facility, [H-C/G] Highway/Road - Curb And Gutter, [H-RS] Highway/Road - Resurface (with No Lane Widening)"/>
            <filter val="[A-PMRK] Safety - Pavement Marking, [E-ADAIMP] Improve ADA Infrastructure (Roadway), [E-SharedNew] New Shared Use Path, [H-C/G] Highway/Road - Curb And Gutter, [H-RS] Highway/Road - Resurface (with No Lane Widening)"/>
            <filter val="[A-PMRK] Safety - Pavement Marking, [E-ADAIMP] Improve ADA Infrastructure (Roadway), [H-C/G] Highway/Road - Curb And Gutter, [H- PATCH] Highway/Road - Pavement Patching, [H-RS] Highway/Road - Resurface (with No Lane Widening)"/>
            <filter val="[A-PMRK] Safety - Pavement Marking, [E-ADAIMP] Improve ADA Infrastructure (Roadway), [H-INTIMP] Highway/Road - Intersection Improvement, [S-MOD] Signals - Modernization, [Z-OTHEX] Miscellaneous - Exempt Projects"/>
            <filter val="[A-PMRK] Safety - Pavement Marking, [E-ADAMAINT] Maintain/Repair ADA Infrastructure (Roadway), [E-PEDMAINT] Maintain Pedestrian Facility, [H- C/G] Highway/Road - Curb And Gutter, [H-RCINKND] Highway/Road - Reconstruct in Kind"/>
            <filter val="[A-PMRK] Safety - Pavement Marking, [E-ADAMAINT] Maintain/Repair ADA Infrastructure (Roadway), [E-SharedNew] New Shared Use Path, [H- PATCH] Highway/Road - Pavement Patching, [H-RS] Highway/Road - Resurface (with No Lane Widening)"/>
            <filter val="[A-PMRK] Safety - Pavement Marking, [E-BIKENEW] New Bicycle Facility, [E- PEDIMP] Improve Pedestrian Facility, [H-RL] Highway/Road - Remove Lanes, [S-MOD] Signals - Modernization"/>
            <filter val="[A-RRXING] Safety - Railroad Crossing Improvements"/>
            <filter val="[A-SHDR] Safety - Shoulder Improvements, [E-ADAMAINT] Maintain/Repair ADA Infrastructure (Roadway), [H-RS] Highway/Road - Resurface (with No Lane Widening)"/>
          </mc:Fallback>
        </mc:AlternateContent>
      </filters>
    </filterColumn>
  </autoFilter>
  <tableColumns count="18">
    <tableColumn id="1" xr3:uid="{00000000-0010-0000-0400-000001000000}" name="TIP ID"/>
    <tableColumn id="2" xr3:uid="{00000000-0010-0000-0400-000002000000}" name="Project Title"/>
    <tableColumn id="3" xr3:uid="{00000000-0010-0000-0400-000003000000}" name="Project Description"/>
    <tableColumn id="4" xr3:uid="{00000000-0010-0000-0400-000004000000}" name="Project Type"/>
    <tableColumn id="5" xr3:uid="{00000000-0010-0000-0400-000005000000}" name="Project Scope (Work Types)"/>
    <tableColumn id="6" xr3:uid="{00000000-0010-0000-0400-000006000000}" name="Programming Agency"/>
    <tableColumn id="7" xr3:uid="{00000000-0010-0000-0400-000007000000}" name="Location: County"/>
    <tableColumn id="8" xr3:uid="{00000000-0010-0000-0400-000008000000}" name="Location: Municipality"/>
    <tableColumn id="9" xr3:uid="{00000000-0010-0000-0400-000009000000}" name="Federal Project"/>
    <tableColumn id="10" xr3:uid="{00000000-0010-0000-0400-00000A000000}" name="State Job"/>
    <tableColumn id="11" xr3:uid="{00000000-0010-0000-0400-00000B000000}" name="Federal Program Code"/>
    <tableColumn id="12" xr3:uid="{00000000-0010-0000-0400-00000C000000}" name="Obligated Amount ($)"/>
    <tableColumn id="13" xr3:uid="{00000000-0010-0000-0400-00000D000000}" name="Includes Bike/Ped Elements"/>
    <tableColumn id="14" xr3:uid="{00000000-0010-0000-0400-00000E000000}" name="Includes ADA Elements"/>
    <tableColumn id="15" xr3:uid="{00000000-0010-0000-0400-00000F000000}" name="Includes Safety Elements"/>
    <tableColumn id="16" xr3:uid="{00000000-0010-0000-0400-000010000000}" name="Street Design Relevant"/>
    <tableColumn id="17" xr3:uid="{00000000-0010-0000-0400-000011000000}" name="Fiscal Year"/>
    <tableColumn id="18" xr3:uid="{00000000-0010-0000-0400-000012000000}" name="Tabl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CDetail" displayName="ACDetail" ref="A1:Q121">
  <autoFilter ref="A1:Q121" xr:uid="{00000000-0009-0000-0100-000006000000}"/>
  <tableColumns count="17">
    <tableColumn id="1" xr3:uid="{00000000-0010-0000-0500-000001000000}" name="TIP ID"/>
    <tableColumn id="2" xr3:uid="{00000000-0010-0000-0500-000002000000}" name="Project Title"/>
    <tableColumn id="3" xr3:uid="{00000000-0010-0000-0500-000003000000}" name="Project Description"/>
    <tableColumn id="4" xr3:uid="{00000000-0010-0000-0500-000004000000}" name="Project Type"/>
    <tableColumn id="5" xr3:uid="{00000000-0010-0000-0500-000005000000}" name="Project Scope (Work Types)"/>
    <tableColumn id="6" xr3:uid="{00000000-0010-0000-0500-000006000000}" name="Programming Agency"/>
    <tableColumn id="7" xr3:uid="{00000000-0010-0000-0500-000007000000}" name="Location: County"/>
    <tableColumn id="8" xr3:uid="{00000000-0010-0000-0500-000008000000}" name="Location: Municipality"/>
    <tableColumn id="9" xr3:uid="{00000000-0010-0000-0500-000009000000}" name="Federal Project(s)"/>
    <tableColumn id="10" xr3:uid="{00000000-0010-0000-0500-00000A000000}" name="Programmed Fund Source(s)"/>
    <tableColumn id="11" xr3:uid="{00000000-0010-0000-0500-00000B000000}" name="AC Authorization Amount ($)"/>
    <tableColumn id="12" xr3:uid="{00000000-0010-0000-0500-00000C000000}" name="Includes Bike/Ped Elements"/>
    <tableColumn id="13" xr3:uid="{00000000-0010-0000-0500-00000D000000}" name="Includes ADA Elements"/>
    <tableColumn id="14" xr3:uid="{00000000-0010-0000-0500-00000E000000}" name="Includes Safety Elements"/>
    <tableColumn id="15" xr3:uid="{00000000-0010-0000-0500-00000F000000}" name="Street Design Relevant"/>
    <tableColumn id="16" xr3:uid="{00000000-0010-0000-0500-000010000000}" name="Fiscal Year"/>
    <tableColumn id="17" xr3:uid="{00000000-0010-0000-0500-000011000000}" name="Tabl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TADetail" displayName="FTADetail" ref="A1:O150">
  <autoFilter ref="A1:O150" xr:uid="{00000000-0009-0000-0100-000007000000}"/>
  <tableColumns count="15">
    <tableColumn id="1" xr3:uid="{00000000-0010-0000-0600-000001000000}" name="TIP ID"/>
    <tableColumn id="2" xr3:uid="{00000000-0010-0000-0600-000002000000}" name="Project Title"/>
    <tableColumn id="3" xr3:uid="{00000000-0010-0000-0600-000003000000}" name="Project Description"/>
    <tableColumn id="4" xr3:uid="{00000000-0010-0000-0600-000004000000}" name="Project Type"/>
    <tableColumn id="5" xr3:uid="{00000000-0010-0000-0600-000005000000}" name="Project Scope (Work Types)"/>
    <tableColumn id="6" xr3:uid="{00000000-0010-0000-0600-000006000000}" name="Programming Agency"/>
    <tableColumn id="7" xr3:uid="{00000000-0010-0000-0600-000007000000}" name="FTA Project #"/>
    <tableColumn id="8" xr3:uid="{00000000-0010-0000-0600-000008000000}" name="Federal Fund"/>
    <tableColumn id="9" xr3:uid="{00000000-0010-0000-0600-000009000000}" name="Obligated Amount ($)"/>
    <tableColumn id="10" xr3:uid="{00000000-0010-0000-0600-00000A000000}" name="Includes Bike/Ped Elements"/>
    <tableColumn id="11" xr3:uid="{00000000-0010-0000-0600-00000B000000}" name="Includes ADA Elements"/>
    <tableColumn id="12" xr3:uid="{00000000-0010-0000-0600-00000C000000}" name="Includes Safety Elements"/>
    <tableColumn id="13" xr3:uid="{00000000-0010-0000-0600-00000D000000}" name="Street Design Relevant"/>
    <tableColumn id="14" xr3:uid="{00000000-0010-0000-0600-00000E000000}" name="Fiscal Year"/>
    <tableColumn id="15" xr3:uid="{00000000-0010-0000-0600-00000F000000}" name="Tab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heetViews>
  <sheetFormatPr defaultRowHeight="14.5" x14ac:dyDescent="0.35"/>
  <cols>
    <col min="1" max="1" width="130" customWidth="1"/>
  </cols>
  <sheetData>
    <row r="1" spans="1:1" ht="16" customHeight="1" x14ac:dyDescent="0.35">
      <c r="A1" s="1" t="s">
        <v>0</v>
      </c>
    </row>
    <row r="2" spans="1:1" ht="16" customHeight="1" x14ac:dyDescent="0.35">
      <c r="A2" s="2"/>
    </row>
    <row r="3" spans="1:1" ht="16" customHeight="1" x14ac:dyDescent="0.35">
      <c r="A3" s="3" t="s">
        <v>1</v>
      </c>
    </row>
    <row r="4" spans="1:1" ht="30" customHeight="1" x14ac:dyDescent="0.35">
      <c r="A4" s="2" t="s">
        <v>2</v>
      </c>
    </row>
    <row r="5" spans="1:1" ht="30" customHeight="1" x14ac:dyDescent="0.35">
      <c r="A5" s="2" t="s">
        <v>3</v>
      </c>
    </row>
    <row r="6" spans="1:1" ht="16" customHeight="1" x14ac:dyDescent="0.35">
      <c r="A6" s="2"/>
    </row>
    <row r="7" spans="1:1" ht="16" customHeight="1" x14ac:dyDescent="0.35">
      <c r="A7" s="3" t="s">
        <v>4</v>
      </c>
    </row>
    <row r="8" spans="1:1" ht="30" customHeight="1" x14ac:dyDescent="0.35">
      <c r="A8" s="2" t="s">
        <v>5</v>
      </c>
    </row>
    <row r="9" spans="1:1" ht="16" customHeight="1" x14ac:dyDescent="0.35">
      <c r="A9" s="2"/>
    </row>
    <row r="10" spans="1:1" ht="16" customHeight="1" x14ac:dyDescent="0.35">
      <c r="A10" s="3" t="s">
        <v>6</v>
      </c>
    </row>
    <row r="11" spans="1:1" ht="30" customHeight="1" x14ac:dyDescent="0.35">
      <c r="A11" s="2" t="s">
        <v>7</v>
      </c>
    </row>
    <row r="12" spans="1:1" ht="30" customHeight="1" x14ac:dyDescent="0.35">
      <c r="A12" s="2" t="s">
        <v>8</v>
      </c>
    </row>
    <row r="13" spans="1:1" ht="30" customHeight="1" x14ac:dyDescent="0.35">
      <c r="A13" s="2" t="s">
        <v>9</v>
      </c>
    </row>
    <row r="14" spans="1:1" ht="30" customHeight="1" x14ac:dyDescent="0.35">
      <c r="A14" s="2" t="s">
        <v>10</v>
      </c>
    </row>
    <row r="15" spans="1:1" ht="30" customHeight="1" x14ac:dyDescent="0.35">
      <c r="A15" s="2" t="s">
        <v>11</v>
      </c>
    </row>
    <row r="16" spans="1:1" ht="30" customHeight="1" x14ac:dyDescent="0.35">
      <c r="A16" s="2" t="s">
        <v>12</v>
      </c>
    </row>
    <row r="17" spans="1:1" ht="30" customHeight="1" x14ac:dyDescent="0.35">
      <c r="A17" s="2" t="s">
        <v>13</v>
      </c>
    </row>
    <row r="18" spans="1:1" ht="16" customHeight="1" x14ac:dyDescent="0.35">
      <c r="A18" s="2"/>
    </row>
    <row r="19" spans="1:1" ht="16" customHeight="1" x14ac:dyDescent="0.35">
      <c r="A19" s="3" t="s">
        <v>14</v>
      </c>
    </row>
    <row r="20" spans="1:1" ht="30" customHeight="1" x14ac:dyDescent="0.35">
      <c r="A20" s="2" t="s">
        <v>15</v>
      </c>
    </row>
    <row r="21" spans="1:1" ht="30" customHeight="1" x14ac:dyDescent="0.35">
      <c r="A21" s="2" t="s">
        <v>16</v>
      </c>
    </row>
    <row r="22" spans="1:1" ht="30" customHeight="1" x14ac:dyDescent="0.35">
      <c r="A22" s="2" t="s">
        <v>17</v>
      </c>
    </row>
    <row r="23" spans="1:1" ht="30" customHeight="1" x14ac:dyDescent="0.35">
      <c r="A23" s="2" t="s">
        <v>18</v>
      </c>
    </row>
    <row r="24" spans="1:1" ht="30" customHeight="1" x14ac:dyDescent="0.35">
      <c r="A24" s="2" t="s">
        <v>19</v>
      </c>
    </row>
    <row r="25" spans="1:1" ht="30" customHeight="1" x14ac:dyDescent="0.35">
      <c r="A25" s="2"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91"/>
  <sheetViews>
    <sheetView workbookViewId="0">
      <pane ySplit="1" topLeftCell="A212" activePane="bottomLeft" state="frozen"/>
      <selection pane="bottomLeft" activeCell="E431" sqref="E431"/>
    </sheetView>
  </sheetViews>
  <sheetFormatPr defaultRowHeight="14.5" x14ac:dyDescent="0.35"/>
  <cols>
    <col min="1" max="1" width="13" customWidth="1"/>
    <col min="2" max="2" width="18" customWidth="1"/>
    <col min="3" max="3" width="12" customWidth="1"/>
    <col min="4" max="4" width="55" customWidth="1"/>
    <col min="5" max="5" width="39" customWidth="1"/>
    <col min="6" max="6" width="23" customWidth="1"/>
    <col min="7" max="7" width="12" customWidth="1"/>
    <col min="8" max="8" width="28" customWidth="1"/>
    <col min="9" max="9" width="23" customWidth="1"/>
    <col min="10" max="10" width="26" customWidth="1"/>
  </cols>
  <sheetData>
    <row r="1" spans="1:10" x14ac:dyDescent="0.35">
      <c r="A1" s="4" t="s">
        <v>21</v>
      </c>
      <c r="B1" s="4" t="s">
        <v>22</v>
      </c>
      <c r="C1" s="4" t="s">
        <v>23</v>
      </c>
      <c r="D1" s="4" t="s">
        <v>24</v>
      </c>
      <c r="E1" s="4" t="s">
        <v>25</v>
      </c>
      <c r="F1" s="4" t="s">
        <v>26</v>
      </c>
      <c r="G1" s="4" t="s">
        <v>27</v>
      </c>
      <c r="H1" s="4" t="s">
        <v>28</v>
      </c>
      <c r="I1" s="4" t="s">
        <v>29</v>
      </c>
      <c r="J1" s="4" t="s">
        <v>30</v>
      </c>
    </row>
    <row r="2" spans="1:10" hidden="1" x14ac:dyDescent="0.35">
      <c r="A2" t="s">
        <v>31</v>
      </c>
      <c r="B2" t="s">
        <v>32</v>
      </c>
      <c r="C2" t="s">
        <v>33</v>
      </c>
      <c r="D2" t="s">
        <v>34</v>
      </c>
      <c r="E2" t="s">
        <v>35</v>
      </c>
      <c r="F2" t="s">
        <v>36</v>
      </c>
      <c r="G2" s="5">
        <v>8240000</v>
      </c>
      <c r="H2" t="s">
        <v>37</v>
      </c>
      <c r="I2" t="s">
        <v>37</v>
      </c>
      <c r="J2" t="s">
        <v>37</v>
      </c>
    </row>
    <row r="3" spans="1:10" x14ac:dyDescent="0.35">
      <c r="A3" t="s">
        <v>31</v>
      </c>
      <c r="B3" t="s">
        <v>32</v>
      </c>
      <c r="C3" t="s">
        <v>38</v>
      </c>
      <c r="D3" t="s">
        <v>39</v>
      </c>
      <c r="E3" t="s">
        <v>35</v>
      </c>
      <c r="F3" t="s">
        <v>36</v>
      </c>
      <c r="G3" s="5">
        <v>4160000</v>
      </c>
      <c r="H3" t="s">
        <v>40</v>
      </c>
      <c r="I3" t="s">
        <v>40</v>
      </c>
      <c r="J3" t="s">
        <v>37</v>
      </c>
    </row>
    <row r="4" spans="1:10" x14ac:dyDescent="0.35">
      <c r="A4" t="s">
        <v>31</v>
      </c>
      <c r="B4" t="s">
        <v>32</v>
      </c>
      <c r="C4" t="s">
        <v>41</v>
      </c>
      <c r="D4" t="s">
        <v>42</v>
      </c>
      <c r="E4" t="s">
        <v>43</v>
      </c>
      <c r="F4" t="s">
        <v>44</v>
      </c>
      <c r="G4" s="5">
        <v>480000</v>
      </c>
      <c r="H4" t="s">
        <v>40</v>
      </c>
      <c r="I4" t="s">
        <v>40</v>
      </c>
      <c r="J4" t="s">
        <v>37</v>
      </c>
    </row>
    <row r="5" spans="1:10" x14ac:dyDescent="0.35">
      <c r="A5" t="s">
        <v>31</v>
      </c>
      <c r="B5" t="s">
        <v>45</v>
      </c>
      <c r="C5" t="s">
        <v>41</v>
      </c>
      <c r="D5" t="s">
        <v>42</v>
      </c>
      <c r="E5" t="s">
        <v>43</v>
      </c>
      <c r="F5" t="s">
        <v>44</v>
      </c>
      <c r="G5" s="5">
        <v>480000</v>
      </c>
      <c r="H5" t="s">
        <v>40</v>
      </c>
      <c r="I5" t="s">
        <v>40</v>
      </c>
      <c r="J5" t="s">
        <v>37</v>
      </c>
    </row>
    <row r="6" spans="1:10" x14ac:dyDescent="0.35">
      <c r="A6" t="s">
        <v>31</v>
      </c>
      <c r="B6" t="s">
        <v>32</v>
      </c>
      <c r="C6" t="s">
        <v>46</v>
      </c>
      <c r="D6" t="s">
        <v>47</v>
      </c>
      <c r="E6" t="s">
        <v>48</v>
      </c>
      <c r="F6" t="s">
        <v>44</v>
      </c>
      <c r="G6" s="5">
        <v>6875000</v>
      </c>
      <c r="H6" t="s">
        <v>40</v>
      </c>
      <c r="I6" t="s">
        <v>40</v>
      </c>
      <c r="J6" t="s">
        <v>40</v>
      </c>
    </row>
    <row r="7" spans="1:10" x14ac:dyDescent="0.35">
      <c r="A7" t="s">
        <v>31</v>
      </c>
      <c r="B7" t="s">
        <v>45</v>
      </c>
      <c r="C7" t="s">
        <v>46</v>
      </c>
      <c r="D7" t="s">
        <v>47</v>
      </c>
      <c r="E7" t="s">
        <v>48</v>
      </c>
      <c r="F7" t="s">
        <v>44</v>
      </c>
      <c r="G7" s="5">
        <v>9696318</v>
      </c>
      <c r="H7" t="s">
        <v>40</v>
      </c>
      <c r="I7" t="s">
        <v>40</v>
      </c>
      <c r="J7" t="s">
        <v>40</v>
      </c>
    </row>
    <row r="8" spans="1:10" x14ac:dyDescent="0.35">
      <c r="A8" t="s">
        <v>31</v>
      </c>
      <c r="B8" t="s">
        <v>45</v>
      </c>
      <c r="C8" t="s">
        <v>46</v>
      </c>
      <c r="D8" t="s">
        <v>47</v>
      </c>
      <c r="E8" t="s">
        <v>48</v>
      </c>
      <c r="F8" t="s">
        <v>44</v>
      </c>
      <c r="G8" s="5">
        <v>34631474</v>
      </c>
      <c r="H8" t="s">
        <v>40</v>
      </c>
      <c r="I8" t="s">
        <v>40</v>
      </c>
      <c r="J8" t="s">
        <v>40</v>
      </c>
    </row>
    <row r="9" spans="1:10" x14ac:dyDescent="0.35">
      <c r="A9" t="s">
        <v>31</v>
      </c>
      <c r="B9" t="s">
        <v>45</v>
      </c>
      <c r="C9" t="s">
        <v>46</v>
      </c>
      <c r="D9" t="s">
        <v>47</v>
      </c>
      <c r="E9" t="s">
        <v>48</v>
      </c>
      <c r="F9" t="s">
        <v>44</v>
      </c>
      <c r="G9" s="5">
        <v>16253</v>
      </c>
      <c r="H9" t="s">
        <v>40</v>
      </c>
      <c r="I9" t="s">
        <v>40</v>
      </c>
      <c r="J9" t="s">
        <v>40</v>
      </c>
    </row>
    <row r="10" spans="1:10" x14ac:dyDescent="0.35">
      <c r="A10" t="s">
        <v>31</v>
      </c>
      <c r="B10" t="s">
        <v>45</v>
      </c>
      <c r="C10" t="s">
        <v>46</v>
      </c>
      <c r="D10" t="s">
        <v>47</v>
      </c>
      <c r="E10" t="s">
        <v>48</v>
      </c>
      <c r="F10" t="s">
        <v>44</v>
      </c>
      <c r="G10" s="5">
        <v>86904481</v>
      </c>
      <c r="H10" t="s">
        <v>40</v>
      </c>
      <c r="I10" t="s">
        <v>40</v>
      </c>
      <c r="J10" t="s">
        <v>40</v>
      </c>
    </row>
    <row r="11" spans="1:10" x14ac:dyDescent="0.35">
      <c r="A11" t="s">
        <v>31</v>
      </c>
      <c r="B11" t="s">
        <v>32</v>
      </c>
      <c r="C11" t="s">
        <v>49</v>
      </c>
      <c r="D11" t="s">
        <v>50</v>
      </c>
      <c r="E11" t="s">
        <v>51</v>
      </c>
      <c r="F11" t="s">
        <v>44</v>
      </c>
      <c r="G11" s="5">
        <v>2956000</v>
      </c>
      <c r="H11" t="s">
        <v>40</v>
      </c>
      <c r="I11" t="s">
        <v>40</v>
      </c>
      <c r="J11" t="s">
        <v>37</v>
      </c>
    </row>
    <row r="12" spans="1:10" hidden="1" x14ac:dyDescent="0.35">
      <c r="A12" t="s">
        <v>31</v>
      </c>
      <c r="B12" t="s">
        <v>32</v>
      </c>
      <c r="C12" t="s">
        <v>52</v>
      </c>
      <c r="D12" t="s">
        <v>53</v>
      </c>
      <c r="E12" t="s">
        <v>51</v>
      </c>
      <c r="F12" t="s">
        <v>44</v>
      </c>
      <c r="G12" s="5">
        <v>2475000</v>
      </c>
      <c r="H12" t="s">
        <v>37</v>
      </c>
      <c r="I12" t="s">
        <v>37</v>
      </c>
      <c r="J12" t="s">
        <v>37</v>
      </c>
    </row>
    <row r="13" spans="1:10" x14ac:dyDescent="0.35">
      <c r="A13" t="s">
        <v>31</v>
      </c>
      <c r="B13" t="s">
        <v>45</v>
      </c>
      <c r="C13" t="s">
        <v>49</v>
      </c>
      <c r="D13" t="s">
        <v>50</v>
      </c>
      <c r="E13" t="s">
        <v>51</v>
      </c>
      <c r="F13" t="s">
        <v>44</v>
      </c>
      <c r="G13" s="5">
        <v>152000</v>
      </c>
      <c r="H13" t="s">
        <v>40</v>
      </c>
      <c r="I13" t="s">
        <v>40</v>
      </c>
      <c r="J13" t="s">
        <v>37</v>
      </c>
    </row>
    <row r="14" spans="1:10" x14ac:dyDescent="0.35">
      <c r="A14" t="s">
        <v>31</v>
      </c>
      <c r="B14" t="s">
        <v>45</v>
      </c>
      <c r="C14" t="s">
        <v>49</v>
      </c>
      <c r="D14" t="s">
        <v>50</v>
      </c>
      <c r="E14" t="s">
        <v>51</v>
      </c>
      <c r="F14" t="s">
        <v>44</v>
      </c>
      <c r="G14" s="5">
        <v>2956000</v>
      </c>
      <c r="H14" t="s">
        <v>40</v>
      </c>
      <c r="I14" t="s">
        <v>40</v>
      </c>
      <c r="J14" t="s">
        <v>37</v>
      </c>
    </row>
    <row r="15" spans="1:10" hidden="1" x14ac:dyDescent="0.35">
      <c r="A15" t="s">
        <v>31</v>
      </c>
      <c r="B15" t="s">
        <v>45</v>
      </c>
      <c r="C15" t="s">
        <v>54</v>
      </c>
      <c r="D15" t="s">
        <v>55</v>
      </c>
      <c r="E15" t="s">
        <v>51</v>
      </c>
      <c r="F15" t="s">
        <v>44</v>
      </c>
      <c r="G15" s="5">
        <v>217590</v>
      </c>
      <c r="H15" t="s">
        <v>37</v>
      </c>
      <c r="I15" t="s">
        <v>37</v>
      </c>
      <c r="J15" t="s">
        <v>37</v>
      </c>
    </row>
    <row r="16" spans="1:10" hidden="1" x14ac:dyDescent="0.35">
      <c r="A16" t="s">
        <v>31</v>
      </c>
      <c r="B16" t="s">
        <v>45</v>
      </c>
      <c r="C16" t="s">
        <v>54</v>
      </c>
      <c r="D16" t="s">
        <v>55</v>
      </c>
      <c r="E16" t="s">
        <v>51</v>
      </c>
      <c r="F16" t="s">
        <v>44</v>
      </c>
      <c r="G16" s="5">
        <v>691256</v>
      </c>
      <c r="H16" t="s">
        <v>37</v>
      </c>
      <c r="I16" t="s">
        <v>37</v>
      </c>
      <c r="J16" t="s">
        <v>37</v>
      </c>
    </row>
    <row r="17" spans="1:10" x14ac:dyDescent="0.35">
      <c r="A17" t="s">
        <v>31</v>
      </c>
      <c r="B17" t="s">
        <v>32</v>
      </c>
      <c r="C17" t="s">
        <v>56</v>
      </c>
      <c r="D17" t="s">
        <v>57</v>
      </c>
      <c r="E17" t="s">
        <v>35</v>
      </c>
      <c r="F17" t="s">
        <v>44</v>
      </c>
      <c r="G17" s="5">
        <v>4800000</v>
      </c>
      <c r="H17" t="s">
        <v>40</v>
      </c>
      <c r="I17" t="s">
        <v>40</v>
      </c>
      <c r="J17" t="s">
        <v>40</v>
      </c>
    </row>
    <row r="18" spans="1:10" x14ac:dyDescent="0.35">
      <c r="A18" t="s">
        <v>31</v>
      </c>
      <c r="B18" t="s">
        <v>32</v>
      </c>
      <c r="C18" t="s">
        <v>58</v>
      </c>
      <c r="D18" t="s">
        <v>59</v>
      </c>
      <c r="E18" t="s">
        <v>60</v>
      </c>
      <c r="F18" t="s">
        <v>61</v>
      </c>
      <c r="G18" s="5">
        <v>500000</v>
      </c>
      <c r="H18" t="s">
        <v>40</v>
      </c>
      <c r="I18" t="s">
        <v>40</v>
      </c>
      <c r="J18" t="s">
        <v>40</v>
      </c>
    </row>
    <row r="19" spans="1:10" x14ac:dyDescent="0.35">
      <c r="A19" t="s">
        <v>31</v>
      </c>
      <c r="B19" t="s">
        <v>45</v>
      </c>
      <c r="C19" t="s">
        <v>58</v>
      </c>
      <c r="D19" t="s">
        <v>59</v>
      </c>
      <c r="E19" t="s">
        <v>60</v>
      </c>
      <c r="F19" t="s">
        <v>61</v>
      </c>
      <c r="G19" s="5">
        <v>500000</v>
      </c>
      <c r="H19" t="s">
        <v>40</v>
      </c>
      <c r="I19" t="s">
        <v>40</v>
      </c>
      <c r="J19" t="s">
        <v>40</v>
      </c>
    </row>
    <row r="20" spans="1:10" x14ac:dyDescent="0.35">
      <c r="A20" t="s">
        <v>31</v>
      </c>
      <c r="B20" t="s">
        <v>32</v>
      </c>
      <c r="C20" t="s">
        <v>62</v>
      </c>
      <c r="D20" t="s">
        <v>63</v>
      </c>
      <c r="E20" t="s">
        <v>64</v>
      </c>
      <c r="F20" t="s">
        <v>61</v>
      </c>
      <c r="G20" s="5">
        <v>250000</v>
      </c>
      <c r="H20" t="s">
        <v>40</v>
      </c>
      <c r="I20" t="s">
        <v>40</v>
      </c>
      <c r="J20" t="s">
        <v>40</v>
      </c>
    </row>
    <row r="21" spans="1:10" hidden="1" x14ac:dyDescent="0.35">
      <c r="A21" t="s">
        <v>31</v>
      </c>
      <c r="B21" t="s">
        <v>32</v>
      </c>
      <c r="C21" t="s">
        <v>65</v>
      </c>
      <c r="D21" t="s">
        <v>66</v>
      </c>
      <c r="E21" t="s">
        <v>35</v>
      </c>
      <c r="F21" t="s">
        <v>67</v>
      </c>
      <c r="G21" s="5">
        <v>1280000</v>
      </c>
      <c r="H21" t="s">
        <v>37</v>
      </c>
      <c r="I21" t="s">
        <v>37</v>
      </c>
      <c r="J21" t="s">
        <v>37</v>
      </c>
    </row>
    <row r="22" spans="1:10" x14ac:dyDescent="0.35">
      <c r="A22" t="s">
        <v>31</v>
      </c>
      <c r="B22" t="s">
        <v>32</v>
      </c>
      <c r="C22" t="s">
        <v>68</v>
      </c>
      <c r="D22" t="s">
        <v>69</v>
      </c>
      <c r="E22" t="s">
        <v>70</v>
      </c>
      <c r="F22" t="s">
        <v>71</v>
      </c>
      <c r="G22" s="5">
        <v>939469</v>
      </c>
      <c r="H22" t="s">
        <v>40</v>
      </c>
      <c r="I22" t="s">
        <v>40</v>
      </c>
      <c r="J22" t="s">
        <v>40</v>
      </c>
    </row>
    <row r="23" spans="1:10" x14ac:dyDescent="0.35">
      <c r="A23" t="s">
        <v>31</v>
      </c>
      <c r="B23" t="s">
        <v>32</v>
      </c>
      <c r="C23" t="s">
        <v>68</v>
      </c>
      <c r="D23" t="s">
        <v>69</v>
      </c>
      <c r="E23" t="s">
        <v>70</v>
      </c>
      <c r="F23" t="s">
        <v>71</v>
      </c>
      <c r="G23" s="5">
        <v>8841353</v>
      </c>
      <c r="H23" t="s">
        <v>40</v>
      </c>
      <c r="I23" t="s">
        <v>40</v>
      </c>
      <c r="J23" t="s">
        <v>40</v>
      </c>
    </row>
    <row r="24" spans="1:10" x14ac:dyDescent="0.35">
      <c r="A24" t="s">
        <v>31</v>
      </c>
      <c r="B24" t="s">
        <v>32</v>
      </c>
      <c r="C24" t="s">
        <v>68</v>
      </c>
      <c r="D24" t="s">
        <v>69</v>
      </c>
      <c r="E24" t="s">
        <v>70</v>
      </c>
      <c r="F24" t="s">
        <v>71</v>
      </c>
      <c r="G24" s="5">
        <v>439469</v>
      </c>
      <c r="H24" t="s">
        <v>40</v>
      </c>
      <c r="I24" t="s">
        <v>40</v>
      </c>
      <c r="J24" t="s">
        <v>40</v>
      </c>
    </row>
    <row r="25" spans="1:10" hidden="1" x14ac:dyDescent="0.35">
      <c r="A25" t="s">
        <v>31</v>
      </c>
      <c r="B25" t="s">
        <v>45</v>
      </c>
      <c r="C25" t="s">
        <v>72</v>
      </c>
      <c r="D25" t="s">
        <v>73</v>
      </c>
      <c r="E25" t="s">
        <v>74</v>
      </c>
      <c r="F25" t="s">
        <v>75</v>
      </c>
      <c r="G25" s="5">
        <v>284512</v>
      </c>
      <c r="H25" t="s">
        <v>37</v>
      </c>
      <c r="I25" t="s">
        <v>37</v>
      </c>
      <c r="J25" t="s">
        <v>40</v>
      </c>
    </row>
    <row r="26" spans="1:10" hidden="1" x14ac:dyDescent="0.35">
      <c r="A26" t="s">
        <v>31</v>
      </c>
      <c r="B26" t="s">
        <v>45</v>
      </c>
      <c r="C26" t="s">
        <v>72</v>
      </c>
      <c r="D26" t="s">
        <v>73</v>
      </c>
      <c r="E26" t="s">
        <v>74</v>
      </c>
      <c r="F26" t="s">
        <v>75</v>
      </c>
      <c r="G26" s="5">
        <v>1085043</v>
      </c>
      <c r="H26" t="s">
        <v>37</v>
      </c>
      <c r="I26" t="s">
        <v>37</v>
      </c>
      <c r="J26" t="s">
        <v>40</v>
      </c>
    </row>
    <row r="27" spans="1:10" x14ac:dyDescent="0.35">
      <c r="A27" t="s">
        <v>31</v>
      </c>
      <c r="B27" t="s">
        <v>45</v>
      </c>
      <c r="C27" t="s">
        <v>76</v>
      </c>
      <c r="D27" t="s">
        <v>77</v>
      </c>
      <c r="E27" t="s">
        <v>43</v>
      </c>
      <c r="F27" t="s">
        <v>78</v>
      </c>
      <c r="G27" s="5">
        <v>200000</v>
      </c>
      <c r="H27" t="s">
        <v>40</v>
      </c>
      <c r="I27" t="s">
        <v>37</v>
      </c>
      <c r="J27" t="s">
        <v>37</v>
      </c>
    </row>
    <row r="28" spans="1:10" x14ac:dyDescent="0.35">
      <c r="A28" t="s">
        <v>31</v>
      </c>
      <c r="B28" t="s">
        <v>45</v>
      </c>
      <c r="C28" t="s">
        <v>76</v>
      </c>
      <c r="D28" t="s">
        <v>77</v>
      </c>
      <c r="E28" t="s">
        <v>43</v>
      </c>
      <c r="F28" t="s">
        <v>78</v>
      </c>
      <c r="G28" s="5">
        <v>1227348</v>
      </c>
      <c r="H28" t="s">
        <v>40</v>
      </c>
      <c r="I28" t="s">
        <v>37</v>
      </c>
      <c r="J28" t="s">
        <v>37</v>
      </c>
    </row>
    <row r="29" spans="1:10" x14ac:dyDescent="0.35">
      <c r="A29" t="s">
        <v>31</v>
      </c>
      <c r="B29" t="s">
        <v>45</v>
      </c>
      <c r="C29" t="s">
        <v>76</v>
      </c>
      <c r="D29" t="s">
        <v>77</v>
      </c>
      <c r="E29" t="s">
        <v>43</v>
      </c>
      <c r="F29" t="s">
        <v>78</v>
      </c>
      <c r="G29" s="5">
        <v>50000</v>
      </c>
      <c r="H29" t="s">
        <v>40</v>
      </c>
      <c r="I29" t="s">
        <v>37</v>
      </c>
      <c r="J29" t="s">
        <v>37</v>
      </c>
    </row>
    <row r="30" spans="1:10" x14ac:dyDescent="0.35">
      <c r="A30" t="s">
        <v>31</v>
      </c>
      <c r="B30" t="s">
        <v>45</v>
      </c>
      <c r="C30" t="s">
        <v>79</v>
      </c>
      <c r="D30" t="s">
        <v>80</v>
      </c>
      <c r="E30" t="s">
        <v>51</v>
      </c>
      <c r="F30" t="s">
        <v>81</v>
      </c>
      <c r="G30" s="5">
        <v>335821</v>
      </c>
      <c r="H30" t="s">
        <v>40</v>
      </c>
      <c r="I30" t="s">
        <v>40</v>
      </c>
      <c r="J30" t="s">
        <v>37</v>
      </c>
    </row>
    <row r="31" spans="1:10" hidden="1" x14ac:dyDescent="0.35">
      <c r="A31" t="s">
        <v>31</v>
      </c>
      <c r="B31" t="s">
        <v>45</v>
      </c>
      <c r="C31" t="s">
        <v>82</v>
      </c>
      <c r="D31" t="s">
        <v>83</v>
      </c>
      <c r="E31" t="s">
        <v>51</v>
      </c>
      <c r="F31" t="s">
        <v>81</v>
      </c>
      <c r="G31" s="5">
        <v>1968382</v>
      </c>
      <c r="H31" t="s">
        <v>37</v>
      </c>
      <c r="I31" t="s">
        <v>37</v>
      </c>
      <c r="J31" t="s">
        <v>37</v>
      </c>
    </row>
    <row r="32" spans="1:10" hidden="1" x14ac:dyDescent="0.35">
      <c r="A32" t="s">
        <v>31</v>
      </c>
      <c r="B32" t="s">
        <v>32</v>
      </c>
      <c r="C32" t="s">
        <v>84</v>
      </c>
      <c r="D32" t="s">
        <v>85</v>
      </c>
      <c r="E32" t="s">
        <v>35</v>
      </c>
      <c r="F32" t="s">
        <v>81</v>
      </c>
      <c r="G32" s="5">
        <v>2913880</v>
      </c>
      <c r="H32" t="s">
        <v>37</v>
      </c>
      <c r="I32" t="s">
        <v>37</v>
      </c>
      <c r="J32" t="s">
        <v>37</v>
      </c>
    </row>
    <row r="33" spans="1:10" hidden="1" x14ac:dyDescent="0.35">
      <c r="A33" t="s">
        <v>31</v>
      </c>
      <c r="B33" t="s">
        <v>32</v>
      </c>
      <c r="C33" t="s">
        <v>86</v>
      </c>
      <c r="D33" t="s">
        <v>87</v>
      </c>
      <c r="E33" t="s">
        <v>35</v>
      </c>
      <c r="F33" t="s">
        <v>81</v>
      </c>
      <c r="G33" s="5">
        <v>5184000</v>
      </c>
      <c r="H33" t="s">
        <v>37</v>
      </c>
      <c r="I33" t="s">
        <v>37</v>
      </c>
      <c r="J33" t="s">
        <v>37</v>
      </c>
    </row>
    <row r="34" spans="1:10" hidden="1" x14ac:dyDescent="0.35">
      <c r="A34" t="s">
        <v>31</v>
      </c>
      <c r="B34" t="s">
        <v>45</v>
      </c>
      <c r="C34" t="s">
        <v>84</v>
      </c>
      <c r="D34" t="s">
        <v>85</v>
      </c>
      <c r="E34" t="s">
        <v>35</v>
      </c>
      <c r="F34" t="s">
        <v>81</v>
      </c>
      <c r="G34" s="5">
        <v>116074</v>
      </c>
      <c r="H34" t="s">
        <v>37</v>
      </c>
      <c r="I34" t="s">
        <v>37</v>
      </c>
      <c r="J34" t="s">
        <v>37</v>
      </c>
    </row>
    <row r="35" spans="1:10" hidden="1" x14ac:dyDescent="0.35">
      <c r="A35" t="s">
        <v>31</v>
      </c>
      <c r="B35" t="s">
        <v>45</v>
      </c>
      <c r="C35" t="s">
        <v>84</v>
      </c>
      <c r="D35" t="s">
        <v>85</v>
      </c>
      <c r="E35" t="s">
        <v>35</v>
      </c>
      <c r="F35" t="s">
        <v>81</v>
      </c>
      <c r="G35" s="5">
        <v>16038095</v>
      </c>
      <c r="H35" t="s">
        <v>37</v>
      </c>
      <c r="I35" t="s">
        <v>37</v>
      </c>
      <c r="J35" t="s">
        <v>37</v>
      </c>
    </row>
    <row r="36" spans="1:10" x14ac:dyDescent="0.35">
      <c r="A36" t="s">
        <v>31</v>
      </c>
      <c r="B36" t="s">
        <v>32</v>
      </c>
      <c r="C36" t="s">
        <v>88</v>
      </c>
      <c r="D36" t="s">
        <v>89</v>
      </c>
      <c r="E36" t="s">
        <v>90</v>
      </c>
      <c r="F36" t="s">
        <v>81</v>
      </c>
      <c r="G36" s="5">
        <v>254520</v>
      </c>
      <c r="H36" t="s">
        <v>40</v>
      </c>
      <c r="I36" t="s">
        <v>40</v>
      </c>
      <c r="J36" t="s">
        <v>40</v>
      </c>
    </row>
    <row r="37" spans="1:10" x14ac:dyDescent="0.35">
      <c r="A37" t="s">
        <v>31</v>
      </c>
      <c r="B37" t="s">
        <v>32</v>
      </c>
      <c r="C37" t="s">
        <v>91</v>
      </c>
      <c r="D37" t="s">
        <v>92</v>
      </c>
      <c r="E37" t="s">
        <v>43</v>
      </c>
      <c r="F37" t="s">
        <v>93</v>
      </c>
      <c r="G37" s="5">
        <v>766440</v>
      </c>
      <c r="H37" t="s">
        <v>40</v>
      </c>
      <c r="I37" t="s">
        <v>40</v>
      </c>
      <c r="J37" t="s">
        <v>37</v>
      </c>
    </row>
    <row r="38" spans="1:10" hidden="1" x14ac:dyDescent="0.35">
      <c r="A38" t="s">
        <v>31</v>
      </c>
      <c r="B38" t="s">
        <v>32</v>
      </c>
      <c r="C38" t="s">
        <v>94</v>
      </c>
      <c r="D38" t="s">
        <v>95</v>
      </c>
      <c r="E38" t="s">
        <v>35</v>
      </c>
      <c r="F38" t="s">
        <v>93</v>
      </c>
      <c r="G38" s="5">
        <v>105383</v>
      </c>
      <c r="H38" t="s">
        <v>37</v>
      </c>
      <c r="I38" t="s">
        <v>37</v>
      </c>
      <c r="J38" t="s">
        <v>37</v>
      </c>
    </row>
    <row r="39" spans="1:10" hidden="1" x14ac:dyDescent="0.35">
      <c r="A39" t="s">
        <v>31</v>
      </c>
      <c r="B39" t="s">
        <v>45</v>
      </c>
      <c r="C39" t="s">
        <v>94</v>
      </c>
      <c r="D39" t="s">
        <v>95</v>
      </c>
      <c r="E39" t="s">
        <v>35</v>
      </c>
      <c r="F39" t="s">
        <v>93</v>
      </c>
      <c r="G39" s="5">
        <v>219072</v>
      </c>
      <c r="H39" t="s">
        <v>37</v>
      </c>
      <c r="I39" t="s">
        <v>37</v>
      </c>
      <c r="J39" t="s">
        <v>37</v>
      </c>
    </row>
    <row r="40" spans="1:10" hidden="1" x14ac:dyDescent="0.35">
      <c r="A40" t="s">
        <v>31</v>
      </c>
      <c r="B40" t="s">
        <v>45</v>
      </c>
      <c r="C40" t="s">
        <v>94</v>
      </c>
      <c r="D40" t="s">
        <v>95</v>
      </c>
      <c r="E40" t="s">
        <v>35</v>
      </c>
      <c r="F40" t="s">
        <v>93</v>
      </c>
      <c r="G40" s="5">
        <v>635546</v>
      </c>
      <c r="H40" t="s">
        <v>37</v>
      </c>
      <c r="I40" t="s">
        <v>37</v>
      </c>
      <c r="J40" t="s">
        <v>37</v>
      </c>
    </row>
    <row r="41" spans="1:10" hidden="1" x14ac:dyDescent="0.35">
      <c r="A41" t="s">
        <v>31</v>
      </c>
      <c r="B41" t="s">
        <v>45</v>
      </c>
      <c r="C41" t="s">
        <v>96</v>
      </c>
      <c r="D41" t="s">
        <v>97</v>
      </c>
      <c r="E41" t="s">
        <v>98</v>
      </c>
      <c r="F41" t="s">
        <v>99</v>
      </c>
      <c r="G41" s="5">
        <v>1968382</v>
      </c>
      <c r="H41" t="s">
        <v>37</v>
      </c>
      <c r="I41" t="s">
        <v>37</v>
      </c>
      <c r="J41" t="s">
        <v>37</v>
      </c>
    </row>
    <row r="42" spans="1:10" x14ac:dyDescent="0.35">
      <c r="A42" t="s">
        <v>31</v>
      </c>
      <c r="B42" t="s">
        <v>45</v>
      </c>
      <c r="C42" t="s">
        <v>100</v>
      </c>
      <c r="D42" t="s">
        <v>101</v>
      </c>
      <c r="E42" t="s">
        <v>43</v>
      </c>
      <c r="F42" t="s">
        <v>102</v>
      </c>
      <c r="G42" s="5">
        <v>234884</v>
      </c>
      <c r="H42" t="s">
        <v>40</v>
      </c>
      <c r="I42" t="s">
        <v>37</v>
      </c>
      <c r="J42" t="s">
        <v>40</v>
      </c>
    </row>
    <row r="43" spans="1:10" hidden="1" x14ac:dyDescent="0.35">
      <c r="A43" t="s">
        <v>31</v>
      </c>
      <c r="B43" t="s">
        <v>32</v>
      </c>
      <c r="C43" t="s">
        <v>103</v>
      </c>
      <c r="D43" t="s">
        <v>104</v>
      </c>
      <c r="E43" t="s">
        <v>48</v>
      </c>
      <c r="F43" t="s">
        <v>102</v>
      </c>
      <c r="G43" s="5">
        <v>1555000</v>
      </c>
      <c r="H43" t="s">
        <v>37</v>
      </c>
      <c r="I43" t="s">
        <v>37</v>
      </c>
      <c r="J43" t="s">
        <v>37</v>
      </c>
    </row>
    <row r="44" spans="1:10" hidden="1" x14ac:dyDescent="0.35">
      <c r="A44" t="s">
        <v>31</v>
      </c>
      <c r="B44" t="s">
        <v>32</v>
      </c>
      <c r="C44" t="s">
        <v>103</v>
      </c>
      <c r="D44" t="s">
        <v>104</v>
      </c>
      <c r="E44" t="s">
        <v>48</v>
      </c>
      <c r="F44" t="s">
        <v>102</v>
      </c>
      <c r="G44" s="5">
        <v>1456200</v>
      </c>
      <c r="H44" t="s">
        <v>37</v>
      </c>
      <c r="I44" t="s">
        <v>37</v>
      </c>
      <c r="J44" t="s">
        <v>37</v>
      </c>
    </row>
    <row r="45" spans="1:10" hidden="1" x14ac:dyDescent="0.35">
      <c r="A45" t="s">
        <v>31</v>
      </c>
      <c r="B45" t="s">
        <v>45</v>
      </c>
      <c r="C45" t="s">
        <v>103</v>
      </c>
      <c r="D45" t="s">
        <v>104</v>
      </c>
      <c r="E45" t="s">
        <v>48</v>
      </c>
      <c r="F45" t="s">
        <v>102</v>
      </c>
      <c r="G45" s="5">
        <v>136000</v>
      </c>
      <c r="H45" t="s">
        <v>37</v>
      </c>
      <c r="I45" t="s">
        <v>37</v>
      </c>
      <c r="J45" t="s">
        <v>37</v>
      </c>
    </row>
    <row r="46" spans="1:10" hidden="1" x14ac:dyDescent="0.35">
      <c r="A46" t="s">
        <v>31</v>
      </c>
      <c r="B46" t="s">
        <v>45</v>
      </c>
      <c r="C46" t="s">
        <v>72</v>
      </c>
      <c r="D46" t="s">
        <v>73</v>
      </c>
      <c r="E46" t="s">
        <v>74</v>
      </c>
      <c r="F46" t="s">
        <v>102</v>
      </c>
      <c r="G46" s="5">
        <v>284512</v>
      </c>
      <c r="H46" t="s">
        <v>37</v>
      </c>
      <c r="I46" t="s">
        <v>37</v>
      </c>
      <c r="J46" t="s">
        <v>40</v>
      </c>
    </row>
    <row r="47" spans="1:10" hidden="1" x14ac:dyDescent="0.35">
      <c r="A47" t="s">
        <v>31</v>
      </c>
      <c r="B47" t="s">
        <v>45</v>
      </c>
      <c r="C47" t="s">
        <v>72</v>
      </c>
      <c r="D47" t="s">
        <v>73</v>
      </c>
      <c r="E47" t="s">
        <v>74</v>
      </c>
      <c r="F47" t="s">
        <v>102</v>
      </c>
      <c r="G47" s="5">
        <v>1085043</v>
      </c>
      <c r="H47" t="s">
        <v>37</v>
      </c>
      <c r="I47" t="s">
        <v>37</v>
      </c>
      <c r="J47" t="s">
        <v>40</v>
      </c>
    </row>
    <row r="48" spans="1:10" x14ac:dyDescent="0.35">
      <c r="A48" t="s">
        <v>31</v>
      </c>
      <c r="B48" t="s">
        <v>32</v>
      </c>
      <c r="C48" t="s">
        <v>105</v>
      </c>
      <c r="D48" t="s">
        <v>106</v>
      </c>
      <c r="E48" t="s">
        <v>35</v>
      </c>
      <c r="F48" t="s">
        <v>102</v>
      </c>
      <c r="G48" s="5">
        <v>2400000</v>
      </c>
      <c r="H48" t="s">
        <v>40</v>
      </c>
      <c r="I48" t="s">
        <v>40</v>
      </c>
      <c r="J48" t="s">
        <v>37</v>
      </c>
    </row>
    <row r="49" spans="1:10" hidden="1" x14ac:dyDescent="0.35">
      <c r="A49" t="s">
        <v>31</v>
      </c>
      <c r="B49" t="s">
        <v>32</v>
      </c>
      <c r="C49" t="s">
        <v>84</v>
      </c>
      <c r="D49" t="s">
        <v>85</v>
      </c>
      <c r="E49" t="s">
        <v>35</v>
      </c>
      <c r="F49" t="s">
        <v>102</v>
      </c>
      <c r="G49" s="5">
        <v>2913880</v>
      </c>
      <c r="H49" t="s">
        <v>37</v>
      </c>
      <c r="I49" t="s">
        <v>37</v>
      </c>
      <c r="J49" t="s">
        <v>37</v>
      </c>
    </row>
    <row r="50" spans="1:10" hidden="1" x14ac:dyDescent="0.35">
      <c r="A50" t="s">
        <v>31</v>
      </c>
      <c r="B50" t="s">
        <v>45</v>
      </c>
      <c r="C50" t="s">
        <v>84</v>
      </c>
      <c r="D50" t="s">
        <v>85</v>
      </c>
      <c r="E50" t="s">
        <v>35</v>
      </c>
      <c r="F50" t="s">
        <v>102</v>
      </c>
      <c r="G50" s="5">
        <v>116074</v>
      </c>
      <c r="H50" t="s">
        <v>37</v>
      </c>
      <c r="I50" t="s">
        <v>37</v>
      </c>
      <c r="J50" t="s">
        <v>37</v>
      </c>
    </row>
    <row r="51" spans="1:10" hidden="1" x14ac:dyDescent="0.35">
      <c r="A51" t="s">
        <v>31</v>
      </c>
      <c r="B51" t="s">
        <v>45</v>
      </c>
      <c r="C51" t="s">
        <v>84</v>
      </c>
      <c r="D51" t="s">
        <v>85</v>
      </c>
      <c r="E51" t="s">
        <v>35</v>
      </c>
      <c r="F51" t="s">
        <v>102</v>
      </c>
      <c r="G51" s="5">
        <v>16038095</v>
      </c>
      <c r="H51" t="s">
        <v>37</v>
      </c>
      <c r="I51" t="s">
        <v>37</v>
      </c>
      <c r="J51" t="s">
        <v>37</v>
      </c>
    </row>
    <row r="52" spans="1:10" hidden="1" x14ac:dyDescent="0.35">
      <c r="A52" t="s">
        <v>31</v>
      </c>
      <c r="B52" t="s">
        <v>45</v>
      </c>
      <c r="C52" t="s">
        <v>107</v>
      </c>
      <c r="D52" t="s">
        <v>108</v>
      </c>
      <c r="E52" t="s">
        <v>98</v>
      </c>
      <c r="F52" t="s">
        <v>102</v>
      </c>
      <c r="G52" s="5">
        <v>1968382</v>
      </c>
      <c r="H52" t="s">
        <v>37</v>
      </c>
      <c r="I52" t="s">
        <v>37</v>
      </c>
      <c r="J52" t="s">
        <v>37</v>
      </c>
    </row>
    <row r="53" spans="1:10" x14ac:dyDescent="0.35">
      <c r="A53" t="s">
        <v>31</v>
      </c>
      <c r="B53" t="s">
        <v>32</v>
      </c>
      <c r="C53" t="s">
        <v>109</v>
      </c>
      <c r="D53" t="s">
        <v>110</v>
      </c>
      <c r="E53" t="s">
        <v>35</v>
      </c>
      <c r="F53" t="s">
        <v>111</v>
      </c>
      <c r="G53" s="5">
        <v>2236931</v>
      </c>
      <c r="H53" t="s">
        <v>40</v>
      </c>
      <c r="I53" t="s">
        <v>40</v>
      </c>
      <c r="J53" t="s">
        <v>40</v>
      </c>
    </row>
    <row r="54" spans="1:10" x14ac:dyDescent="0.35">
      <c r="A54" t="s">
        <v>31</v>
      </c>
      <c r="B54" t="s">
        <v>45</v>
      </c>
      <c r="C54" t="s">
        <v>112</v>
      </c>
      <c r="D54" t="s">
        <v>113</v>
      </c>
      <c r="E54" t="s">
        <v>35</v>
      </c>
      <c r="F54" t="s">
        <v>111</v>
      </c>
      <c r="G54" s="5">
        <v>4062640</v>
      </c>
      <c r="H54" t="s">
        <v>40</v>
      </c>
      <c r="I54" t="s">
        <v>40</v>
      </c>
      <c r="J54" t="s">
        <v>40</v>
      </c>
    </row>
    <row r="55" spans="1:10" hidden="1" x14ac:dyDescent="0.35">
      <c r="A55" t="s">
        <v>31</v>
      </c>
      <c r="B55" t="s">
        <v>32</v>
      </c>
      <c r="C55" t="s">
        <v>114</v>
      </c>
      <c r="D55" t="s">
        <v>115</v>
      </c>
      <c r="E55" t="s">
        <v>116</v>
      </c>
      <c r="F55" t="s">
        <v>117</v>
      </c>
      <c r="G55" s="5">
        <v>45000000</v>
      </c>
      <c r="H55" t="s">
        <v>37</v>
      </c>
      <c r="I55" t="s">
        <v>37</v>
      </c>
      <c r="J55" t="s">
        <v>40</v>
      </c>
    </row>
    <row r="56" spans="1:10" hidden="1" x14ac:dyDescent="0.35">
      <c r="A56" t="s">
        <v>31</v>
      </c>
      <c r="B56" t="s">
        <v>32</v>
      </c>
      <c r="C56" t="s">
        <v>114</v>
      </c>
      <c r="D56" t="s">
        <v>115</v>
      </c>
      <c r="E56" t="s">
        <v>116</v>
      </c>
      <c r="F56" t="s">
        <v>117</v>
      </c>
      <c r="G56" s="5">
        <v>5850000</v>
      </c>
      <c r="H56" t="s">
        <v>37</v>
      </c>
      <c r="I56" t="s">
        <v>37</v>
      </c>
      <c r="J56" t="s">
        <v>40</v>
      </c>
    </row>
    <row r="57" spans="1:10" hidden="1" x14ac:dyDescent="0.35">
      <c r="A57" t="s">
        <v>31</v>
      </c>
      <c r="B57" t="s">
        <v>45</v>
      </c>
      <c r="C57" t="s">
        <v>114</v>
      </c>
      <c r="D57" t="s">
        <v>115</v>
      </c>
      <c r="E57" t="s">
        <v>116</v>
      </c>
      <c r="F57" t="s">
        <v>117</v>
      </c>
      <c r="G57" s="5">
        <v>28262658</v>
      </c>
      <c r="H57" t="s">
        <v>37</v>
      </c>
      <c r="I57" t="s">
        <v>37</v>
      </c>
      <c r="J57" t="s">
        <v>40</v>
      </c>
    </row>
    <row r="58" spans="1:10" hidden="1" x14ac:dyDescent="0.35">
      <c r="A58" t="s">
        <v>31</v>
      </c>
      <c r="B58" t="s">
        <v>45</v>
      </c>
      <c r="C58" t="s">
        <v>114</v>
      </c>
      <c r="D58" t="s">
        <v>115</v>
      </c>
      <c r="E58" t="s">
        <v>116</v>
      </c>
      <c r="F58" t="s">
        <v>117</v>
      </c>
      <c r="G58" s="5">
        <v>28800</v>
      </c>
      <c r="H58" t="s">
        <v>37</v>
      </c>
      <c r="I58" t="s">
        <v>37</v>
      </c>
      <c r="J58" t="s">
        <v>40</v>
      </c>
    </row>
    <row r="59" spans="1:10" hidden="1" x14ac:dyDescent="0.35">
      <c r="A59" t="s">
        <v>31</v>
      </c>
      <c r="B59" t="s">
        <v>45</v>
      </c>
      <c r="C59" t="s">
        <v>114</v>
      </c>
      <c r="D59" t="s">
        <v>115</v>
      </c>
      <c r="E59" t="s">
        <v>116</v>
      </c>
      <c r="F59" t="s">
        <v>117</v>
      </c>
      <c r="G59" s="5">
        <v>34466</v>
      </c>
      <c r="H59" t="s">
        <v>37</v>
      </c>
      <c r="I59" t="s">
        <v>37</v>
      </c>
      <c r="J59" t="s">
        <v>40</v>
      </c>
    </row>
    <row r="60" spans="1:10" hidden="1" x14ac:dyDescent="0.35">
      <c r="A60" t="s">
        <v>31</v>
      </c>
      <c r="B60" t="s">
        <v>45</v>
      </c>
      <c r="C60" t="s">
        <v>114</v>
      </c>
      <c r="D60" t="s">
        <v>115</v>
      </c>
      <c r="E60" t="s">
        <v>116</v>
      </c>
      <c r="F60" t="s">
        <v>117</v>
      </c>
      <c r="G60" s="5">
        <v>58500</v>
      </c>
      <c r="H60" t="s">
        <v>37</v>
      </c>
      <c r="I60" t="s">
        <v>37</v>
      </c>
      <c r="J60" t="s">
        <v>40</v>
      </c>
    </row>
    <row r="61" spans="1:10" hidden="1" x14ac:dyDescent="0.35">
      <c r="A61" t="s">
        <v>31</v>
      </c>
      <c r="B61" t="s">
        <v>45</v>
      </c>
      <c r="C61" t="s">
        <v>118</v>
      </c>
      <c r="D61" t="s">
        <v>119</v>
      </c>
      <c r="E61" t="s">
        <v>116</v>
      </c>
      <c r="F61" t="s">
        <v>120</v>
      </c>
      <c r="G61" s="5">
        <v>1468466</v>
      </c>
      <c r="H61" t="s">
        <v>37</v>
      </c>
      <c r="I61" t="s">
        <v>37</v>
      </c>
      <c r="J61" t="s">
        <v>40</v>
      </c>
    </row>
    <row r="62" spans="1:10" x14ac:dyDescent="0.35">
      <c r="A62" t="s">
        <v>31</v>
      </c>
      <c r="B62" t="s">
        <v>45</v>
      </c>
      <c r="C62" t="s">
        <v>121</v>
      </c>
      <c r="D62" t="s">
        <v>122</v>
      </c>
      <c r="E62" t="s">
        <v>43</v>
      </c>
      <c r="F62" t="s">
        <v>123</v>
      </c>
      <c r="G62" s="5">
        <v>1000000</v>
      </c>
      <c r="H62" t="s">
        <v>40</v>
      </c>
      <c r="I62" t="s">
        <v>40</v>
      </c>
      <c r="J62" t="s">
        <v>37</v>
      </c>
    </row>
    <row r="63" spans="1:10" x14ac:dyDescent="0.35">
      <c r="A63" t="s">
        <v>31</v>
      </c>
      <c r="B63" t="s">
        <v>45</v>
      </c>
      <c r="C63" t="s">
        <v>124</v>
      </c>
      <c r="D63" t="s">
        <v>125</v>
      </c>
      <c r="E63" t="s">
        <v>43</v>
      </c>
      <c r="F63" t="s">
        <v>123</v>
      </c>
      <c r="G63" s="5">
        <v>864706</v>
      </c>
      <c r="H63" t="s">
        <v>40</v>
      </c>
      <c r="I63" t="s">
        <v>37</v>
      </c>
      <c r="J63" t="s">
        <v>40</v>
      </c>
    </row>
    <row r="64" spans="1:10" x14ac:dyDescent="0.35">
      <c r="A64" t="s">
        <v>31</v>
      </c>
      <c r="B64" t="s">
        <v>45</v>
      </c>
      <c r="C64" t="s">
        <v>124</v>
      </c>
      <c r="D64" t="s">
        <v>125</v>
      </c>
      <c r="E64" t="s">
        <v>43</v>
      </c>
      <c r="F64" t="s">
        <v>123</v>
      </c>
      <c r="G64" s="5">
        <v>196543</v>
      </c>
      <c r="H64" t="s">
        <v>40</v>
      </c>
      <c r="I64" t="s">
        <v>37</v>
      </c>
      <c r="J64" t="s">
        <v>40</v>
      </c>
    </row>
    <row r="65" spans="1:10" x14ac:dyDescent="0.35">
      <c r="A65" t="s">
        <v>31</v>
      </c>
      <c r="B65" t="s">
        <v>45</v>
      </c>
      <c r="C65" t="s">
        <v>126</v>
      </c>
      <c r="D65" t="s">
        <v>127</v>
      </c>
      <c r="E65" t="s">
        <v>43</v>
      </c>
      <c r="F65" t="s">
        <v>123</v>
      </c>
      <c r="G65" s="5">
        <v>2524900</v>
      </c>
      <c r="H65" t="s">
        <v>40</v>
      </c>
      <c r="I65" t="s">
        <v>37</v>
      </c>
      <c r="J65" t="s">
        <v>37</v>
      </c>
    </row>
    <row r="66" spans="1:10" x14ac:dyDescent="0.35">
      <c r="A66" t="s">
        <v>31</v>
      </c>
      <c r="B66" t="s">
        <v>45</v>
      </c>
      <c r="C66" t="s">
        <v>126</v>
      </c>
      <c r="D66" t="s">
        <v>127</v>
      </c>
      <c r="E66" t="s">
        <v>43</v>
      </c>
      <c r="F66" t="s">
        <v>123</v>
      </c>
      <c r="G66" s="5">
        <v>257400</v>
      </c>
      <c r="H66" t="s">
        <v>40</v>
      </c>
      <c r="I66" t="s">
        <v>37</v>
      </c>
      <c r="J66" t="s">
        <v>37</v>
      </c>
    </row>
    <row r="67" spans="1:10" x14ac:dyDescent="0.35">
      <c r="A67" t="s">
        <v>31</v>
      </c>
      <c r="B67" t="s">
        <v>45</v>
      </c>
      <c r="C67" t="s">
        <v>126</v>
      </c>
      <c r="D67" t="s">
        <v>127</v>
      </c>
      <c r="E67" t="s">
        <v>43</v>
      </c>
      <c r="F67" t="s">
        <v>123</v>
      </c>
      <c r="G67" s="5">
        <v>163300</v>
      </c>
      <c r="H67" t="s">
        <v>40</v>
      </c>
      <c r="I67" t="s">
        <v>37</v>
      </c>
      <c r="J67" t="s">
        <v>37</v>
      </c>
    </row>
    <row r="68" spans="1:10" hidden="1" x14ac:dyDescent="0.35">
      <c r="A68" t="s">
        <v>31</v>
      </c>
      <c r="B68" t="s">
        <v>32</v>
      </c>
      <c r="C68" t="s">
        <v>128</v>
      </c>
      <c r="D68" t="s">
        <v>129</v>
      </c>
      <c r="E68" t="s">
        <v>48</v>
      </c>
      <c r="F68" t="s">
        <v>123</v>
      </c>
      <c r="G68" s="5">
        <v>456329</v>
      </c>
      <c r="H68" t="s">
        <v>37</v>
      </c>
      <c r="I68" t="s">
        <v>37</v>
      </c>
      <c r="J68" t="s">
        <v>40</v>
      </c>
    </row>
    <row r="69" spans="1:10" hidden="1" x14ac:dyDescent="0.35">
      <c r="A69" t="s">
        <v>31</v>
      </c>
      <c r="B69" t="s">
        <v>32</v>
      </c>
      <c r="C69" t="s">
        <v>130</v>
      </c>
      <c r="D69" t="s">
        <v>131</v>
      </c>
      <c r="E69" t="s">
        <v>48</v>
      </c>
      <c r="F69" t="s">
        <v>123</v>
      </c>
      <c r="G69" s="5">
        <v>18000000</v>
      </c>
      <c r="H69" t="s">
        <v>37</v>
      </c>
      <c r="I69" t="s">
        <v>37</v>
      </c>
      <c r="J69" t="s">
        <v>40</v>
      </c>
    </row>
    <row r="70" spans="1:10" hidden="1" x14ac:dyDescent="0.35">
      <c r="A70" t="s">
        <v>31</v>
      </c>
      <c r="B70" t="s">
        <v>32</v>
      </c>
      <c r="C70" t="s">
        <v>130</v>
      </c>
      <c r="D70" t="s">
        <v>131</v>
      </c>
      <c r="E70" t="s">
        <v>48</v>
      </c>
      <c r="F70" t="s">
        <v>123</v>
      </c>
      <c r="G70" s="5">
        <v>2101000</v>
      </c>
      <c r="H70" t="s">
        <v>37</v>
      </c>
      <c r="I70" t="s">
        <v>37</v>
      </c>
      <c r="J70" t="s">
        <v>40</v>
      </c>
    </row>
    <row r="71" spans="1:10" hidden="1" x14ac:dyDescent="0.35">
      <c r="A71" t="s">
        <v>31</v>
      </c>
      <c r="B71" t="s">
        <v>32</v>
      </c>
      <c r="C71" t="s">
        <v>132</v>
      </c>
      <c r="D71" t="s">
        <v>133</v>
      </c>
      <c r="E71" t="s">
        <v>48</v>
      </c>
      <c r="F71" t="s">
        <v>123</v>
      </c>
      <c r="G71" s="5">
        <v>3600000</v>
      </c>
      <c r="H71" t="s">
        <v>37</v>
      </c>
      <c r="I71" t="s">
        <v>37</v>
      </c>
      <c r="J71" t="s">
        <v>37</v>
      </c>
    </row>
    <row r="72" spans="1:10" hidden="1" x14ac:dyDescent="0.35">
      <c r="A72" t="s">
        <v>31</v>
      </c>
      <c r="B72" t="s">
        <v>32</v>
      </c>
      <c r="C72" t="s">
        <v>132</v>
      </c>
      <c r="D72" t="s">
        <v>133</v>
      </c>
      <c r="E72" t="s">
        <v>48</v>
      </c>
      <c r="F72" t="s">
        <v>123</v>
      </c>
      <c r="G72" s="5">
        <v>400000</v>
      </c>
      <c r="H72" t="s">
        <v>37</v>
      </c>
      <c r="I72" t="s">
        <v>37</v>
      </c>
      <c r="J72" t="s">
        <v>37</v>
      </c>
    </row>
    <row r="73" spans="1:10" hidden="1" x14ac:dyDescent="0.35">
      <c r="A73" t="s">
        <v>31</v>
      </c>
      <c r="B73" t="s">
        <v>32</v>
      </c>
      <c r="C73" t="s">
        <v>134</v>
      </c>
      <c r="D73" t="s">
        <v>135</v>
      </c>
      <c r="E73" t="s">
        <v>48</v>
      </c>
      <c r="F73" t="s">
        <v>123</v>
      </c>
      <c r="G73" s="5">
        <v>14211000</v>
      </c>
      <c r="H73" t="s">
        <v>37</v>
      </c>
      <c r="I73" t="s">
        <v>37</v>
      </c>
      <c r="J73" t="s">
        <v>37</v>
      </c>
    </row>
    <row r="74" spans="1:10" hidden="1" x14ac:dyDescent="0.35">
      <c r="A74" t="s">
        <v>31</v>
      </c>
      <c r="B74" t="s">
        <v>32</v>
      </c>
      <c r="C74" t="s">
        <v>134</v>
      </c>
      <c r="D74" t="s">
        <v>135</v>
      </c>
      <c r="E74" t="s">
        <v>48</v>
      </c>
      <c r="F74" t="s">
        <v>123</v>
      </c>
      <c r="G74" s="5">
        <v>2027000</v>
      </c>
      <c r="H74" t="s">
        <v>37</v>
      </c>
      <c r="I74" t="s">
        <v>37</v>
      </c>
      <c r="J74" t="s">
        <v>37</v>
      </c>
    </row>
    <row r="75" spans="1:10" hidden="1" x14ac:dyDescent="0.35">
      <c r="A75" t="s">
        <v>31</v>
      </c>
      <c r="B75" t="s">
        <v>45</v>
      </c>
      <c r="C75" t="s">
        <v>128</v>
      </c>
      <c r="D75" t="s">
        <v>129</v>
      </c>
      <c r="E75" t="s">
        <v>48</v>
      </c>
      <c r="F75" t="s">
        <v>123</v>
      </c>
      <c r="G75" s="5">
        <v>15765919</v>
      </c>
      <c r="H75" t="s">
        <v>37</v>
      </c>
      <c r="I75" t="s">
        <v>37</v>
      </c>
      <c r="J75" t="s">
        <v>40</v>
      </c>
    </row>
    <row r="76" spans="1:10" x14ac:dyDescent="0.35">
      <c r="A76" t="s">
        <v>31</v>
      </c>
      <c r="B76" t="s">
        <v>45</v>
      </c>
      <c r="C76" t="s">
        <v>136</v>
      </c>
      <c r="D76" t="s">
        <v>137</v>
      </c>
      <c r="E76" t="s">
        <v>48</v>
      </c>
      <c r="F76" t="s">
        <v>123</v>
      </c>
      <c r="G76" s="5">
        <v>9480000</v>
      </c>
      <c r="H76" t="s">
        <v>40</v>
      </c>
      <c r="I76" t="s">
        <v>40</v>
      </c>
      <c r="J76" t="s">
        <v>40</v>
      </c>
    </row>
    <row r="77" spans="1:10" hidden="1" x14ac:dyDescent="0.35">
      <c r="A77" t="s">
        <v>31</v>
      </c>
      <c r="B77" t="s">
        <v>45</v>
      </c>
      <c r="C77" t="s">
        <v>138</v>
      </c>
      <c r="D77" t="s">
        <v>139</v>
      </c>
      <c r="E77" t="s">
        <v>48</v>
      </c>
      <c r="F77" t="s">
        <v>123</v>
      </c>
      <c r="G77" s="5">
        <v>13140</v>
      </c>
      <c r="H77" t="s">
        <v>37</v>
      </c>
      <c r="I77" t="s">
        <v>37</v>
      </c>
      <c r="J77" t="s">
        <v>37</v>
      </c>
    </row>
    <row r="78" spans="1:10" x14ac:dyDescent="0.35">
      <c r="A78" t="s">
        <v>31</v>
      </c>
      <c r="B78" t="s">
        <v>45</v>
      </c>
      <c r="C78" t="s">
        <v>140</v>
      </c>
      <c r="D78" t="s">
        <v>141</v>
      </c>
      <c r="E78" t="s">
        <v>48</v>
      </c>
      <c r="F78" t="s">
        <v>123</v>
      </c>
      <c r="G78" s="5">
        <v>14197643</v>
      </c>
      <c r="H78" t="s">
        <v>40</v>
      </c>
      <c r="I78" t="s">
        <v>40</v>
      </c>
      <c r="J78" t="s">
        <v>40</v>
      </c>
    </row>
    <row r="79" spans="1:10" hidden="1" x14ac:dyDescent="0.35">
      <c r="A79" t="s">
        <v>31</v>
      </c>
      <c r="B79" t="s">
        <v>32</v>
      </c>
      <c r="C79" t="s">
        <v>114</v>
      </c>
      <c r="D79" t="s">
        <v>115</v>
      </c>
      <c r="E79" t="s">
        <v>116</v>
      </c>
      <c r="F79" t="s">
        <v>123</v>
      </c>
      <c r="G79" s="5">
        <v>45000000</v>
      </c>
      <c r="H79" t="s">
        <v>37</v>
      </c>
      <c r="I79" t="s">
        <v>37</v>
      </c>
      <c r="J79" t="s">
        <v>40</v>
      </c>
    </row>
    <row r="80" spans="1:10" hidden="1" x14ac:dyDescent="0.35">
      <c r="A80" t="s">
        <v>31</v>
      </c>
      <c r="B80" t="s">
        <v>32</v>
      </c>
      <c r="C80" t="s">
        <v>114</v>
      </c>
      <c r="D80" t="s">
        <v>115</v>
      </c>
      <c r="E80" t="s">
        <v>116</v>
      </c>
      <c r="F80" t="s">
        <v>123</v>
      </c>
      <c r="G80" s="5">
        <v>5850000</v>
      </c>
      <c r="H80" t="s">
        <v>37</v>
      </c>
      <c r="I80" t="s">
        <v>37</v>
      </c>
      <c r="J80" t="s">
        <v>40</v>
      </c>
    </row>
    <row r="81" spans="1:10" hidden="1" x14ac:dyDescent="0.35">
      <c r="A81" t="s">
        <v>31</v>
      </c>
      <c r="B81" t="s">
        <v>32</v>
      </c>
      <c r="C81" t="s">
        <v>142</v>
      </c>
      <c r="D81" t="s">
        <v>143</v>
      </c>
      <c r="E81" t="s">
        <v>116</v>
      </c>
      <c r="F81" t="s">
        <v>123</v>
      </c>
      <c r="G81" s="5">
        <v>960000</v>
      </c>
      <c r="H81" t="s">
        <v>37</v>
      </c>
      <c r="I81" t="s">
        <v>37</v>
      </c>
      <c r="J81" t="s">
        <v>37</v>
      </c>
    </row>
    <row r="82" spans="1:10" hidden="1" x14ac:dyDescent="0.35">
      <c r="A82" t="s">
        <v>31</v>
      </c>
      <c r="B82" t="s">
        <v>45</v>
      </c>
      <c r="C82" t="s">
        <v>114</v>
      </c>
      <c r="D82" t="s">
        <v>115</v>
      </c>
      <c r="E82" t="s">
        <v>116</v>
      </c>
      <c r="F82" t="s">
        <v>123</v>
      </c>
      <c r="G82" s="5">
        <v>28262658</v>
      </c>
      <c r="H82" t="s">
        <v>37</v>
      </c>
      <c r="I82" t="s">
        <v>37</v>
      </c>
      <c r="J82" t="s">
        <v>40</v>
      </c>
    </row>
    <row r="83" spans="1:10" hidden="1" x14ac:dyDescent="0.35">
      <c r="A83" t="s">
        <v>31</v>
      </c>
      <c r="B83" t="s">
        <v>45</v>
      </c>
      <c r="C83" t="s">
        <v>114</v>
      </c>
      <c r="D83" t="s">
        <v>115</v>
      </c>
      <c r="E83" t="s">
        <v>116</v>
      </c>
      <c r="F83" t="s">
        <v>123</v>
      </c>
      <c r="G83" s="5">
        <v>28800</v>
      </c>
      <c r="H83" t="s">
        <v>37</v>
      </c>
      <c r="I83" t="s">
        <v>37</v>
      </c>
      <c r="J83" t="s">
        <v>40</v>
      </c>
    </row>
    <row r="84" spans="1:10" hidden="1" x14ac:dyDescent="0.35">
      <c r="A84" t="s">
        <v>31</v>
      </c>
      <c r="B84" t="s">
        <v>45</v>
      </c>
      <c r="C84" t="s">
        <v>114</v>
      </c>
      <c r="D84" t="s">
        <v>115</v>
      </c>
      <c r="E84" t="s">
        <v>116</v>
      </c>
      <c r="F84" t="s">
        <v>123</v>
      </c>
      <c r="G84" s="5">
        <v>34466</v>
      </c>
      <c r="H84" t="s">
        <v>37</v>
      </c>
      <c r="I84" t="s">
        <v>37</v>
      </c>
      <c r="J84" t="s">
        <v>40</v>
      </c>
    </row>
    <row r="85" spans="1:10" hidden="1" x14ac:dyDescent="0.35">
      <c r="A85" t="s">
        <v>31</v>
      </c>
      <c r="B85" t="s">
        <v>45</v>
      </c>
      <c r="C85" t="s">
        <v>114</v>
      </c>
      <c r="D85" t="s">
        <v>115</v>
      </c>
      <c r="E85" t="s">
        <v>116</v>
      </c>
      <c r="F85" t="s">
        <v>123</v>
      </c>
      <c r="G85" s="5">
        <v>58500</v>
      </c>
      <c r="H85" t="s">
        <v>37</v>
      </c>
      <c r="I85" t="s">
        <v>37</v>
      </c>
      <c r="J85" t="s">
        <v>40</v>
      </c>
    </row>
    <row r="86" spans="1:10" hidden="1" x14ac:dyDescent="0.35">
      <c r="A86" t="s">
        <v>31</v>
      </c>
      <c r="B86" t="s">
        <v>45</v>
      </c>
      <c r="C86" t="s">
        <v>144</v>
      </c>
      <c r="D86" t="s">
        <v>145</v>
      </c>
      <c r="E86" t="s">
        <v>116</v>
      </c>
      <c r="F86" t="s">
        <v>123</v>
      </c>
      <c r="G86" s="5">
        <v>588210</v>
      </c>
      <c r="H86" t="s">
        <v>37</v>
      </c>
      <c r="I86" t="s">
        <v>37</v>
      </c>
      <c r="J86" t="s">
        <v>37</v>
      </c>
    </row>
    <row r="87" spans="1:10" hidden="1" x14ac:dyDescent="0.35">
      <c r="A87" t="s">
        <v>31</v>
      </c>
      <c r="B87" t="s">
        <v>45</v>
      </c>
      <c r="C87" t="s">
        <v>146</v>
      </c>
      <c r="D87" t="s">
        <v>147</v>
      </c>
      <c r="E87" t="s">
        <v>116</v>
      </c>
      <c r="F87" t="s">
        <v>123</v>
      </c>
      <c r="G87" s="5">
        <v>907501</v>
      </c>
      <c r="H87" t="s">
        <v>37</v>
      </c>
      <c r="I87" t="s">
        <v>37</v>
      </c>
      <c r="J87" t="s">
        <v>37</v>
      </c>
    </row>
    <row r="88" spans="1:10" hidden="1" x14ac:dyDescent="0.35">
      <c r="A88" t="s">
        <v>31</v>
      </c>
      <c r="B88" t="s">
        <v>45</v>
      </c>
      <c r="C88" t="s">
        <v>148</v>
      </c>
      <c r="D88" t="s">
        <v>149</v>
      </c>
      <c r="E88" t="s">
        <v>116</v>
      </c>
      <c r="F88" t="s">
        <v>123</v>
      </c>
      <c r="G88" s="5">
        <v>1242900</v>
      </c>
      <c r="H88" t="s">
        <v>37</v>
      </c>
      <c r="I88" t="s">
        <v>37</v>
      </c>
      <c r="J88" t="s">
        <v>37</v>
      </c>
    </row>
    <row r="89" spans="1:10" hidden="1" x14ac:dyDescent="0.35">
      <c r="A89" t="s">
        <v>31</v>
      </c>
      <c r="B89" t="s">
        <v>45</v>
      </c>
      <c r="C89" t="s">
        <v>150</v>
      </c>
      <c r="D89" t="s">
        <v>151</v>
      </c>
      <c r="E89" t="s">
        <v>116</v>
      </c>
      <c r="F89" t="s">
        <v>123</v>
      </c>
      <c r="G89" s="5">
        <v>867252</v>
      </c>
      <c r="H89" t="s">
        <v>37</v>
      </c>
      <c r="I89" t="s">
        <v>37</v>
      </c>
      <c r="J89" t="s">
        <v>37</v>
      </c>
    </row>
    <row r="90" spans="1:10" hidden="1" x14ac:dyDescent="0.35">
      <c r="A90" t="s">
        <v>31</v>
      </c>
      <c r="B90" t="s">
        <v>45</v>
      </c>
      <c r="C90" t="s">
        <v>152</v>
      </c>
      <c r="D90" t="s">
        <v>153</v>
      </c>
      <c r="E90" t="s">
        <v>116</v>
      </c>
      <c r="F90" t="s">
        <v>123</v>
      </c>
      <c r="G90" s="5">
        <v>659700</v>
      </c>
      <c r="H90" t="s">
        <v>37</v>
      </c>
      <c r="I90" t="s">
        <v>37</v>
      </c>
      <c r="J90" t="s">
        <v>37</v>
      </c>
    </row>
    <row r="91" spans="1:10" x14ac:dyDescent="0.35">
      <c r="A91" t="s">
        <v>31</v>
      </c>
      <c r="B91" t="s">
        <v>32</v>
      </c>
      <c r="C91" t="s">
        <v>68</v>
      </c>
      <c r="D91" t="s">
        <v>69</v>
      </c>
      <c r="E91" t="s">
        <v>70</v>
      </c>
      <c r="F91" t="s">
        <v>123</v>
      </c>
      <c r="G91" s="5">
        <v>939469</v>
      </c>
      <c r="H91" t="s">
        <v>40</v>
      </c>
      <c r="I91" t="s">
        <v>40</v>
      </c>
      <c r="J91" t="s">
        <v>40</v>
      </c>
    </row>
    <row r="92" spans="1:10" x14ac:dyDescent="0.35">
      <c r="A92" t="s">
        <v>31</v>
      </c>
      <c r="B92" t="s">
        <v>32</v>
      </c>
      <c r="C92" t="s">
        <v>68</v>
      </c>
      <c r="D92" t="s">
        <v>69</v>
      </c>
      <c r="E92" t="s">
        <v>70</v>
      </c>
      <c r="F92" t="s">
        <v>123</v>
      </c>
      <c r="G92" s="5">
        <v>8841353</v>
      </c>
      <c r="H92" t="s">
        <v>40</v>
      </c>
      <c r="I92" t="s">
        <v>40</v>
      </c>
      <c r="J92" t="s">
        <v>40</v>
      </c>
    </row>
    <row r="93" spans="1:10" x14ac:dyDescent="0.35">
      <c r="A93" t="s">
        <v>31</v>
      </c>
      <c r="B93" t="s">
        <v>32</v>
      </c>
      <c r="C93" t="s">
        <v>68</v>
      </c>
      <c r="D93" t="s">
        <v>69</v>
      </c>
      <c r="E93" t="s">
        <v>70</v>
      </c>
      <c r="F93" t="s">
        <v>123</v>
      </c>
      <c r="G93" s="5">
        <v>439469</v>
      </c>
      <c r="H93" t="s">
        <v>40</v>
      </c>
      <c r="I93" t="s">
        <v>40</v>
      </c>
      <c r="J93" t="s">
        <v>40</v>
      </c>
    </row>
    <row r="94" spans="1:10" x14ac:dyDescent="0.35">
      <c r="A94" t="s">
        <v>31</v>
      </c>
      <c r="B94" t="s">
        <v>32</v>
      </c>
      <c r="C94" t="s">
        <v>154</v>
      </c>
      <c r="D94" t="s">
        <v>155</v>
      </c>
      <c r="E94" t="s">
        <v>70</v>
      </c>
      <c r="F94" t="s">
        <v>123</v>
      </c>
      <c r="G94" s="5">
        <v>746066</v>
      </c>
      <c r="H94" t="s">
        <v>40</v>
      </c>
      <c r="I94" t="s">
        <v>40</v>
      </c>
      <c r="J94" t="s">
        <v>40</v>
      </c>
    </row>
    <row r="95" spans="1:10" x14ac:dyDescent="0.35">
      <c r="A95" t="s">
        <v>31</v>
      </c>
      <c r="B95" t="s">
        <v>32</v>
      </c>
      <c r="C95" t="s">
        <v>154</v>
      </c>
      <c r="D95" t="s">
        <v>155</v>
      </c>
      <c r="E95" t="s">
        <v>70</v>
      </c>
      <c r="F95" t="s">
        <v>123</v>
      </c>
      <c r="G95" s="5">
        <v>3033934</v>
      </c>
      <c r="H95" t="s">
        <v>40</v>
      </c>
      <c r="I95" t="s">
        <v>40</v>
      </c>
      <c r="J95" t="s">
        <v>40</v>
      </c>
    </row>
    <row r="96" spans="1:10" x14ac:dyDescent="0.35">
      <c r="A96" t="s">
        <v>31</v>
      </c>
      <c r="B96" t="s">
        <v>45</v>
      </c>
      <c r="C96" t="s">
        <v>156</v>
      </c>
      <c r="D96" t="s">
        <v>157</v>
      </c>
      <c r="E96" t="s">
        <v>70</v>
      </c>
      <c r="F96" t="s">
        <v>123</v>
      </c>
      <c r="G96" s="5">
        <v>958001</v>
      </c>
      <c r="H96" t="s">
        <v>40</v>
      </c>
      <c r="I96" t="s">
        <v>40</v>
      </c>
      <c r="J96" t="s">
        <v>40</v>
      </c>
    </row>
    <row r="97" spans="1:10" x14ac:dyDescent="0.35">
      <c r="A97" t="s">
        <v>31</v>
      </c>
      <c r="B97" t="s">
        <v>45</v>
      </c>
      <c r="C97" t="s">
        <v>156</v>
      </c>
      <c r="D97" t="s">
        <v>157</v>
      </c>
      <c r="E97" t="s">
        <v>70</v>
      </c>
      <c r="F97" t="s">
        <v>123</v>
      </c>
      <c r="G97" s="5">
        <v>70000000</v>
      </c>
      <c r="H97" t="s">
        <v>40</v>
      </c>
      <c r="I97" t="s">
        <v>40</v>
      </c>
      <c r="J97" t="s">
        <v>40</v>
      </c>
    </row>
    <row r="98" spans="1:10" hidden="1" x14ac:dyDescent="0.35">
      <c r="A98" t="s">
        <v>31</v>
      </c>
      <c r="B98" t="s">
        <v>45</v>
      </c>
      <c r="C98" t="s">
        <v>158</v>
      </c>
      <c r="D98" t="s">
        <v>159</v>
      </c>
      <c r="E98" t="s">
        <v>160</v>
      </c>
      <c r="F98" t="s">
        <v>123</v>
      </c>
      <c r="G98" s="5">
        <v>145648</v>
      </c>
      <c r="H98" t="s">
        <v>37</v>
      </c>
      <c r="I98" t="s">
        <v>37</v>
      </c>
      <c r="J98" t="s">
        <v>40</v>
      </c>
    </row>
    <row r="99" spans="1:10" hidden="1" x14ac:dyDescent="0.35">
      <c r="A99" t="s">
        <v>31</v>
      </c>
      <c r="B99" t="s">
        <v>45</v>
      </c>
      <c r="C99" t="s">
        <v>158</v>
      </c>
      <c r="D99" t="s">
        <v>159</v>
      </c>
      <c r="E99" t="s">
        <v>160</v>
      </c>
      <c r="F99" t="s">
        <v>123</v>
      </c>
      <c r="G99" s="5">
        <v>1956539</v>
      </c>
      <c r="H99" t="s">
        <v>37</v>
      </c>
      <c r="I99" t="s">
        <v>37</v>
      </c>
      <c r="J99" t="s">
        <v>40</v>
      </c>
    </row>
    <row r="100" spans="1:10" hidden="1" x14ac:dyDescent="0.35">
      <c r="A100" t="s">
        <v>31</v>
      </c>
      <c r="B100" t="s">
        <v>45</v>
      </c>
      <c r="C100" t="s">
        <v>161</v>
      </c>
      <c r="D100" t="s">
        <v>162</v>
      </c>
      <c r="E100" t="s">
        <v>51</v>
      </c>
      <c r="F100" t="s">
        <v>123</v>
      </c>
      <c r="G100" s="5">
        <v>2227441</v>
      </c>
      <c r="H100" t="s">
        <v>37</v>
      </c>
      <c r="I100" t="s">
        <v>37</v>
      </c>
      <c r="J100" t="s">
        <v>40</v>
      </c>
    </row>
    <row r="101" spans="1:10" x14ac:dyDescent="0.35">
      <c r="A101" t="s">
        <v>31</v>
      </c>
      <c r="B101" t="s">
        <v>32</v>
      </c>
      <c r="C101" t="s">
        <v>163</v>
      </c>
      <c r="D101" t="s">
        <v>164</v>
      </c>
      <c r="E101" t="s">
        <v>60</v>
      </c>
      <c r="F101" t="s">
        <v>123</v>
      </c>
      <c r="G101" s="5">
        <v>742000</v>
      </c>
      <c r="H101" t="s">
        <v>40</v>
      </c>
      <c r="I101" t="s">
        <v>40</v>
      </c>
      <c r="J101" t="s">
        <v>40</v>
      </c>
    </row>
    <row r="102" spans="1:10" hidden="1" x14ac:dyDescent="0.35">
      <c r="A102" t="s">
        <v>31</v>
      </c>
      <c r="B102" t="s">
        <v>32</v>
      </c>
      <c r="C102" t="s">
        <v>165</v>
      </c>
      <c r="D102" t="s">
        <v>166</v>
      </c>
      <c r="E102" t="s">
        <v>60</v>
      </c>
      <c r="F102" t="s">
        <v>123</v>
      </c>
      <c r="G102" s="5">
        <v>10000000</v>
      </c>
      <c r="H102" t="s">
        <v>37</v>
      </c>
      <c r="I102" t="s">
        <v>37</v>
      </c>
      <c r="J102" t="s">
        <v>37</v>
      </c>
    </row>
    <row r="103" spans="1:10" hidden="1" x14ac:dyDescent="0.35">
      <c r="A103" t="s">
        <v>31</v>
      </c>
      <c r="B103" t="s">
        <v>45</v>
      </c>
      <c r="C103" t="s">
        <v>165</v>
      </c>
      <c r="D103" t="s">
        <v>166</v>
      </c>
      <c r="E103" t="s">
        <v>60</v>
      </c>
      <c r="F103" t="s">
        <v>123</v>
      </c>
      <c r="G103" s="5">
        <v>10189</v>
      </c>
      <c r="H103" t="s">
        <v>37</v>
      </c>
      <c r="I103" t="s">
        <v>37</v>
      </c>
      <c r="J103" t="s">
        <v>37</v>
      </c>
    </row>
    <row r="104" spans="1:10" hidden="1" x14ac:dyDescent="0.35">
      <c r="A104" t="s">
        <v>31</v>
      </c>
      <c r="B104" t="s">
        <v>45</v>
      </c>
      <c r="C104" t="s">
        <v>165</v>
      </c>
      <c r="D104" t="s">
        <v>166</v>
      </c>
      <c r="E104" t="s">
        <v>60</v>
      </c>
      <c r="F104" t="s">
        <v>123</v>
      </c>
      <c r="G104" s="5">
        <v>43400000</v>
      </c>
      <c r="H104" t="s">
        <v>37</v>
      </c>
      <c r="I104" t="s">
        <v>37</v>
      </c>
      <c r="J104" t="s">
        <v>37</v>
      </c>
    </row>
    <row r="105" spans="1:10" hidden="1" x14ac:dyDescent="0.35">
      <c r="A105" t="s">
        <v>31</v>
      </c>
      <c r="B105" t="s">
        <v>45</v>
      </c>
      <c r="C105" t="s">
        <v>72</v>
      </c>
      <c r="D105" t="s">
        <v>73</v>
      </c>
      <c r="E105" t="s">
        <v>74</v>
      </c>
      <c r="F105" t="s">
        <v>123</v>
      </c>
      <c r="G105" s="5">
        <v>284512</v>
      </c>
      <c r="H105" t="s">
        <v>37</v>
      </c>
      <c r="I105" t="s">
        <v>37</v>
      </c>
      <c r="J105" t="s">
        <v>40</v>
      </c>
    </row>
    <row r="106" spans="1:10" hidden="1" x14ac:dyDescent="0.35">
      <c r="A106" t="s">
        <v>31</v>
      </c>
      <c r="B106" t="s">
        <v>45</v>
      </c>
      <c r="C106" t="s">
        <v>72</v>
      </c>
      <c r="D106" t="s">
        <v>73</v>
      </c>
      <c r="E106" t="s">
        <v>74</v>
      </c>
      <c r="F106" t="s">
        <v>123</v>
      </c>
      <c r="G106" s="5">
        <v>1085043</v>
      </c>
      <c r="H106" t="s">
        <v>37</v>
      </c>
      <c r="I106" t="s">
        <v>37</v>
      </c>
      <c r="J106" t="s">
        <v>40</v>
      </c>
    </row>
    <row r="107" spans="1:10" x14ac:dyDescent="0.35">
      <c r="A107" t="s">
        <v>31</v>
      </c>
      <c r="B107" t="s">
        <v>32</v>
      </c>
      <c r="C107" t="s">
        <v>167</v>
      </c>
      <c r="D107" t="s">
        <v>168</v>
      </c>
      <c r="E107" t="s">
        <v>35</v>
      </c>
      <c r="F107" t="s">
        <v>123</v>
      </c>
      <c r="G107" s="5">
        <v>2000000</v>
      </c>
      <c r="H107" t="s">
        <v>40</v>
      </c>
      <c r="I107" t="s">
        <v>40</v>
      </c>
      <c r="J107" t="s">
        <v>37</v>
      </c>
    </row>
    <row r="108" spans="1:10" hidden="1" x14ac:dyDescent="0.35">
      <c r="A108" t="s">
        <v>31</v>
      </c>
      <c r="B108" t="s">
        <v>32</v>
      </c>
      <c r="C108" t="s">
        <v>169</v>
      </c>
      <c r="D108" t="s">
        <v>170</v>
      </c>
      <c r="E108" t="s">
        <v>35</v>
      </c>
      <c r="F108" t="s">
        <v>123</v>
      </c>
      <c r="G108" s="5">
        <v>2361381</v>
      </c>
      <c r="H108" t="s">
        <v>37</v>
      </c>
      <c r="I108" t="s">
        <v>37</v>
      </c>
      <c r="J108" t="s">
        <v>37</v>
      </c>
    </row>
    <row r="109" spans="1:10" hidden="1" x14ac:dyDescent="0.35">
      <c r="A109" t="s">
        <v>31</v>
      </c>
      <c r="B109" t="s">
        <v>32</v>
      </c>
      <c r="C109" t="s">
        <v>84</v>
      </c>
      <c r="D109" t="s">
        <v>85</v>
      </c>
      <c r="E109" t="s">
        <v>35</v>
      </c>
      <c r="F109" t="s">
        <v>123</v>
      </c>
      <c r="G109" s="5">
        <v>2913880</v>
      </c>
      <c r="H109" t="s">
        <v>37</v>
      </c>
      <c r="I109" t="s">
        <v>37</v>
      </c>
      <c r="J109" t="s">
        <v>37</v>
      </c>
    </row>
    <row r="110" spans="1:10" x14ac:dyDescent="0.35">
      <c r="A110" t="s">
        <v>31</v>
      </c>
      <c r="B110" t="s">
        <v>32</v>
      </c>
      <c r="C110" t="s">
        <v>38</v>
      </c>
      <c r="D110" t="s">
        <v>39</v>
      </c>
      <c r="E110" t="s">
        <v>35</v>
      </c>
      <c r="F110" t="s">
        <v>123</v>
      </c>
      <c r="G110" s="5">
        <v>4160000</v>
      </c>
      <c r="H110" t="s">
        <v>40</v>
      </c>
      <c r="I110" t="s">
        <v>40</v>
      </c>
      <c r="J110" t="s">
        <v>37</v>
      </c>
    </row>
    <row r="111" spans="1:10" x14ac:dyDescent="0.35">
      <c r="A111" t="s">
        <v>31</v>
      </c>
      <c r="B111" t="s">
        <v>45</v>
      </c>
      <c r="C111" t="s">
        <v>171</v>
      </c>
      <c r="D111" t="s">
        <v>172</v>
      </c>
      <c r="E111" t="s">
        <v>35</v>
      </c>
      <c r="F111" t="s">
        <v>123</v>
      </c>
      <c r="G111" s="5">
        <v>572000</v>
      </c>
      <c r="H111" t="s">
        <v>40</v>
      </c>
      <c r="I111" t="s">
        <v>40</v>
      </c>
      <c r="J111" t="s">
        <v>37</v>
      </c>
    </row>
    <row r="112" spans="1:10" hidden="1" x14ac:dyDescent="0.35">
      <c r="A112" t="s">
        <v>31</v>
      </c>
      <c r="B112" t="s">
        <v>45</v>
      </c>
      <c r="C112" t="s">
        <v>169</v>
      </c>
      <c r="D112" t="s">
        <v>170</v>
      </c>
      <c r="E112" t="s">
        <v>35</v>
      </c>
      <c r="F112" t="s">
        <v>123</v>
      </c>
      <c r="G112" s="5">
        <v>2400000</v>
      </c>
      <c r="H112" t="s">
        <v>37</v>
      </c>
      <c r="I112" t="s">
        <v>37</v>
      </c>
      <c r="J112" t="s">
        <v>37</v>
      </c>
    </row>
    <row r="113" spans="1:10" hidden="1" x14ac:dyDescent="0.35">
      <c r="A113" t="s">
        <v>31</v>
      </c>
      <c r="B113" t="s">
        <v>45</v>
      </c>
      <c r="C113" t="s">
        <v>84</v>
      </c>
      <c r="D113" t="s">
        <v>85</v>
      </c>
      <c r="E113" t="s">
        <v>35</v>
      </c>
      <c r="F113" t="s">
        <v>123</v>
      </c>
      <c r="G113" s="5">
        <v>116074</v>
      </c>
      <c r="H113" t="s">
        <v>37</v>
      </c>
      <c r="I113" t="s">
        <v>37</v>
      </c>
      <c r="J113" t="s">
        <v>37</v>
      </c>
    </row>
    <row r="114" spans="1:10" hidden="1" x14ac:dyDescent="0.35">
      <c r="A114" t="s">
        <v>31</v>
      </c>
      <c r="B114" t="s">
        <v>45</v>
      </c>
      <c r="C114" t="s">
        <v>84</v>
      </c>
      <c r="D114" t="s">
        <v>85</v>
      </c>
      <c r="E114" t="s">
        <v>35</v>
      </c>
      <c r="F114" t="s">
        <v>123</v>
      </c>
      <c r="G114" s="5">
        <v>16038095</v>
      </c>
      <c r="H114" t="s">
        <v>37</v>
      </c>
      <c r="I114" t="s">
        <v>37</v>
      </c>
      <c r="J114" t="s">
        <v>37</v>
      </c>
    </row>
    <row r="115" spans="1:10" hidden="1" x14ac:dyDescent="0.35">
      <c r="A115" t="s">
        <v>31</v>
      </c>
      <c r="B115" t="s">
        <v>45</v>
      </c>
      <c r="C115" t="s">
        <v>173</v>
      </c>
      <c r="D115" t="s">
        <v>174</v>
      </c>
      <c r="E115" t="s">
        <v>175</v>
      </c>
      <c r="F115" t="s">
        <v>123</v>
      </c>
      <c r="G115" s="5">
        <v>9188952</v>
      </c>
      <c r="H115" t="s">
        <v>37</v>
      </c>
      <c r="I115" t="s">
        <v>37</v>
      </c>
      <c r="J115" t="s">
        <v>40</v>
      </c>
    </row>
    <row r="116" spans="1:10" hidden="1" x14ac:dyDescent="0.35">
      <c r="A116" t="s">
        <v>31</v>
      </c>
      <c r="B116" t="s">
        <v>45</v>
      </c>
      <c r="C116" t="s">
        <v>176</v>
      </c>
      <c r="D116" t="s">
        <v>177</v>
      </c>
      <c r="E116" t="s">
        <v>98</v>
      </c>
      <c r="F116" t="s">
        <v>123</v>
      </c>
      <c r="G116" s="5">
        <v>4032000</v>
      </c>
      <c r="H116" t="s">
        <v>37</v>
      </c>
      <c r="I116" t="s">
        <v>37</v>
      </c>
      <c r="J116" t="s">
        <v>37</v>
      </c>
    </row>
    <row r="117" spans="1:10" hidden="1" x14ac:dyDescent="0.35">
      <c r="A117" t="s">
        <v>31</v>
      </c>
      <c r="B117" t="s">
        <v>32</v>
      </c>
      <c r="C117" t="s">
        <v>178</v>
      </c>
      <c r="D117" t="s">
        <v>179</v>
      </c>
      <c r="E117" t="s">
        <v>116</v>
      </c>
      <c r="F117" t="s">
        <v>180</v>
      </c>
      <c r="G117" s="5">
        <v>960000</v>
      </c>
      <c r="H117" t="s">
        <v>37</v>
      </c>
      <c r="I117" t="s">
        <v>37</v>
      </c>
      <c r="J117" t="s">
        <v>37</v>
      </c>
    </row>
    <row r="118" spans="1:10" hidden="1" x14ac:dyDescent="0.35">
      <c r="A118" t="s">
        <v>31</v>
      </c>
      <c r="B118" t="s">
        <v>32</v>
      </c>
      <c r="C118" t="s">
        <v>181</v>
      </c>
      <c r="D118" t="s">
        <v>182</v>
      </c>
      <c r="E118" t="s">
        <v>51</v>
      </c>
      <c r="F118" t="s">
        <v>180</v>
      </c>
      <c r="G118" s="5">
        <v>2250000</v>
      </c>
      <c r="H118" t="s">
        <v>37</v>
      </c>
      <c r="I118" t="s">
        <v>37</v>
      </c>
      <c r="J118" t="s">
        <v>37</v>
      </c>
    </row>
    <row r="119" spans="1:10" x14ac:dyDescent="0.35">
      <c r="A119" t="s">
        <v>31</v>
      </c>
      <c r="B119" t="s">
        <v>32</v>
      </c>
      <c r="C119" t="s">
        <v>154</v>
      </c>
      <c r="D119" t="s">
        <v>155</v>
      </c>
      <c r="E119" t="s">
        <v>70</v>
      </c>
      <c r="F119" t="s">
        <v>183</v>
      </c>
      <c r="G119" s="5">
        <v>746066</v>
      </c>
      <c r="H119" t="s">
        <v>40</v>
      </c>
      <c r="I119" t="s">
        <v>40</v>
      </c>
      <c r="J119" t="s">
        <v>40</v>
      </c>
    </row>
    <row r="120" spans="1:10" x14ac:dyDescent="0.35">
      <c r="A120" t="s">
        <v>31</v>
      </c>
      <c r="B120" t="s">
        <v>32</v>
      </c>
      <c r="C120" t="s">
        <v>154</v>
      </c>
      <c r="D120" t="s">
        <v>155</v>
      </c>
      <c r="E120" t="s">
        <v>70</v>
      </c>
      <c r="F120" t="s">
        <v>183</v>
      </c>
      <c r="G120" s="5">
        <v>3033934</v>
      </c>
      <c r="H120" t="s">
        <v>40</v>
      </c>
      <c r="I120" t="s">
        <v>40</v>
      </c>
      <c r="J120" t="s">
        <v>40</v>
      </c>
    </row>
    <row r="121" spans="1:10" hidden="1" x14ac:dyDescent="0.35">
      <c r="A121" t="s">
        <v>31</v>
      </c>
      <c r="B121" t="s">
        <v>32</v>
      </c>
      <c r="C121" t="s">
        <v>84</v>
      </c>
      <c r="D121" t="s">
        <v>85</v>
      </c>
      <c r="E121" t="s">
        <v>35</v>
      </c>
      <c r="F121" t="s">
        <v>184</v>
      </c>
      <c r="G121" s="5">
        <v>2913880</v>
      </c>
      <c r="H121" t="s">
        <v>37</v>
      </c>
      <c r="I121" t="s">
        <v>37</v>
      </c>
      <c r="J121" t="s">
        <v>37</v>
      </c>
    </row>
    <row r="122" spans="1:10" hidden="1" x14ac:dyDescent="0.35">
      <c r="A122" t="s">
        <v>31</v>
      </c>
      <c r="B122" t="s">
        <v>32</v>
      </c>
      <c r="C122" t="s">
        <v>86</v>
      </c>
      <c r="D122" t="s">
        <v>87</v>
      </c>
      <c r="E122" t="s">
        <v>35</v>
      </c>
      <c r="F122" t="s">
        <v>184</v>
      </c>
      <c r="G122" s="5">
        <v>5184000</v>
      </c>
      <c r="H122" t="s">
        <v>37</v>
      </c>
      <c r="I122" t="s">
        <v>37</v>
      </c>
      <c r="J122" t="s">
        <v>37</v>
      </c>
    </row>
    <row r="123" spans="1:10" hidden="1" x14ac:dyDescent="0.35">
      <c r="A123" t="s">
        <v>31</v>
      </c>
      <c r="B123" t="s">
        <v>45</v>
      </c>
      <c r="C123" t="s">
        <v>84</v>
      </c>
      <c r="D123" t="s">
        <v>85</v>
      </c>
      <c r="E123" t="s">
        <v>35</v>
      </c>
      <c r="F123" t="s">
        <v>184</v>
      </c>
      <c r="G123" s="5">
        <v>116074</v>
      </c>
      <c r="H123" t="s">
        <v>37</v>
      </c>
      <c r="I123" t="s">
        <v>37</v>
      </c>
      <c r="J123" t="s">
        <v>37</v>
      </c>
    </row>
    <row r="124" spans="1:10" hidden="1" x14ac:dyDescent="0.35">
      <c r="A124" t="s">
        <v>31</v>
      </c>
      <c r="B124" t="s">
        <v>45</v>
      </c>
      <c r="C124" t="s">
        <v>84</v>
      </c>
      <c r="D124" t="s">
        <v>85</v>
      </c>
      <c r="E124" t="s">
        <v>35</v>
      </c>
      <c r="F124" t="s">
        <v>184</v>
      </c>
      <c r="G124" s="5">
        <v>16038095</v>
      </c>
      <c r="H124" t="s">
        <v>37</v>
      </c>
      <c r="I124" t="s">
        <v>37</v>
      </c>
      <c r="J124" t="s">
        <v>37</v>
      </c>
    </row>
    <row r="125" spans="1:10" x14ac:dyDescent="0.35">
      <c r="A125" t="s">
        <v>31</v>
      </c>
      <c r="B125" t="s">
        <v>32</v>
      </c>
      <c r="C125" t="s">
        <v>185</v>
      </c>
      <c r="D125" t="s">
        <v>186</v>
      </c>
      <c r="E125" t="s">
        <v>51</v>
      </c>
      <c r="F125" t="s">
        <v>187</v>
      </c>
      <c r="G125" s="5">
        <v>1740000</v>
      </c>
      <c r="H125" t="s">
        <v>40</v>
      </c>
      <c r="I125" t="s">
        <v>40</v>
      </c>
      <c r="J125" t="s">
        <v>37</v>
      </c>
    </row>
    <row r="126" spans="1:10" x14ac:dyDescent="0.35">
      <c r="A126" t="s">
        <v>31</v>
      </c>
      <c r="B126" t="s">
        <v>32</v>
      </c>
      <c r="C126" t="s">
        <v>188</v>
      </c>
      <c r="D126" t="s">
        <v>189</v>
      </c>
      <c r="E126" t="s">
        <v>35</v>
      </c>
      <c r="F126" t="s">
        <v>187</v>
      </c>
      <c r="G126" s="5">
        <v>6625976</v>
      </c>
      <c r="H126" t="s">
        <v>40</v>
      </c>
      <c r="I126" t="s">
        <v>40</v>
      </c>
      <c r="J126" t="s">
        <v>37</v>
      </c>
    </row>
    <row r="127" spans="1:10" x14ac:dyDescent="0.35">
      <c r="A127" t="s">
        <v>31</v>
      </c>
      <c r="B127" t="s">
        <v>45</v>
      </c>
      <c r="C127" t="s">
        <v>188</v>
      </c>
      <c r="D127" t="s">
        <v>189</v>
      </c>
      <c r="E127" t="s">
        <v>35</v>
      </c>
      <c r="F127" t="s">
        <v>187</v>
      </c>
      <c r="G127" s="5">
        <v>6452835</v>
      </c>
      <c r="H127" t="s">
        <v>40</v>
      </c>
      <c r="I127" t="s">
        <v>40</v>
      </c>
      <c r="J127" t="s">
        <v>37</v>
      </c>
    </row>
    <row r="128" spans="1:10" hidden="1" x14ac:dyDescent="0.35">
      <c r="A128" t="s">
        <v>31</v>
      </c>
      <c r="B128" t="s">
        <v>32</v>
      </c>
      <c r="C128" t="s">
        <v>190</v>
      </c>
      <c r="D128" t="s">
        <v>191</v>
      </c>
      <c r="E128" t="s">
        <v>74</v>
      </c>
      <c r="F128" t="s">
        <v>192</v>
      </c>
      <c r="G128" s="5">
        <v>11450000</v>
      </c>
      <c r="H128" t="s">
        <v>37</v>
      </c>
      <c r="I128" t="s">
        <v>37</v>
      </c>
      <c r="J128" t="s">
        <v>40</v>
      </c>
    </row>
    <row r="129" spans="1:10" hidden="1" x14ac:dyDescent="0.35">
      <c r="A129" t="s">
        <v>31</v>
      </c>
      <c r="B129" t="s">
        <v>32</v>
      </c>
      <c r="C129" t="s">
        <v>190</v>
      </c>
      <c r="D129" t="s">
        <v>191</v>
      </c>
      <c r="E129" t="s">
        <v>74</v>
      </c>
      <c r="F129" t="s">
        <v>192</v>
      </c>
      <c r="G129" s="5">
        <v>23289000</v>
      </c>
      <c r="H129" t="s">
        <v>37</v>
      </c>
      <c r="I129" t="s">
        <v>37</v>
      </c>
      <c r="J129" t="s">
        <v>40</v>
      </c>
    </row>
    <row r="130" spans="1:10" hidden="1" x14ac:dyDescent="0.35">
      <c r="A130" t="s">
        <v>31</v>
      </c>
      <c r="B130" t="s">
        <v>45</v>
      </c>
      <c r="C130" t="s">
        <v>190</v>
      </c>
      <c r="D130" t="s">
        <v>191</v>
      </c>
      <c r="E130" t="s">
        <v>74</v>
      </c>
      <c r="F130" t="s">
        <v>192</v>
      </c>
      <c r="G130" s="5">
        <v>127551</v>
      </c>
      <c r="H130" t="s">
        <v>37</v>
      </c>
      <c r="I130" t="s">
        <v>37</v>
      </c>
      <c r="J130" t="s">
        <v>40</v>
      </c>
    </row>
    <row r="131" spans="1:10" hidden="1" x14ac:dyDescent="0.35">
      <c r="A131" t="s">
        <v>31</v>
      </c>
      <c r="B131" t="s">
        <v>45</v>
      </c>
      <c r="C131" t="s">
        <v>190</v>
      </c>
      <c r="D131" t="s">
        <v>191</v>
      </c>
      <c r="E131" t="s">
        <v>74</v>
      </c>
      <c r="F131" t="s">
        <v>192</v>
      </c>
      <c r="G131" s="5">
        <v>12316512</v>
      </c>
      <c r="H131" t="s">
        <v>37</v>
      </c>
      <c r="I131" t="s">
        <v>37</v>
      </c>
      <c r="J131" t="s">
        <v>40</v>
      </c>
    </row>
    <row r="132" spans="1:10" x14ac:dyDescent="0.35">
      <c r="A132" t="s">
        <v>31</v>
      </c>
      <c r="B132" t="s">
        <v>32</v>
      </c>
      <c r="C132" t="s">
        <v>193</v>
      </c>
      <c r="D132" t="s">
        <v>194</v>
      </c>
      <c r="E132" t="s">
        <v>195</v>
      </c>
      <c r="F132" t="s">
        <v>192</v>
      </c>
      <c r="G132" s="5">
        <v>10922005</v>
      </c>
      <c r="H132" t="s">
        <v>40</v>
      </c>
      <c r="I132" t="s">
        <v>40</v>
      </c>
      <c r="J132" t="s">
        <v>37</v>
      </c>
    </row>
    <row r="133" spans="1:10" x14ac:dyDescent="0.35">
      <c r="A133" t="s">
        <v>31</v>
      </c>
      <c r="B133" t="s">
        <v>32</v>
      </c>
      <c r="C133" t="s">
        <v>193</v>
      </c>
      <c r="D133" t="s">
        <v>194</v>
      </c>
      <c r="E133" t="s">
        <v>195</v>
      </c>
      <c r="F133" t="s">
        <v>192</v>
      </c>
      <c r="G133" s="5">
        <v>8807138</v>
      </c>
      <c r="H133" t="s">
        <v>40</v>
      </c>
      <c r="I133" t="s">
        <v>40</v>
      </c>
      <c r="J133" t="s">
        <v>37</v>
      </c>
    </row>
    <row r="134" spans="1:10" x14ac:dyDescent="0.35">
      <c r="A134" t="s">
        <v>31</v>
      </c>
      <c r="B134" t="s">
        <v>45</v>
      </c>
      <c r="C134" t="s">
        <v>193</v>
      </c>
      <c r="D134" t="s">
        <v>194</v>
      </c>
      <c r="E134" t="s">
        <v>195</v>
      </c>
      <c r="F134" t="s">
        <v>192</v>
      </c>
      <c r="G134" s="5">
        <v>9965116</v>
      </c>
      <c r="H134" t="s">
        <v>40</v>
      </c>
      <c r="I134" t="s">
        <v>40</v>
      </c>
      <c r="J134" t="s">
        <v>37</v>
      </c>
    </row>
    <row r="135" spans="1:10" x14ac:dyDescent="0.35">
      <c r="A135" t="s">
        <v>31</v>
      </c>
      <c r="B135" t="s">
        <v>45</v>
      </c>
      <c r="C135" t="s">
        <v>193</v>
      </c>
      <c r="D135" t="s">
        <v>194</v>
      </c>
      <c r="E135" t="s">
        <v>195</v>
      </c>
      <c r="F135" t="s">
        <v>192</v>
      </c>
      <c r="G135" s="5">
        <v>5469512</v>
      </c>
      <c r="H135" t="s">
        <v>40</v>
      </c>
      <c r="I135" t="s">
        <v>40</v>
      </c>
      <c r="J135" t="s">
        <v>37</v>
      </c>
    </row>
    <row r="136" spans="1:10" x14ac:dyDescent="0.35">
      <c r="A136" t="s">
        <v>31</v>
      </c>
      <c r="B136" t="s">
        <v>45</v>
      </c>
      <c r="C136" t="s">
        <v>193</v>
      </c>
      <c r="D136" t="s">
        <v>194</v>
      </c>
      <c r="E136" t="s">
        <v>195</v>
      </c>
      <c r="F136" t="s">
        <v>192</v>
      </c>
      <c r="G136" s="5">
        <v>584606</v>
      </c>
      <c r="H136" t="s">
        <v>40</v>
      </c>
      <c r="I136" t="s">
        <v>40</v>
      </c>
      <c r="J136" t="s">
        <v>37</v>
      </c>
    </row>
    <row r="137" spans="1:10" x14ac:dyDescent="0.35">
      <c r="A137" t="s">
        <v>31</v>
      </c>
      <c r="B137" t="s">
        <v>45</v>
      </c>
      <c r="C137" t="s">
        <v>193</v>
      </c>
      <c r="D137" t="s">
        <v>194</v>
      </c>
      <c r="E137" t="s">
        <v>195</v>
      </c>
      <c r="F137" t="s">
        <v>192</v>
      </c>
      <c r="G137" s="5">
        <v>420114</v>
      </c>
      <c r="H137" t="s">
        <v>40</v>
      </c>
      <c r="I137" t="s">
        <v>40</v>
      </c>
      <c r="J137" t="s">
        <v>37</v>
      </c>
    </row>
    <row r="138" spans="1:10" x14ac:dyDescent="0.35">
      <c r="A138" t="s">
        <v>31</v>
      </c>
      <c r="B138" t="s">
        <v>45</v>
      </c>
      <c r="C138" t="s">
        <v>193</v>
      </c>
      <c r="D138" t="s">
        <v>194</v>
      </c>
      <c r="E138" t="s">
        <v>195</v>
      </c>
      <c r="F138" t="s">
        <v>192</v>
      </c>
      <c r="G138" s="5">
        <v>1423963</v>
      </c>
      <c r="H138" t="s">
        <v>40</v>
      </c>
      <c r="I138" t="s">
        <v>40</v>
      </c>
      <c r="J138" t="s">
        <v>37</v>
      </c>
    </row>
    <row r="139" spans="1:10" x14ac:dyDescent="0.35">
      <c r="A139" t="s">
        <v>31</v>
      </c>
      <c r="B139" t="s">
        <v>45</v>
      </c>
      <c r="C139" t="s">
        <v>193</v>
      </c>
      <c r="D139" t="s">
        <v>194</v>
      </c>
      <c r="E139" t="s">
        <v>195</v>
      </c>
      <c r="F139" t="s">
        <v>192</v>
      </c>
      <c r="G139" s="5">
        <v>121620</v>
      </c>
      <c r="H139" t="s">
        <v>40</v>
      </c>
      <c r="I139" t="s">
        <v>40</v>
      </c>
      <c r="J139" t="s">
        <v>37</v>
      </c>
    </row>
    <row r="140" spans="1:10" x14ac:dyDescent="0.35">
      <c r="A140" t="s">
        <v>31</v>
      </c>
      <c r="B140" t="s">
        <v>45</v>
      </c>
      <c r="C140" t="s">
        <v>193</v>
      </c>
      <c r="D140" t="s">
        <v>194</v>
      </c>
      <c r="E140" t="s">
        <v>195</v>
      </c>
      <c r="F140" t="s">
        <v>192</v>
      </c>
      <c r="G140" s="5">
        <v>347196</v>
      </c>
      <c r="H140" t="s">
        <v>40</v>
      </c>
      <c r="I140" t="s">
        <v>40</v>
      </c>
      <c r="J140" t="s">
        <v>37</v>
      </c>
    </row>
    <row r="141" spans="1:10" x14ac:dyDescent="0.35">
      <c r="A141" t="s">
        <v>31</v>
      </c>
      <c r="B141" t="s">
        <v>32</v>
      </c>
      <c r="C141" t="s">
        <v>91</v>
      </c>
      <c r="D141" t="s">
        <v>92</v>
      </c>
      <c r="E141" t="s">
        <v>43</v>
      </c>
      <c r="F141" t="s">
        <v>196</v>
      </c>
      <c r="G141" s="5">
        <v>766440</v>
      </c>
      <c r="H141" t="s">
        <v>40</v>
      </c>
      <c r="I141" t="s">
        <v>40</v>
      </c>
      <c r="J141" t="s">
        <v>37</v>
      </c>
    </row>
    <row r="142" spans="1:10" hidden="1" x14ac:dyDescent="0.35">
      <c r="A142" t="s">
        <v>31</v>
      </c>
      <c r="B142" t="s">
        <v>32</v>
      </c>
      <c r="C142" t="s">
        <v>197</v>
      </c>
      <c r="D142" t="s">
        <v>198</v>
      </c>
      <c r="E142" t="s">
        <v>51</v>
      </c>
      <c r="F142" t="s">
        <v>196</v>
      </c>
      <c r="G142" s="5">
        <v>3150000</v>
      </c>
      <c r="H142" t="s">
        <v>37</v>
      </c>
      <c r="I142" t="s">
        <v>37</v>
      </c>
      <c r="J142" t="s">
        <v>37</v>
      </c>
    </row>
    <row r="143" spans="1:10" x14ac:dyDescent="0.35">
      <c r="A143" t="s">
        <v>31</v>
      </c>
      <c r="B143" t="s">
        <v>45</v>
      </c>
      <c r="C143" t="s">
        <v>126</v>
      </c>
      <c r="D143" t="s">
        <v>127</v>
      </c>
      <c r="E143" t="s">
        <v>43</v>
      </c>
      <c r="F143" t="s">
        <v>199</v>
      </c>
      <c r="G143" s="5">
        <v>2524900</v>
      </c>
      <c r="H143" t="s">
        <v>40</v>
      </c>
      <c r="I143" t="s">
        <v>37</v>
      </c>
      <c r="J143" t="s">
        <v>37</v>
      </c>
    </row>
    <row r="144" spans="1:10" x14ac:dyDescent="0.35">
      <c r="A144" t="s">
        <v>31</v>
      </c>
      <c r="B144" t="s">
        <v>45</v>
      </c>
      <c r="C144" t="s">
        <v>126</v>
      </c>
      <c r="D144" t="s">
        <v>127</v>
      </c>
      <c r="E144" t="s">
        <v>43</v>
      </c>
      <c r="F144" t="s">
        <v>199</v>
      </c>
      <c r="G144" s="5">
        <v>257400</v>
      </c>
      <c r="H144" t="s">
        <v>40</v>
      </c>
      <c r="I144" t="s">
        <v>37</v>
      </c>
      <c r="J144" t="s">
        <v>37</v>
      </c>
    </row>
    <row r="145" spans="1:10" x14ac:dyDescent="0.35">
      <c r="A145" t="s">
        <v>31</v>
      </c>
      <c r="B145" t="s">
        <v>45</v>
      </c>
      <c r="C145" t="s">
        <v>126</v>
      </c>
      <c r="D145" t="s">
        <v>127</v>
      </c>
      <c r="E145" t="s">
        <v>43</v>
      </c>
      <c r="F145" t="s">
        <v>199</v>
      </c>
      <c r="G145" s="5">
        <v>163300</v>
      </c>
      <c r="H145" t="s">
        <v>40</v>
      </c>
      <c r="I145" t="s">
        <v>37</v>
      </c>
      <c r="J145" t="s">
        <v>37</v>
      </c>
    </row>
    <row r="146" spans="1:10" hidden="1" x14ac:dyDescent="0.35">
      <c r="A146" t="s">
        <v>31</v>
      </c>
      <c r="B146" t="s">
        <v>32</v>
      </c>
      <c r="C146" t="s">
        <v>52</v>
      </c>
      <c r="D146" t="s">
        <v>53</v>
      </c>
      <c r="E146" t="s">
        <v>51</v>
      </c>
      <c r="F146" t="s">
        <v>199</v>
      </c>
      <c r="G146" s="5">
        <v>2475000</v>
      </c>
      <c r="H146" t="s">
        <v>37</v>
      </c>
      <c r="I146" t="s">
        <v>37</v>
      </c>
      <c r="J146" t="s">
        <v>37</v>
      </c>
    </row>
    <row r="147" spans="1:10" hidden="1" x14ac:dyDescent="0.35">
      <c r="A147" t="s">
        <v>31</v>
      </c>
      <c r="B147" t="s">
        <v>45</v>
      </c>
      <c r="C147" t="s">
        <v>54</v>
      </c>
      <c r="D147" t="s">
        <v>55</v>
      </c>
      <c r="E147" t="s">
        <v>51</v>
      </c>
      <c r="F147" t="s">
        <v>199</v>
      </c>
      <c r="G147" s="5">
        <v>217590</v>
      </c>
      <c r="H147" t="s">
        <v>37</v>
      </c>
      <c r="I147" t="s">
        <v>37</v>
      </c>
      <c r="J147" t="s">
        <v>37</v>
      </c>
    </row>
    <row r="148" spans="1:10" hidden="1" x14ac:dyDescent="0.35">
      <c r="A148" t="s">
        <v>31</v>
      </c>
      <c r="B148" t="s">
        <v>45</v>
      </c>
      <c r="C148" t="s">
        <v>54</v>
      </c>
      <c r="D148" t="s">
        <v>55</v>
      </c>
      <c r="E148" t="s">
        <v>51</v>
      </c>
      <c r="F148" t="s">
        <v>199</v>
      </c>
      <c r="G148" s="5">
        <v>691256</v>
      </c>
      <c r="H148" t="s">
        <v>37</v>
      </c>
      <c r="I148" t="s">
        <v>37</v>
      </c>
      <c r="J148" t="s">
        <v>37</v>
      </c>
    </row>
    <row r="149" spans="1:10" hidden="1" x14ac:dyDescent="0.35">
      <c r="A149" t="s">
        <v>31</v>
      </c>
      <c r="B149" t="s">
        <v>32</v>
      </c>
      <c r="C149" t="s">
        <v>200</v>
      </c>
      <c r="D149" t="s">
        <v>201</v>
      </c>
      <c r="E149" t="s">
        <v>35</v>
      </c>
      <c r="F149" t="s">
        <v>199</v>
      </c>
      <c r="G149" s="5">
        <v>6560000</v>
      </c>
      <c r="H149" t="s">
        <v>37</v>
      </c>
      <c r="I149" t="s">
        <v>37</v>
      </c>
      <c r="J149" t="s">
        <v>37</v>
      </c>
    </row>
    <row r="150" spans="1:10" hidden="1" x14ac:dyDescent="0.35">
      <c r="A150" t="s">
        <v>31</v>
      </c>
      <c r="B150" t="s">
        <v>32</v>
      </c>
      <c r="C150" t="s">
        <v>200</v>
      </c>
      <c r="D150" t="s">
        <v>201</v>
      </c>
      <c r="E150" t="s">
        <v>35</v>
      </c>
      <c r="F150" t="s">
        <v>199</v>
      </c>
      <c r="G150" s="5">
        <v>1040000</v>
      </c>
      <c r="H150" t="s">
        <v>37</v>
      </c>
      <c r="I150" t="s">
        <v>37</v>
      </c>
      <c r="J150" t="s">
        <v>37</v>
      </c>
    </row>
    <row r="151" spans="1:10" x14ac:dyDescent="0.35">
      <c r="A151" t="s">
        <v>31</v>
      </c>
      <c r="B151" t="s">
        <v>45</v>
      </c>
      <c r="C151" t="s">
        <v>202</v>
      </c>
      <c r="D151" t="s">
        <v>203</v>
      </c>
      <c r="E151" t="s">
        <v>35</v>
      </c>
      <c r="F151" t="s">
        <v>199</v>
      </c>
      <c r="G151" s="5">
        <v>4621448</v>
      </c>
      <c r="H151" t="s">
        <v>40</v>
      </c>
      <c r="I151" t="s">
        <v>40</v>
      </c>
      <c r="J151" t="s">
        <v>37</v>
      </c>
    </row>
    <row r="152" spans="1:10" x14ac:dyDescent="0.35">
      <c r="A152" t="s">
        <v>31</v>
      </c>
      <c r="B152" t="s">
        <v>45</v>
      </c>
      <c r="C152" t="s">
        <v>204</v>
      </c>
      <c r="D152" t="s">
        <v>205</v>
      </c>
      <c r="E152" t="s">
        <v>35</v>
      </c>
      <c r="F152" t="s">
        <v>199</v>
      </c>
      <c r="G152" s="5">
        <v>2494960</v>
      </c>
      <c r="H152" t="s">
        <v>40</v>
      </c>
      <c r="I152" t="s">
        <v>40</v>
      </c>
      <c r="J152" t="s">
        <v>37</v>
      </c>
    </row>
    <row r="153" spans="1:10" hidden="1" x14ac:dyDescent="0.35">
      <c r="A153" t="s">
        <v>31</v>
      </c>
      <c r="B153" t="s">
        <v>45</v>
      </c>
      <c r="C153" t="s">
        <v>206</v>
      </c>
      <c r="D153" t="s">
        <v>207</v>
      </c>
      <c r="E153" t="s">
        <v>35</v>
      </c>
      <c r="F153" t="s">
        <v>199</v>
      </c>
      <c r="G153" s="5">
        <v>650817</v>
      </c>
      <c r="H153" t="s">
        <v>37</v>
      </c>
      <c r="I153" t="s">
        <v>37</v>
      </c>
      <c r="J153" t="s">
        <v>37</v>
      </c>
    </row>
    <row r="154" spans="1:10" hidden="1" x14ac:dyDescent="0.35">
      <c r="A154" t="s">
        <v>31</v>
      </c>
      <c r="B154" t="s">
        <v>32</v>
      </c>
      <c r="C154" t="s">
        <v>94</v>
      </c>
      <c r="D154" t="s">
        <v>95</v>
      </c>
      <c r="E154" t="s">
        <v>35</v>
      </c>
      <c r="F154" t="s">
        <v>208</v>
      </c>
      <c r="G154" s="5">
        <v>105383</v>
      </c>
      <c r="H154" t="s">
        <v>37</v>
      </c>
      <c r="I154" t="s">
        <v>37</v>
      </c>
      <c r="J154" t="s">
        <v>37</v>
      </c>
    </row>
    <row r="155" spans="1:10" hidden="1" x14ac:dyDescent="0.35">
      <c r="A155" t="s">
        <v>31</v>
      </c>
      <c r="B155" t="s">
        <v>45</v>
      </c>
      <c r="C155" t="s">
        <v>94</v>
      </c>
      <c r="D155" t="s">
        <v>95</v>
      </c>
      <c r="E155" t="s">
        <v>35</v>
      </c>
      <c r="F155" t="s">
        <v>208</v>
      </c>
      <c r="G155" s="5">
        <v>219072</v>
      </c>
      <c r="H155" t="s">
        <v>37</v>
      </c>
      <c r="I155" t="s">
        <v>37</v>
      </c>
      <c r="J155" t="s">
        <v>37</v>
      </c>
    </row>
    <row r="156" spans="1:10" hidden="1" x14ac:dyDescent="0.35">
      <c r="A156" t="s">
        <v>31</v>
      </c>
      <c r="B156" t="s">
        <v>45</v>
      </c>
      <c r="C156" t="s">
        <v>94</v>
      </c>
      <c r="D156" t="s">
        <v>95</v>
      </c>
      <c r="E156" t="s">
        <v>35</v>
      </c>
      <c r="F156" t="s">
        <v>208</v>
      </c>
      <c r="G156" s="5">
        <v>635546</v>
      </c>
      <c r="H156" t="s">
        <v>37</v>
      </c>
      <c r="I156" t="s">
        <v>37</v>
      </c>
      <c r="J156" t="s">
        <v>37</v>
      </c>
    </row>
    <row r="157" spans="1:10" hidden="1" x14ac:dyDescent="0.35">
      <c r="A157" t="s">
        <v>31</v>
      </c>
      <c r="B157" t="s">
        <v>32</v>
      </c>
      <c r="C157" t="s">
        <v>114</v>
      </c>
      <c r="D157" t="s">
        <v>115</v>
      </c>
      <c r="E157" t="s">
        <v>116</v>
      </c>
      <c r="F157" t="s">
        <v>209</v>
      </c>
      <c r="G157" s="5">
        <v>45000000</v>
      </c>
      <c r="H157" t="s">
        <v>37</v>
      </c>
      <c r="I157" t="s">
        <v>37</v>
      </c>
      <c r="J157" t="s">
        <v>40</v>
      </c>
    </row>
    <row r="158" spans="1:10" hidden="1" x14ac:dyDescent="0.35">
      <c r="A158" t="s">
        <v>31</v>
      </c>
      <c r="B158" t="s">
        <v>32</v>
      </c>
      <c r="C158" t="s">
        <v>114</v>
      </c>
      <c r="D158" t="s">
        <v>115</v>
      </c>
      <c r="E158" t="s">
        <v>116</v>
      </c>
      <c r="F158" t="s">
        <v>209</v>
      </c>
      <c r="G158" s="5">
        <v>5850000</v>
      </c>
      <c r="H158" t="s">
        <v>37</v>
      </c>
      <c r="I158" t="s">
        <v>37</v>
      </c>
      <c r="J158" t="s">
        <v>40</v>
      </c>
    </row>
    <row r="159" spans="1:10" hidden="1" x14ac:dyDescent="0.35">
      <c r="A159" t="s">
        <v>31</v>
      </c>
      <c r="B159" t="s">
        <v>45</v>
      </c>
      <c r="C159" t="s">
        <v>114</v>
      </c>
      <c r="D159" t="s">
        <v>115</v>
      </c>
      <c r="E159" t="s">
        <v>116</v>
      </c>
      <c r="F159" t="s">
        <v>209</v>
      </c>
      <c r="G159" s="5">
        <v>28262658</v>
      </c>
      <c r="H159" t="s">
        <v>37</v>
      </c>
      <c r="I159" t="s">
        <v>37</v>
      </c>
      <c r="J159" t="s">
        <v>40</v>
      </c>
    </row>
    <row r="160" spans="1:10" hidden="1" x14ac:dyDescent="0.35">
      <c r="A160" t="s">
        <v>31</v>
      </c>
      <c r="B160" t="s">
        <v>45</v>
      </c>
      <c r="C160" t="s">
        <v>114</v>
      </c>
      <c r="D160" t="s">
        <v>115</v>
      </c>
      <c r="E160" t="s">
        <v>116</v>
      </c>
      <c r="F160" t="s">
        <v>209</v>
      </c>
      <c r="G160" s="5">
        <v>28800</v>
      </c>
      <c r="H160" t="s">
        <v>37</v>
      </c>
      <c r="I160" t="s">
        <v>37</v>
      </c>
      <c r="J160" t="s">
        <v>40</v>
      </c>
    </row>
    <row r="161" spans="1:10" hidden="1" x14ac:dyDescent="0.35">
      <c r="A161" t="s">
        <v>31</v>
      </c>
      <c r="B161" t="s">
        <v>45</v>
      </c>
      <c r="C161" t="s">
        <v>114</v>
      </c>
      <c r="D161" t="s">
        <v>115</v>
      </c>
      <c r="E161" t="s">
        <v>116</v>
      </c>
      <c r="F161" t="s">
        <v>209</v>
      </c>
      <c r="G161" s="5">
        <v>34466</v>
      </c>
      <c r="H161" t="s">
        <v>37</v>
      </c>
      <c r="I161" t="s">
        <v>37</v>
      </c>
      <c r="J161" t="s">
        <v>40</v>
      </c>
    </row>
    <row r="162" spans="1:10" hidden="1" x14ac:dyDescent="0.35">
      <c r="A162" t="s">
        <v>31</v>
      </c>
      <c r="B162" t="s">
        <v>45</v>
      </c>
      <c r="C162" t="s">
        <v>114</v>
      </c>
      <c r="D162" t="s">
        <v>115</v>
      </c>
      <c r="E162" t="s">
        <v>116</v>
      </c>
      <c r="F162" t="s">
        <v>209</v>
      </c>
      <c r="G162" s="5">
        <v>58500</v>
      </c>
      <c r="H162" t="s">
        <v>37</v>
      </c>
      <c r="I162" t="s">
        <v>37</v>
      </c>
      <c r="J162" t="s">
        <v>40</v>
      </c>
    </row>
    <row r="163" spans="1:10" x14ac:dyDescent="0.35">
      <c r="A163" t="s">
        <v>31</v>
      </c>
      <c r="B163" t="s">
        <v>32</v>
      </c>
      <c r="C163" t="s">
        <v>167</v>
      </c>
      <c r="D163" t="s">
        <v>168</v>
      </c>
      <c r="E163" t="s">
        <v>35</v>
      </c>
      <c r="F163" t="s">
        <v>209</v>
      </c>
      <c r="G163" s="5">
        <v>2000000</v>
      </c>
      <c r="H163" t="s">
        <v>40</v>
      </c>
      <c r="I163" t="s">
        <v>40</v>
      </c>
      <c r="J163" t="s">
        <v>37</v>
      </c>
    </row>
    <row r="164" spans="1:10" x14ac:dyDescent="0.35">
      <c r="A164" t="s">
        <v>31</v>
      </c>
      <c r="B164" t="s">
        <v>32</v>
      </c>
      <c r="C164" t="s">
        <v>210</v>
      </c>
      <c r="D164" t="s">
        <v>211</v>
      </c>
      <c r="E164" t="s">
        <v>35</v>
      </c>
      <c r="F164" t="s">
        <v>209</v>
      </c>
      <c r="G164" s="5">
        <v>640000</v>
      </c>
      <c r="H164" t="s">
        <v>40</v>
      </c>
      <c r="I164" t="s">
        <v>40</v>
      </c>
      <c r="J164" t="s">
        <v>37</v>
      </c>
    </row>
    <row r="165" spans="1:10" x14ac:dyDescent="0.35">
      <c r="A165" t="s">
        <v>31</v>
      </c>
      <c r="B165" t="s">
        <v>32</v>
      </c>
      <c r="C165" t="s">
        <v>212</v>
      </c>
      <c r="D165" t="s">
        <v>213</v>
      </c>
      <c r="E165" t="s">
        <v>90</v>
      </c>
      <c r="F165" t="s">
        <v>214</v>
      </c>
      <c r="G165" s="5">
        <v>411848</v>
      </c>
      <c r="H165" t="s">
        <v>40</v>
      </c>
      <c r="I165" t="s">
        <v>40</v>
      </c>
      <c r="J165" t="s">
        <v>40</v>
      </c>
    </row>
    <row r="166" spans="1:10" x14ac:dyDescent="0.35">
      <c r="A166" t="s">
        <v>31</v>
      </c>
      <c r="B166" t="s">
        <v>45</v>
      </c>
      <c r="C166" t="s">
        <v>212</v>
      </c>
      <c r="D166" t="s">
        <v>213</v>
      </c>
      <c r="E166" t="s">
        <v>90</v>
      </c>
      <c r="F166" t="s">
        <v>214</v>
      </c>
      <c r="G166" s="5">
        <v>518152</v>
      </c>
      <c r="H166" t="s">
        <v>40</v>
      </c>
      <c r="I166" t="s">
        <v>40</v>
      </c>
      <c r="J166" t="s">
        <v>40</v>
      </c>
    </row>
    <row r="167" spans="1:10" hidden="1" x14ac:dyDescent="0.35">
      <c r="A167" t="s">
        <v>31</v>
      </c>
      <c r="B167" t="s">
        <v>45</v>
      </c>
      <c r="C167" t="s">
        <v>215</v>
      </c>
      <c r="D167" t="s">
        <v>216</v>
      </c>
      <c r="E167" t="s">
        <v>48</v>
      </c>
      <c r="F167" t="s">
        <v>217</v>
      </c>
      <c r="G167" s="5">
        <v>205202</v>
      </c>
      <c r="H167" t="s">
        <v>37</v>
      </c>
      <c r="I167" t="s">
        <v>37</v>
      </c>
      <c r="J167" t="s">
        <v>37</v>
      </c>
    </row>
    <row r="168" spans="1:10" hidden="1" x14ac:dyDescent="0.35">
      <c r="A168" t="s">
        <v>31</v>
      </c>
      <c r="B168" t="s">
        <v>45</v>
      </c>
      <c r="C168" t="s">
        <v>215</v>
      </c>
      <c r="D168" t="s">
        <v>216</v>
      </c>
      <c r="E168" t="s">
        <v>48</v>
      </c>
      <c r="F168" t="s">
        <v>217</v>
      </c>
      <c r="G168" s="5">
        <v>564</v>
      </c>
      <c r="H168" t="s">
        <v>37</v>
      </c>
      <c r="I168" t="s">
        <v>37</v>
      </c>
      <c r="J168" t="s">
        <v>37</v>
      </c>
    </row>
    <row r="169" spans="1:10" hidden="1" x14ac:dyDescent="0.35">
      <c r="A169" t="s">
        <v>31</v>
      </c>
      <c r="B169" t="s">
        <v>45</v>
      </c>
      <c r="C169" t="s">
        <v>215</v>
      </c>
      <c r="D169" t="s">
        <v>216</v>
      </c>
      <c r="E169" t="s">
        <v>48</v>
      </c>
      <c r="F169" t="s">
        <v>217</v>
      </c>
      <c r="G169" s="5">
        <v>3072000</v>
      </c>
      <c r="H169" t="s">
        <v>37</v>
      </c>
      <c r="I169" t="s">
        <v>37</v>
      </c>
      <c r="J169" t="s">
        <v>37</v>
      </c>
    </row>
    <row r="170" spans="1:10" x14ac:dyDescent="0.35">
      <c r="A170" t="s">
        <v>31</v>
      </c>
      <c r="B170" t="s">
        <v>32</v>
      </c>
      <c r="C170" t="s">
        <v>218</v>
      </c>
      <c r="D170" t="s">
        <v>219</v>
      </c>
      <c r="E170" t="s">
        <v>35</v>
      </c>
      <c r="F170" t="s">
        <v>217</v>
      </c>
      <c r="G170" s="5">
        <v>1124831</v>
      </c>
      <c r="H170" t="s">
        <v>40</v>
      </c>
      <c r="I170" t="s">
        <v>40</v>
      </c>
      <c r="J170" t="s">
        <v>40</v>
      </c>
    </row>
    <row r="171" spans="1:10" hidden="1" x14ac:dyDescent="0.35">
      <c r="A171" t="s">
        <v>31</v>
      </c>
      <c r="B171" t="s">
        <v>32</v>
      </c>
      <c r="C171" t="s">
        <v>200</v>
      </c>
      <c r="D171" t="s">
        <v>201</v>
      </c>
      <c r="E171" t="s">
        <v>35</v>
      </c>
      <c r="F171" t="s">
        <v>217</v>
      </c>
      <c r="G171" s="5">
        <v>6560000</v>
      </c>
      <c r="H171" t="s">
        <v>37</v>
      </c>
      <c r="I171" t="s">
        <v>37</v>
      </c>
      <c r="J171" t="s">
        <v>37</v>
      </c>
    </row>
    <row r="172" spans="1:10" hidden="1" x14ac:dyDescent="0.35">
      <c r="A172" t="s">
        <v>31</v>
      </c>
      <c r="B172" t="s">
        <v>32</v>
      </c>
      <c r="C172" t="s">
        <v>200</v>
      </c>
      <c r="D172" t="s">
        <v>201</v>
      </c>
      <c r="E172" t="s">
        <v>35</v>
      </c>
      <c r="F172" t="s">
        <v>217</v>
      </c>
      <c r="G172" s="5">
        <v>1040000</v>
      </c>
      <c r="H172" t="s">
        <v>37</v>
      </c>
      <c r="I172" t="s">
        <v>37</v>
      </c>
      <c r="J172" t="s">
        <v>37</v>
      </c>
    </row>
    <row r="173" spans="1:10" hidden="1" x14ac:dyDescent="0.35">
      <c r="A173" t="s">
        <v>31</v>
      </c>
      <c r="B173" t="s">
        <v>45</v>
      </c>
      <c r="C173" t="s">
        <v>206</v>
      </c>
      <c r="D173" t="s">
        <v>207</v>
      </c>
      <c r="E173" t="s">
        <v>35</v>
      </c>
      <c r="F173" t="s">
        <v>217</v>
      </c>
      <c r="G173" s="5">
        <v>650817</v>
      </c>
      <c r="H173" t="s">
        <v>37</v>
      </c>
      <c r="I173" t="s">
        <v>37</v>
      </c>
      <c r="J173" t="s">
        <v>37</v>
      </c>
    </row>
    <row r="174" spans="1:10" x14ac:dyDescent="0.35">
      <c r="A174" t="s">
        <v>31</v>
      </c>
      <c r="B174" t="s">
        <v>32</v>
      </c>
      <c r="C174" t="s">
        <v>220</v>
      </c>
      <c r="D174" t="s">
        <v>221</v>
      </c>
      <c r="E174" t="s">
        <v>90</v>
      </c>
      <c r="F174" t="s">
        <v>217</v>
      </c>
      <c r="G174" s="5">
        <v>500000</v>
      </c>
      <c r="H174" t="s">
        <v>40</v>
      </c>
      <c r="I174" t="s">
        <v>40</v>
      </c>
      <c r="J174" t="s">
        <v>40</v>
      </c>
    </row>
    <row r="175" spans="1:10" x14ac:dyDescent="0.35">
      <c r="A175" t="s">
        <v>31</v>
      </c>
      <c r="B175" t="s">
        <v>32</v>
      </c>
      <c r="C175" t="s">
        <v>220</v>
      </c>
      <c r="D175" t="s">
        <v>221</v>
      </c>
      <c r="E175" t="s">
        <v>90</v>
      </c>
      <c r="F175" t="s">
        <v>217</v>
      </c>
      <c r="G175" s="5">
        <v>700671</v>
      </c>
      <c r="H175" t="s">
        <v>40</v>
      </c>
      <c r="I175" t="s">
        <v>40</v>
      </c>
      <c r="J175" t="s">
        <v>40</v>
      </c>
    </row>
    <row r="176" spans="1:10" x14ac:dyDescent="0.35">
      <c r="A176" t="s">
        <v>31</v>
      </c>
      <c r="B176" t="s">
        <v>32</v>
      </c>
      <c r="C176" t="s">
        <v>220</v>
      </c>
      <c r="D176" t="s">
        <v>221</v>
      </c>
      <c r="E176" t="s">
        <v>90</v>
      </c>
      <c r="F176" t="s">
        <v>217</v>
      </c>
      <c r="G176" s="5">
        <v>2799329</v>
      </c>
      <c r="H176" t="s">
        <v>40</v>
      </c>
      <c r="I176" t="s">
        <v>40</v>
      </c>
      <c r="J176" t="s">
        <v>40</v>
      </c>
    </row>
    <row r="177" spans="1:10" x14ac:dyDescent="0.35">
      <c r="A177" t="s">
        <v>31</v>
      </c>
      <c r="B177" t="s">
        <v>32</v>
      </c>
      <c r="C177" t="s">
        <v>220</v>
      </c>
      <c r="D177" t="s">
        <v>221</v>
      </c>
      <c r="E177" t="s">
        <v>90</v>
      </c>
      <c r="F177" t="s">
        <v>217</v>
      </c>
      <c r="G177" s="5">
        <v>1500000</v>
      </c>
      <c r="H177" t="s">
        <v>40</v>
      </c>
      <c r="I177" t="s">
        <v>40</v>
      </c>
      <c r="J177" t="s">
        <v>40</v>
      </c>
    </row>
    <row r="178" spans="1:10" x14ac:dyDescent="0.35">
      <c r="A178" t="s">
        <v>31</v>
      </c>
      <c r="B178" t="s">
        <v>32</v>
      </c>
      <c r="C178" t="s">
        <v>220</v>
      </c>
      <c r="D178" t="s">
        <v>221</v>
      </c>
      <c r="E178" t="s">
        <v>90</v>
      </c>
      <c r="F178" t="s">
        <v>217</v>
      </c>
      <c r="G178" s="5">
        <v>1853184</v>
      </c>
      <c r="H178" t="s">
        <v>40</v>
      </c>
      <c r="I178" t="s">
        <v>40</v>
      </c>
      <c r="J178" t="s">
        <v>40</v>
      </c>
    </row>
    <row r="179" spans="1:10" x14ac:dyDescent="0.35">
      <c r="A179" t="s">
        <v>31</v>
      </c>
      <c r="B179" t="s">
        <v>45</v>
      </c>
      <c r="C179" t="s">
        <v>222</v>
      </c>
      <c r="D179" t="s">
        <v>223</v>
      </c>
      <c r="E179" t="s">
        <v>90</v>
      </c>
      <c r="F179" t="s">
        <v>217</v>
      </c>
      <c r="G179" s="5">
        <v>745147</v>
      </c>
      <c r="H179" t="s">
        <v>40</v>
      </c>
      <c r="I179" t="s">
        <v>40</v>
      </c>
      <c r="J179" t="s">
        <v>37</v>
      </c>
    </row>
    <row r="180" spans="1:10" x14ac:dyDescent="0.35">
      <c r="A180" t="s">
        <v>31</v>
      </c>
      <c r="B180" t="s">
        <v>45</v>
      </c>
      <c r="C180" t="s">
        <v>224</v>
      </c>
      <c r="D180" t="s">
        <v>225</v>
      </c>
      <c r="E180" t="s">
        <v>90</v>
      </c>
      <c r="F180" t="s">
        <v>217</v>
      </c>
      <c r="G180" s="5">
        <v>917985</v>
      </c>
      <c r="H180" t="s">
        <v>40</v>
      </c>
      <c r="I180" t="s">
        <v>40</v>
      </c>
      <c r="J180" t="s">
        <v>37</v>
      </c>
    </row>
    <row r="181" spans="1:10" x14ac:dyDescent="0.35">
      <c r="A181" t="s">
        <v>31</v>
      </c>
      <c r="B181" t="s">
        <v>45</v>
      </c>
      <c r="C181" t="s">
        <v>220</v>
      </c>
      <c r="D181" t="s">
        <v>221</v>
      </c>
      <c r="E181" t="s">
        <v>90</v>
      </c>
      <c r="F181" t="s">
        <v>217</v>
      </c>
      <c r="G181" s="5">
        <v>500000</v>
      </c>
      <c r="H181" t="s">
        <v>40</v>
      </c>
      <c r="I181" t="s">
        <v>40</v>
      </c>
      <c r="J181" t="s">
        <v>40</v>
      </c>
    </row>
    <row r="182" spans="1:10" x14ac:dyDescent="0.35">
      <c r="A182" t="s">
        <v>31</v>
      </c>
      <c r="B182" t="s">
        <v>45</v>
      </c>
      <c r="C182" t="s">
        <v>126</v>
      </c>
      <c r="D182" t="s">
        <v>127</v>
      </c>
      <c r="E182" t="s">
        <v>43</v>
      </c>
      <c r="F182" t="s">
        <v>226</v>
      </c>
      <c r="G182" s="5">
        <v>2524900</v>
      </c>
      <c r="H182" t="s">
        <v>40</v>
      </c>
      <c r="I182" t="s">
        <v>37</v>
      </c>
      <c r="J182" t="s">
        <v>37</v>
      </c>
    </row>
    <row r="183" spans="1:10" x14ac:dyDescent="0.35">
      <c r="A183" t="s">
        <v>31</v>
      </c>
      <c r="B183" t="s">
        <v>45</v>
      </c>
      <c r="C183" t="s">
        <v>126</v>
      </c>
      <c r="D183" t="s">
        <v>127</v>
      </c>
      <c r="E183" t="s">
        <v>43</v>
      </c>
      <c r="F183" t="s">
        <v>226</v>
      </c>
      <c r="G183" s="5">
        <v>257400</v>
      </c>
      <c r="H183" t="s">
        <v>40</v>
      </c>
      <c r="I183" t="s">
        <v>37</v>
      </c>
      <c r="J183" t="s">
        <v>37</v>
      </c>
    </row>
    <row r="184" spans="1:10" x14ac:dyDescent="0.35">
      <c r="A184" t="s">
        <v>31</v>
      </c>
      <c r="B184" t="s">
        <v>45</v>
      </c>
      <c r="C184" t="s">
        <v>126</v>
      </c>
      <c r="D184" t="s">
        <v>127</v>
      </c>
      <c r="E184" t="s">
        <v>43</v>
      </c>
      <c r="F184" t="s">
        <v>226</v>
      </c>
      <c r="G184" s="5">
        <v>163300</v>
      </c>
      <c r="H184" t="s">
        <v>40</v>
      </c>
      <c r="I184" t="s">
        <v>37</v>
      </c>
      <c r="J184" t="s">
        <v>37</v>
      </c>
    </row>
    <row r="185" spans="1:10" hidden="1" x14ac:dyDescent="0.35">
      <c r="A185" t="s">
        <v>31</v>
      </c>
      <c r="B185" t="s">
        <v>45</v>
      </c>
      <c r="C185" t="s">
        <v>227</v>
      </c>
      <c r="D185" t="s">
        <v>228</v>
      </c>
      <c r="E185" t="s">
        <v>60</v>
      </c>
      <c r="F185" t="s">
        <v>226</v>
      </c>
      <c r="G185" s="5">
        <v>795899</v>
      </c>
      <c r="H185" t="s">
        <v>37</v>
      </c>
      <c r="I185" t="s">
        <v>37</v>
      </c>
      <c r="J185" t="s">
        <v>37</v>
      </c>
    </row>
    <row r="186" spans="1:10" x14ac:dyDescent="0.35">
      <c r="A186" t="s">
        <v>31</v>
      </c>
      <c r="B186" t="s">
        <v>32</v>
      </c>
      <c r="C186" t="s">
        <v>229</v>
      </c>
      <c r="D186" t="s">
        <v>230</v>
      </c>
      <c r="E186" t="s">
        <v>35</v>
      </c>
      <c r="F186" t="s">
        <v>226</v>
      </c>
      <c r="G186" s="5">
        <v>10842000</v>
      </c>
      <c r="H186" t="s">
        <v>40</v>
      </c>
      <c r="I186" t="s">
        <v>40</v>
      </c>
      <c r="J186" t="s">
        <v>37</v>
      </c>
    </row>
    <row r="187" spans="1:10" x14ac:dyDescent="0.35">
      <c r="A187" t="s">
        <v>31</v>
      </c>
      <c r="B187" t="s">
        <v>32</v>
      </c>
      <c r="C187" t="s">
        <v>229</v>
      </c>
      <c r="D187" t="s">
        <v>230</v>
      </c>
      <c r="E187" t="s">
        <v>35</v>
      </c>
      <c r="F187" t="s">
        <v>226</v>
      </c>
      <c r="G187" s="5">
        <v>960000</v>
      </c>
      <c r="H187" t="s">
        <v>40</v>
      </c>
      <c r="I187" t="s">
        <v>40</v>
      </c>
      <c r="J187" t="s">
        <v>37</v>
      </c>
    </row>
    <row r="188" spans="1:10" x14ac:dyDescent="0.35">
      <c r="A188" t="s">
        <v>31</v>
      </c>
      <c r="B188" t="s">
        <v>32</v>
      </c>
      <c r="C188" t="s">
        <v>229</v>
      </c>
      <c r="D188" t="s">
        <v>230</v>
      </c>
      <c r="E188" t="s">
        <v>35</v>
      </c>
      <c r="F188" t="s">
        <v>226</v>
      </c>
      <c r="G188" s="5">
        <v>4000000</v>
      </c>
      <c r="H188" t="s">
        <v>40</v>
      </c>
      <c r="I188" t="s">
        <v>40</v>
      </c>
      <c r="J188" t="s">
        <v>37</v>
      </c>
    </row>
    <row r="189" spans="1:10" hidden="1" x14ac:dyDescent="0.35">
      <c r="A189" t="s">
        <v>31</v>
      </c>
      <c r="B189" t="s">
        <v>32</v>
      </c>
      <c r="C189" t="s">
        <v>84</v>
      </c>
      <c r="D189" t="s">
        <v>85</v>
      </c>
      <c r="E189" t="s">
        <v>35</v>
      </c>
      <c r="F189" t="s">
        <v>226</v>
      </c>
      <c r="G189" s="5">
        <v>2913880</v>
      </c>
      <c r="H189" t="s">
        <v>37</v>
      </c>
      <c r="I189" t="s">
        <v>37</v>
      </c>
      <c r="J189" t="s">
        <v>37</v>
      </c>
    </row>
    <row r="190" spans="1:10" x14ac:dyDescent="0.35">
      <c r="A190" t="s">
        <v>31</v>
      </c>
      <c r="B190" t="s">
        <v>45</v>
      </c>
      <c r="C190" t="s">
        <v>229</v>
      </c>
      <c r="D190" t="s">
        <v>230</v>
      </c>
      <c r="E190" t="s">
        <v>35</v>
      </c>
      <c r="F190" t="s">
        <v>226</v>
      </c>
      <c r="G190" s="5">
        <v>1360000</v>
      </c>
      <c r="H190" t="s">
        <v>40</v>
      </c>
      <c r="I190" t="s">
        <v>40</v>
      </c>
      <c r="J190" t="s">
        <v>37</v>
      </c>
    </row>
    <row r="191" spans="1:10" hidden="1" x14ac:dyDescent="0.35">
      <c r="A191" t="s">
        <v>31</v>
      </c>
      <c r="B191" t="s">
        <v>45</v>
      </c>
      <c r="C191" t="s">
        <v>84</v>
      </c>
      <c r="D191" t="s">
        <v>85</v>
      </c>
      <c r="E191" t="s">
        <v>35</v>
      </c>
      <c r="F191" t="s">
        <v>226</v>
      </c>
      <c r="G191" s="5">
        <v>116074</v>
      </c>
      <c r="H191" t="s">
        <v>37</v>
      </c>
      <c r="I191" t="s">
        <v>37</v>
      </c>
      <c r="J191" t="s">
        <v>37</v>
      </c>
    </row>
    <row r="192" spans="1:10" hidden="1" x14ac:dyDescent="0.35">
      <c r="A192" t="s">
        <v>31</v>
      </c>
      <c r="B192" t="s">
        <v>45</v>
      </c>
      <c r="C192" t="s">
        <v>84</v>
      </c>
      <c r="D192" t="s">
        <v>85</v>
      </c>
      <c r="E192" t="s">
        <v>35</v>
      </c>
      <c r="F192" t="s">
        <v>226</v>
      </c>
      <c r="G192" s="5">
        <v>16038095</v>
      </c>
      <c r="H192" t="s">
        <v>37</v>
      </c>
      <c r="I192" t="s">
        <v>37</v>
      </c>
      <c r="J192" t="s">
        <v>37</v>
      </c>
    </row>
    <row r="193" spans="1:10" hidden="1" x14ac:dyDescent="0.35">
      <c r="A193" t="s">
        <v>31</v>
      </c>
      <c r="B193" t="s">
        <v>45</v>
      </c>
      <c r="C193" t="s">
        <v>231</v>
      </c>
      <c r="D193" t="s">
        <v>232</v>
      </c>
      <c r="E193" t="s">
        <v>98</v>
      </c>
      <c r="F193" t="s">
        <v>226</v>
      </c>
      <c r="G193" s="5">
        <v>996761</v>
      </c>
      <c r="H193" t="s">
        <v>37</v>
      </c>
      <c r="I193" t="s">
        <v>37</v>
      </c>
      <c r="J193" t="s">
        <v>37</v>
      </c>
    </row>
    <row r="194" spans="1:10" hidden="1" x14ac:dyDescent="0.35">
      <c r="A194" t="s">
        <v>31</v>
      </c>
      <c r="B194" t="s">
        <v>32</v>
      </c>
      <c r="C194" t="s">
        <v>233</v>
      </c>
      <c r="D194" t="s">
        <v>234</v>
      </c>
      <c r="E194" t="s">
        <v>48</v>
      </c>
      <c r="F194" t="s">
        <v>235</v>
      </c>
      <c r="G194" s="5">
        <v>548972</v>
      </c>
      <c r="H194" t="s">
        <v>37</v>
      </c>
      <c r="I194" t="s">
        <v>37</v>
      </c>
      <c r="J194" t="s">
        <v>37</v>
      </c>
    </row>
    <row r="195" spans="1:10" hidden="1" x14ac:dyDescent="0.35">
      <c r="A195" t="s">
        <v>31</v>
      </c>
      <c r="B195" t="s">
        <v>32</v>
      </c>
      <c r="C195" t="s">
        <v>52</v>
      </c>
      <c r="D195" t="s">
        <v>53</v>
      </c>
      <c r="E195" t="s">
        <v>51</v>
      </c>
      <c r="F195" t="s">
        <v>235</v>
      </c>
      <c r="G195" s="5">
        <v>2475000</v>
      </c>
      <c r="H195" t="s">
        <v>37</v>
      </c>
      <c r="I195" t="s">
        <v>37</v>
      </c>
      <c r="J195" t="s">
        <v>37</v>
      </c>
    </row>
    <row r="196" spans="1:10" x14ac:dyDescent="0.35">
      <c r="A196" t="s">
        <v>31</v>
      </c>
      <c r="B196" t="s">
        <v>45</v>
      </c>
      <c r="C196" t="s">
        <v>236</v>
      </c>
      <c r="D196" t="s">
        <v>237</v>
      </c>
      <c r="E196" t="s">
        <v>90</v>
      </c>
      <c r="F196" t="s">
        <v>235</v>
      </c>
      <c r="G196" s="5">
        <v>104957</v>
      </c>
      <c r="H196" t="s">
        <v>40</v>
      </c>
      <c r="I196" t="s">
        <v>40</v>
      </c>
      <c r="J196" t="s">
        <v>37</v>
      </c>
    </row>
    <row r="197" spans="1:10" x14ac:dyDescent="0.35">
      <c r="A197" t="s">
        <v>31</v>
      </c>
      <c r="B197" t="s">
        <v>45</v>
      </c>
      <c r="C197" t="s">
        <v>238</v>
      </c>
      <c r="D197" t="s">
        <v>239</v>
      </c>
      <c r="E197" t="s">
        <v>90</v>
      </c>
      <c r="F197" t="s">
        <v>235</v>
      </c>
      <c r="G197" s="5">
        <v>4806815</v>
      </c>
      <c r="H197" t="s">
        <v>40</v>
      </c>
      <c r="I197" t="s">
        <v>40</v>
      </c>
      <c r="J197" t="s">
        <v>40</v>
      </c>
    </row>
    <row r="198" spans="1:10" x14ac:dyDescent="0.35">
      <c r="A198" t="s">
        <v>31</v>
      </c>
      <c r="B198" t="s">
        <v>32</v>
      </c>
      <c r="C198" t="s">
        <v>240</v>
      </c>
      <c r="D198" t="s">
        <v>241</v>
      </c>
      <c r="E198" t="s">
        <v>64</v>
      </c>
      <c r="F198" t="s">
        <v>235</v>
      </c>
      <c r="G198" s="5">
        <v>249951</v>
      </c>
      <c r="H198" t="s">
        <v>40</v>
      </c>
      <c r="I198" t="s">
        <v>40</v>
      </c>
      <c r="J198" t="s">
        <v>40</v>
      </c>
    </row>
    <row r="199" spans="1:10" x14ac:dyDescent="0.35">
      <c r="A199" t="s">
        <v>31</v>
      </c>
      <c r="B199" t="s">
        <v>45</v>
      </c>
      <c r="C199" t="s">
        <v>240</v>
      </c>
      <c r="D199" t="s">
        <v>241</v>
      </c>
      <c r="E199" t="s">
        <v>64</v>
      </c>
      <c r="F199" t="s">
        <v>235</v>
      </c>
      <c r="G199" s="5">
        <v>249951</v>
      </c>
      <c r="H199" t="s">
        <v>40</v>
      </c>
      <c r="I199" t="s">
        <v>40</v>
      </c>
      <c r="J199" t="s">
        <v>40</v>
      </c>
    </row>
    <row r="200" spans="1:10" x14ac:dyDescent="0.35">
      <c r="A200" t="s">
        <v>31</v>
      </c>
      <c r="B200" t="s">
        <v>45</v>
      </c>
      <c r="C200" t="s">
        <v>242</v>
      </c>
      <c r="D200" t="s">
        <v>243</v>
      </c>
      <c r="E200" t="s">
        <v>43</v>
      </c>
      <c r="F200" t="s">
        <v>244</v>
      </c>
      <c r="G200" s="5">
        <v>86725</v>
      </c>
      <c r="H200" t="s">
        <v>40</v>
      </c>
      <c r="I200" t="s">
        <v>37</v>
      </c>
      <c r="J200" t="s">
        <v>37</v>
      </c>
    </row>
    <row r="201" spans="1:10" x14ac:dyDescent="0.35">
      <c r="A201" t="s">
        <v>31</v>
      </c>
      <c r="B201" t="s">
        <v>45</v>
      </c>
      <c r="C201" t="s">
        <v>242</v>
      </c>
      <c r="D201" t="s">
        <v>243</v>
      </c>
      <c r="E201" t="s">
        <v>43</v>
      </c>
      <c r="F201" t="s">
        <v>244</v>
      </c>
      <c r="G201" s="5">
        <v>30000</v>
      </c>
      <c r="H201" t="s">
        <v>40</v>
      </c>
      <c r="I201" t="s">
        <v>37</v>
      </c>
      <c r="J201" t="s">
        <v>37</v>
      </c>
    </row>
    <row r="202" spans="1:10" x14ac:dyDescent="0.35">
      <c r="A202" t="s">
        <v>31</v>
      </c>
      <c r="B202" t="s">
        <v>45</v>
      </c>
      <c r="C202" t="s">
        <v>245</v>
      </c>
      <c r="D202" t="s">
        <v>246</v>
      </c>
      <c r="E202" t="s">
        <v>43</v>
      </c>
      <c r="F202" t="s">
        <v>247</v>
      </c>
      <c r="G202" s="5">
        <v>1038840</v>
      </c>
      <c r="H202" t="s">
        <v>40</v>
      </c>
      <c r="I202" t="s">
        <v>40</v>
      </c>
      <c r="J202" t="s">
        <v>40</v>
      </c>
    </row>
    <row r="203" spans="1:10" x14ac:dyDescent="0.35">
      <c r="A203" t="s">
        <v>31</v>
      </c>
      <c r="B203" t="s">
        <v>45</v>
      </c>
      <c r="C203" t="s">
        <v>245</v>
      </c>
      <c r="D203" t="s">
        <v>246</v>
      </c>
      <c r="E203" t="s">
        <v>43</v>
      </c>
      <c r="F203" t="s">
        <v>247</v>
      </c>
      <c r="G203" s="5">
        <v>145616</v>
      </c>
      <c r="H203" t="s">
        <v>40</v>
      </c>
      <c r="I203" t="s">
        <v>40</v>
      </c>
      <c r="J203" t="s">
        <v>40</v>
      </c>
    </row>
    <row r="204" spans="1:10" hidden="1" x14ac:dyDescent="0.35">
      <c r="A204" t="s">
        <v>31</v>
      </c>
      <c r="B204" t="s">
        <v>45</v>
      </c>
      <c r="C204" t="s">
        <v>72</v>
      </c>
      <c r="D204" t="s">
        <v>73</v>
      </c>
      <c r="E204" t="s">
        <v>74</v>
      </c>
      <c r="F204" t="s">
        <v>248</v>
      </c>
      <c r="G204" s="5">
        <v>284512</v>
      </c>
      <c r="H204" t="s">
        <v>37</v>
      </c>
      <c r="I204" t="s">
        <v>37</v>
      </c>
      <c r="J204" t="s">
        <v>40</v>
      </c>
    </row>
    <row r="205" spans="1:10" hidden="1" x14ac:dyDescent="0.35">
      <c r="A205" t="s">
        <v>31</v>
      </c>
      <c r="B205" t="s">
        <v>45</v>
      </c>
      <c r="C205" t="s">
        <v>72</v>
      </c>
      <c r="D205" t="s">
        <v>73</v>
      </c>
      <c r="E205" t="s">
        <v>74</v>
      </c>
      <c r="F205" t="s">
        <v>248</v>
      </c>
      <c r="G205" s="5">
        <v>1085043</v>
      </c>
      <c r="H205" t="s">
        <v>37</v>
      </c>
      <c r="I205" t="s">
        <v>37</v>
      </c>
      <c r="J205" t="s">
        <v>40</v>
      </c>
    </row>
    <row r="206" spans="1:10" x14ac:dyDescent="0.35">
      <c r="A206" t="s">
        <v>31</v>
      </c>
      <c r="B206" t="s">
        <v>45</v>
      </c>
      <c r="C206" t="s">
        <v>249</v>
      </c>
      <c r="D206" t="s">
        <v>250</v>
      </c>
      <c r="E206" t="s">
        <v>35</v>
      </c>
      <c r="F206" t="s">
        <v>251</v>
      </c>
      <c r="G206" s="5">
        <v>680000</v>
      </c>
      <c r="H206" t="s">
        <v>40</v>
      </c>
      <c r="I206" t="s">
        <v>40</v>
      </c>
      <c r="J206" t="s">
        <v>40</v>
      </c>
    </row>
    <row r="207" spans="1:10" x14ac:dyDescent="0.35">
      <c r="A207" t="s">
        <v>31</v>
      </c>
      <c r="B207" t="s">
        <v>45</v>
      </c>
      <c r="C207" t="s">
        <v>126</v>
      </c>
      <c r="D207" t="s">
        <v>127</v>
      </c>
      <c r="E207" t="s">
        <v>43</v>
      </c>
      <c r="F207" t="s">
        <v>252</v>
      </c>
      <c r="G207" s="5">
        <v>2524900</v>
      </c>
      <c r="H207" t="s">
        <v>40</v>
      </c>
      <c r="I207" t="s">
        <v>37</v>
      </c>
      <c r="J207" t="s">
        <v>37</v>
      </c>
    </row>
    <row r="208" spans="1:10" x14ac:dyDescent="0.35">
      <c r="A208" t="s">
        <v>31</v>
      </c>
      <c r="B208" t="s">
        <v>45</v>
      </c>
      <c r="C208" t="s">
        <v>126</v>
      </c>
      <c r="D208" t="s">
        <v>127</v>
      </c>
      <c r="E208" t="s">
        <v>43</v>
      </c>
      <c r="F208" t="s">
        <v>252</v>
      </c>
      <c r="G208" s="5">
        <v>257400</v>
      </c>
      <c r="H208" t="s">
        <v>40</v>
      </c>
      <c r="I208" t="s">
        <v>37</v>
      </c>
      <c r="J208" t="s">
        <v>37</v>
      </c>
    </row>
    <row r="209" spans="1:10" x14ac:dyDescent="0.35">
      <c r="A209" t="s">
        <v>31</v>
      </c>
      <c r="B209" t="s">
        <v>45</v>
      </c>
      <c r="C209" t="s">
        <v>126</v>
      </c>
      <c r="D209" t="s">
        <v>127</v>
      </c>
      <c r="E209" t="s">
        <v>43</v>
      </c>
      <c r="F209" t="s">
        <v>252</v>
      </c>
      <c r="G209" s="5">
        <v>163300</v>
      </c>
      <c r="H209" t="s">
        <v>40</v>
      </c>
      <c r="I209" t="s">
        <v>37</v>
      </c>
      <c r="J209" t="s">
        <v>37</v>
      </c>
    </row>
    <row r="210" spans="1:10" hidden="1" x14ac:dyDescent="0.35">
      <c r="A210" t="s">
        <v>31</v>
      </c>
      <c r="B210" t="s">
        <v>32</v>
      </c>
      <c r="C210" t="s">
        <v>253</v>
      </c>
      <c r="D210" t="s">
        <v>254</v>
      </c>
      <c r="E210" t="s">
        <v>255</v>
      </c>
      <c r="F210" t="s">
        <v>252</v>
      </c>
      <c r="G210" s="5">
        <v>96000</v>
      </c>
      <c r="H210" t="s">
        <v>37</v>
      </c>
      <c r="I210" t="s">
        <v>37</v>
      </c>
      <c r="J210" t="s">
        <v>37</v>
      </c>
    </row>
    <row r="211" spans="1:10" hidden="1" x14ac:dyDescent="0.35">
      <c r="A211" t="s">
        <v>31</v>
      </c>
      <c r="B211" t="s">
        <v>45</v>
      </c>
      <c r="C211" t="s">
        <v>253</v>
      </c>
      <c r="D211" t="s">
        <v>254</v>
      </c>
      <c r="E211" t="s">
        <v>255</v>
      </c>
      <c r="F211" t="s">
        <v>252</v>
      </c>
      <c r="G211" s="5">
        <v>96000</v>
      </c>
      <c r="H211" t="s">
        <v>37</v>
      </c>
      <c r="I211" t="s">
        <v>37</v>
      </c>
      <c r="J211" t="s">
        <v>37</v>
      </c>
    </row>
    <row r="212" spans="1:10" x14ac:dyDescent="0.35">
      <c r="A212" t="s">
        <v>31</v>
      </c>
      <c r="B212" t="s">
        <v>32</v>
      </c>
      <c r="C212" t="s">
        <v>256</v>
      </c>
      <c r="D212" t="s">
        <v>257</v>
      </c>
      <c r="E212" t="s">
        <v>35</v>
      </c>
      <c r="F212" t="s">
        <v>258</v>
      </c>
      <c r="G212" s="5">
        <v>4580000</v>
      </c>
      <c r="H212" t="s">
        <v>40</v>
      </c>
      <c r="I212" t="s">
        <v>40</v>
      </c>
      <c r="J212" t="s">
        <v>37</v>
      </c>
    </row>
    <row r="213" spans="1:10" x14ac:dyDescent="0.35">
      <c r="A213" t="s">
        <v>31</v>
      </c>
      <c r="B213" t="s">
        <v>32</v>
      </c>
      <c r="C213" t="s">
        <v>259</v>
      </c>
      <c r="D213" t="s">
        <v>260</v>
      </c>
      <c r="E213" t="s">
        <v>51</v>
      </c>
      <c r="F213" t="s">
        <v>261</v>
      </c>
      <c r="G213" s="5">
        <v>168000</v>
      </c>
      <c r="H213" t="s">
        <v>40</v>
      </c>
      <c r="I213" t="s">
        <v>40</v>
      </c>
      <c r="J213" t="s">
        <v>40</v>
      </c>
    </row>
    <row r="214" spans="1:10" x14ac:dyDescent="0.35">
      <c r="A214" t="s">
        <v>31</v>
      </c>
      <c r="B214" t="s">
        <v>45</v>
      </c>
      <c r="C214" t="s">
        <v>259</v>
      </c>
      <c r="D214" t="s">
        <v>260</v>
      </c>
      <c r="E214" t="s">
        <v>51</v>
      </c>
      <c r="F214" t="s">
        <v>261</v>
      </c>
      <c r="G214" s="5">
        <v>347939</v>
      </c>
      <c r="H214" t="s">
        <v>40</v>
      </c>
      <c r="I214" t="s">
        <v>40</v>
      </c>
      <c r="J214" t="s">
        <v>40</v>
      </c>
    </row>
    <row r="215" spans="1:10" x14ac:dyDescent="0.35">
      <c r="A215" t="s">
        <v>31</v>
      </c>
      <c r="B215" t="s">
        <v>32</v>
      </c>
      <c r="C215" t="s">
        <v>262</v>
      </c>
      <c r="D215" t="s">
        <v>263</v>
      </c>
      <c r="E215" t="s">
        <v>35</v>
      </c>
      <c r="F215" t="s">
        <v>261</v>
      </c>
      <c r="G215" s="5">
        <v>1408000</v>
      </c>
      <c r="H215" t="s">
        <v>40</v>
      </c>
      <c r="I215" t="s">
        <v>40</v>
      </c>
      <c r="J215" t="s">
        <v>40</v>
      </c>
    </row>
    <row r="216" spans="1:10" x14ac:dyDescent="0.35">
      <c r="A216" t="s">
        <v>31</v>
      </c>
      <c r="B216" t="s">
        <v>32</v>
      </c>
      <c r="C216" t="s">
        <v>262</v>
      </c>
      <c r="D216" t="s">
        <v>263</v>
      </c>
      <c r="E216" t="s">
        <v>35</v>
      </c>
      <c r="F216" t="s">
        <v>261</v>
      </c>
      <c r="G216" s="5">
        <v>932800</v>
      </c>
      <c r="H216" t="s">
        <v>40</v>
      </c>
      <c r="I216" t="s">
        <v>40</v>
      </c>
      <c r="J216" t="s">
        <v>40</v>
      </c>
    </row>
    <row r="217" spans="1:10" x14ac:dyDescent="0.35">
      <c r="A217" t="s">
        <v>31</v>
      </c>
      <c r="B217" t="s">
        <v>32</v>
      </c>
      <c r="C217" t="s">
        <v>262</v>
      </c>
      <c r="D217" t="s">
        <v>263</v>
      </c>
      <c r="E217" t="s">
        <v>35</v>
      </c>
      <c r="F217" t="s">
        <v>261</v>
      </c>
      <c r="G217" s="5">
        <v>233200</v>
      </c>
      <c r="H217" t="s">
        <v>40</v>
      </c>
      <c r="I217" t="s">
        <v>40</v>
      </c>
      <c r="J217" t="s">
        <v>40</v>
      </c>
    </row>
    <row r="218" spans="1:10" x14ac:dyDescent="0.35">
      <c r="A218" t="s">
        <v>31</v>
      </c>
      <c r="B218" t="s">
        <v>32</v>
      </c>
      <c r="C218" t="s">
        <v>264</v>
      </c>
      <c r="D218" t="s">
        <v>265</v>
      </c>
      <c r="E218" t="s">
        <v>35</v>
      </c>
      <c r="F218" t="s">
        <v>261</v>
      </c>
      <c r="G218" s="5">
        <v>2173600</v>
      </c>
      <c r="H218" t="s">
        <v>40</v>
      </c>
      <c r="I218" t="s">
        <v>40</v>
      </c>
      <c r="J218" t="s">
        <v>40</v>
      </c>
    </row>
    <row r="219" spans="1:10" x14ac:dyDescent="0.35">
      <c r="A219" t="s">
        <v>31</v>
      </c>
      <c r="B219" t="s">
        <v>32</v>
      </c>
      <c r="C219" t="s">
        <v>266</v>
      </c>
      <c r="D219" t="s">
        <v>267</v>
      </c>
      <c r="E219" t="s">
        <v>35</v>
      </c>
      <c r="F219" t="s">
        <v>268</v>
      </c>
      <c r="G219" s="5">
        <v>1360000</v>
      </c>
      <c r="H219" t="s">
        <v>40</v>
      </c>
      <c r="I219" t="s">
        <v>40</v>
      </c>
      <c r="J219" t="s">
        <v>37</v>
      </c>
    </row>
    <row r="220" spans="1:10" x14ac:dyDescent="0.35">
      <c r="A220" t="s">
        <v>31</v>
      </c>
      <c r="B220" t="s">
        <v>45</v>
      </c>
      <c r="C220" t="s">
        <v>269</v>
      </c>
      <c r="D220" t="s">
        <v>270</v>
      </c>
      <c r="E220" t="s">
        <v>35</v>
      </c>
      <c r="F220" t="s">
        <v>271</v>
      </c>
      <c r="G220" s="5">
        <v>24747</v>
      </c>
      <c r="H220" t="s">
        <v>40</v>
      </c>
      <c r="I220" t="s">
        <v>40</v>
      </c>
      <c r="J220" t="s">
        <v>37</v>
      </c>
    </row>
    <row r="221" spans="1:10" x14ac:dyDescent="0.35">
      <c r="A221" t="s">
        <v>31</v>
      </c>
      <c r="B221" t="s">
        <v>45</v>
      </c>
      <c r="C221" t="s">
        <v>269</v>
      </c>
      <c r="D221" t="s">
        <v>270</v>
      </c>
      <c r="E221" t="s">
        <v>35</v>
      </c>
      <c r="F221" t="s">
        <v>271</v>
      </c>
      <c r="G221" s="5">
        <v>1935095</v>
      </c>
      <c r="H221" t="s">
        <v>40</v>
      </c>
      <c r="I221" t="s">
        <v>40</v>
      </c>
      <c r="J221" t="s">
        <v>37</v>
      </c>
    </row>
    <row r="222" spans="1:10" hidden="1" x14ac:dyDescent="0.35">
      <c r="A222" t="s">
        <v>31</v>
      </c>
      <c r="B222" t="s">
        <v>32</v>
      </c>
      <c r="C222" t="s">
        <v>181</v>
      </c>
      <c r="D222" t="s">
        <v>182</v>
      </c>
      <c r="E222" t="s">
        <v>51</v>
      </c>
      <c r="F222" t="s">
        <v>272</v>
      </c>
      <c r="G222" s="5">
        <v>2250000</v>
      </c>
      <c r="H222" t="s">
        <v>37</v>
      </c>
      <c r="I222" t="s">
        <v>37</v>
      </c>
      <c r="J222" t="s">
        <v>37</v>
      </c>
    </row>
    <row r="223" spans="1:10" hidden="1" x14ac:dyDescent="0.35">
      <c r="A223" t="s">
        <v>31</v>
      </c>
      <c r="B223" t="s">
        <v>45</v>
      </c>
      <c r="C223" t="s">
        <v>273</v>
      </c>
      <c r="D223" t="s">
        <v>274</v>
      </c>
      <c r="E223" t="s">
        <v>35</v>
      </c>
      <c r="F223" t="s">
        <v>272</v>
      </c>
      <c r="G223" s="5">
        <v>294400</v>
      </c>
      <c r="H223" t="s">
        <v>37</v>
      </c>
      <c r="I223" t="s">
        <v>37</v>
      </c>
      <c r="J223" t="s">
        <v>37</v>
      </c>
    </row>
    <row r="224" spans="1:10" hidden="1" x14ac:dyDescent="0.35">
      <c r="A224" t="s">
        <v>31</v>
      </c>
      <c r="B224" t="s">
        <v>32</v>
      </c>
      <c r="C224" t="s">
        <v>275</v>
      </c>
      <c r="D224" t="s">
        <v>276</v>
      </c>
      <c r="E224" t="s">
        <v>51</v>
      </c>
      <c r="F224" t="s">
        <v>277</v>
      </c>
      <c r="G224" s="5">
        <v>2700000</v>
      </c>
      <c r="H224" t="s">
        <v>37</v>
      </c>
      <c r="I224" t="s">
        <v>37</v>
      </c>
      <c r="J224" t="s">
        <v>37</v>
      </c>
    </row>
    <row r="225" spans="1:10" hidden="1" x14ac:dyDescent="0.35">
      <c r="A225" t="s">
        <v>31</v>
      </c>
      <c r="B225" t="s">
        <v>45</v>
      </c>
      <c r="C225" t="s">
        <v>72</v>
      </c>
      <c r="D225" t="s">
        <v>73</v>
      </c>
      <c r="E225" t="s">
        <v>74</v>
      </c>
      <c r="F225" t="s">
        <v>277</v>
      </c>
      <c r="G225" s="5">
        <v>284512</v>
      </c>
      <c r="H225" t="s">
        <v>37</v>
      </c>
      <c r="I225" t="s">
        <v>37</v>
      </c>
      <c r="J225" t="s">
        <v>40</v>
      </c>
    </row>
    <row r="226" spans="1:10" hidden="1" x14ac:dyDescent="0.35">
      <c r="A226" t="s">
        <v>31</v>
      </c>
      <c r="B226" t="s">
        <v>45</v>
      </c>
      <c r="C226" t="s">
        <v>72</v>
      </c>
      <c r="D226" t="s">
        <v>73</v>
      </c>
      <c r="E226" t="s">
        <v>74</v>
      </c>
      <c r="F226" t="s">
        <v>277</v>
      </c>
      <c r="G226" s="5">
        <v>1085043</v>
      </c>
      <c r="H226" t="s">
        <v>37</v>
      </c>
      <c r="I226" t="s">
        <v>37</v>
      </c>
      <c r="J226" t="s">
        <v>40</v>
      </c>
    </row>
    <row r="227" spans="1:10" x14ac:dyDescent="0.35">
      <c r="A227" t="s">
        <v>31</v>
      </c>
      <c r="B227" t="s">
        <v>45</v>
      </c>
      <c r="C227" t="s">
        <v>278</v>
      </c>
      <c r="D227" t="s">
        <v>279</v>
      </c>
      <c r="E227" t="s">
        <v>43</v>
      </c>
      <c r="F227" t="s">
        <v>280</v>
      </c>
      <c r="G227" s="5">
        <v>53800</v>
      </c>
      <c r="H227" t="s">
        <v>40</v>
      </c>
      <c r="I227" t="s">
        <v>37</v>
      </c>
      <c r="J227" t="s">
        <v>40</v>
      </c>
    </row>
    <row r="228" spans="1:10" x14ac:dyDescent="0.35">
      <c r="A228" t="s">
        <v>31</v>
      </c>
      <c r="B228" t="s">
        <v>32</v>
      </c>
      <c r="C228" t="s">
        <v>281</v>
      </c>
      <c r="D228" t="s">
        <v>282</v>
      </c>
      <c r="E228" t="s">
        <v>35</v>
      </c>
      <c r="F228" t="s">
        <v>280</v>
      </c>
      <c r="G228" s="5">
        <v>2448000</v>
      </c>
      <c r="H228" t="s">
        <v>40</v>
      </c>
      <c r="I228" t="s">
        <v>40</v>
      </c>
      <c r="J228" t="s">
        <v>37</v>
      </c>
    </row>
    <row r="229" spans="1:10" x14ac:dyDescent="0.35">
      <c r="A229" t="s">
        <v>31</v>
      </c>
      <c r="B229" t="s">
        <v>45</v>
      </c>
      <c r="C229" t="s">
        <v>283</v>
      </c>
      <c r="D229" t="s">
        <v>284</v>
      </c>
      <c r="E229" t="s">
        <v>35</v>
      </c>
      <c r="F229" t="s">
        <v>280</v>
      </c>
      <c r="G229" s="5">
        <v>726000</v>
      </c>
      <c r="H229" t="s">
        <v>40</v>
      </c>
      <c r="I229" t="s">
        <v>40</v>
      </c>
      <c r="J229" t="s">
        <v>37</v>
      </c>
    </row>
    <row r="230" spans="1:10" x14ac:dyDescent="0.35">
      <c r="A230" t="s">
        <v>31</v>
      </c>
      <c r="B230" t="s">
        <v>45</v>
      </c>
      <c r="C230" t="s">
        <v>281</v>
      </c>
      <c r="D230" t="s">
        <v>282</v>
      </c>
      <c r="E230" t="s">
        <v>35</v>
      </c>
      <c r="F230" t="s">
        <v>280</v>
      </c>
      <c r="G230" s="5">
        <v>200000</v>
      </c>
      <c r="H230" t="s">
        <v>40</v>
      </c>
      <c r="I230" t="s">
        <v>40</v>
      </c>
      <c r="J230" t="s">
        <v>37</v>
      </c>
    </row>
    <row r="231" spans="1:10" x14ac:dyDescent="0.35">
      <c r="A231" t="s">
        <v>31</v>
      </c>
      <c r="B231" t="s">
        <v>45</v>
      </c>
      <c r="C231" t="s">
        <v>285</v>
      </c>
      <c r="D231" t="s">
        <v>286</v>
      </c>
      <c r="E231" t="s">
        <v>90</v>
      </c>
      <c r="F231" t="s">
        <v>280</v>
      </c>
      <c r="G231" s="5">
        <v>1949828</v>
      </c>
      <c r="H231" t="s">
        <v>40</v>
      </c>
      <c r="I231" t="s">
        <v>40</v>
      </c>
      <c r="J231" t="s">
        <v>37</v>
      </c>
    </row>
    <row r="232" spans="1:10" x14ac:dyDescent="0.35">
      <c r="A232" t="s">
        <v>31</v>
      </c>
      <c r="B232" t="s">
        <v>45</v>
      </c>
      <c r="C232" t="s">
        <v>285</v>
      </c>
      <c r="D232" t="s">
        <v>286</v>
      </c>
      <c r="E232" t="s">
        <v>90</v>
      </c>
      <c r="F232" t="s">
        <v>280</v>
      </c>
      <c r="G232" s="5">
        <v>1895172</v>
      </c>
      <c r="H232" t="s">
        <v>40</v>
      </c>
      <c r="I232" t="s">
        <v>40</v>
      </c>
      <c r="J232" t="s">
        <v>37</v>
      </c>
    </row>
    <row r="233" spans="1:10" x14ac:dyDescent="0.35">
      <c r="A233" t="s">
        <v>31</v>
      </c>
      <c r="B233" t="s">
        <v>45</v>
      </c>
      <c r="C233" t="s">
        <v>285</v>
      </c>
      <c r="D233" t="s">
        <v>286</v>
      </c>
      <c r="E233" t="s">
        <v>90</v>
      </c>
      <c r="F233" t="s">
        <v>280</v>
      </c>
      <c r="G233" s="5">
        <v>96707</v>
      </c>
      <c r="H233" t="s">
        <v>40</v>
      </c>
      <c r="I233" t="s">
        <v>40</v>
      </c>
      <c r="J233" t="s">
        <v>37</v>
      </c>
    </row>
    <row r="234" spans="1:10" x14ac:dyDescent="0.35">
      <c r="A234" t="s">
        <v>31</v>
      </c>
      <c r="B234" t="s">
        <v>45</v>
      </c>
      <c r="C234" t="s">
        <v>285</v>
      </c>
      <c r="D234" t="s">
        <v>286</v>
      </c>
      <c r="E234" t="s">
        <v>90</v>
      </c>
      <c r="F234" t="s">
        <v>280</v>
      </c>
      <c r="G234" s="5">
        <v>2460858</v>
      </c>
      <c r="H234" t="s">
        <v>40</v>
      </c>
      <c r="I234" t="s">
        <v>40</v>
      </c>
      <c r="J234" t="s">
        <v>37</v>
      </c>
    </row>
    <row r="235" spans="1:10" hidden="1" x14ac:dyDescent="0.35">
      <c r="A235" t="s">
        <v>31</v>
      </c>
      <c r="B235" t="s">
        <v>32</v>
      </c>
      <c r="C235" t="s">
        <v>181</v>
      </c>
      <c r="D235" t="s">
        <v>182</v>
      </c>
      <c r="E235" t="s">
        <v>51</v>
      </c>
      <c r="F235" t="s">
        <v>287</v>
      </c>
      <c r="G235" s="5">
        <v>2250000</v>
      </c>
      <c r="H235" t="s">
        <v>37</v>
      </c>
      <c r="I235" t="s">
        <v>37</v>
      </c>
      <c r="J235" t="s">
        <v>37</v>
      </c>
    </row>
    <row r="236" spans="1:10" x14ac:dyDescent="0.35">
      <c r="A236" t="s">
        <v>31</v>
      </c>
      <c r="B236" t="s">
        <v>32</v>
      </c>
      <c r="C236" t="s">
        <v>266</v>
      </c>
      <c r="D236" t="s">
        <v>267</v>
      </c>
      <c r="E236" t="s">
        <v>35</v>
      </c>
      <c r="F236" t="s">
        <v>287</v>
      </c>
      <c r="G236" s="5">
        <v>1360000</v>
      </c>
      <c r="H236" t="s">
        <v>40</v>
      </c>
      <c r="I236" t="s">
        <v>40</v>
      </c>
      <c r="J236" t="s">
        <v>37</v>
      </c>
    </row>
    <row r="237" spans="1:10" x14ac:dyDescent="0.35">
      <c r="A237" t="s">
        <v>31</v>
      </c>
      <c r="B237" t="s">
        <v>45</v>
      </c>
      <c r="C237" t="s">
        <v>288</v>
      </c>
      <c r="D237" t="s">
        <v>289</v>
      </c>
      <c r="E237" t="s">
        <v>35</v>
      </c>
      <c r="F237" t="s">
        <v>290</v>
      </c>
      <c r="G237" s="5">
        <v>85024</v>
      </c>
      <c r="H237" t="s">
        <v>40</v>
      </c>
      <c r="I237" t="s">
        <v>40</v>
      </c>
      <c r="J237" t="s">
        <v>40</v>
      </c>
    </row>
    <row r="238" spans="1:10" x14ac:dyDescent="0.35">
      <c r="A238" t="s">
        <v>31</v>
      </c>
      <c r="B238" t="s">
        <v>45</v>
      </c>
      <c r="C238" t="s">
        <v>291</v>
      </c>
      <c r="D238" t="s">
        <v>292</v>
      </c>
      <c r="E238" t="s">
        <v>293</v>
      </c>
      <c r="F238" t="s">
        <v>294</v>
      </c>
      <c r="G238" s="5">
        <v>13443680</v>
      </c>
      <c r="H238" t="s">
        <v>40</v>
      </c>
      <c r="I238" t="s">
        <v>37</v>
      </c>
      <c r="J238" t="s">
        <v>40</v>
      </c>
    </row>
    <row r="239" spans="1:10" x14ac:dyDescent="0.35">
      <c r="A239" t="s">
        <v>31</v>
      </c>
      <c r="B239" t="s">
        <v>32</v>
      </c>
      <c r="C239" t="s">
        <v>256</v>
      </c>
      <c r="D239" t="s">
        <v>257</v>
      </c>
      <c r="E239" t="s">
        <v>35</v>
      </c>
      <c r="F239" t="s">
        <v>295</v>
      </c>
      <c r="G239" s="5">
        <v>4580000</v>
      </c>
      <c r="H239" t="s">
        <v>40</v>
      </c>
      <c r="I239" t="s">
        <v>40</v>
      </c>
      <c r="J239" t="s">
        <v>37</v>
      </c>
    </row>
    <row r="240" spans="1:10" hidden="1" x14ac:dyDescent="0.35">
      <c r="A240" t="s">
        <v>31</v>
      </c>
      <c r="B240" t="s">
        <v>45</v>
      </c>
      <c r="C240" t="s">
        <v>296</v>
      </c>
      <c r="D240" t="s">
        <v>297</v>
      </c>
      <c r="E240" t="s">
        <v>48</v>
      </c>
      <c r="F240" t="s">
        <v>298</v>
      </c>
      <c r="G240" s="5">
        <v>1706491</v>
      </c>
      <c r="H240" t="s">
        <v>37</v>
      </c>
      <c r="I240" t="s">
        <v>37</v>
      </c>
      <c r="J240" t="s">
        <v>37</v>
      </c>
    </row>
    <row r="241" spans="1:10" x14ac:dyDescent="0.35">
      <c r="A241" t="s">
        <v>31</v>
      </c>
      <c r="B241" t="s">
        <v>32</v>
      </c>
      <c r="C241" t="s">
        <v>299</v>
      </c>
      <c r="D241" t="s">
        <v>300</v>
      </c>
      <c r="E241" t="s">
        <v>35</v>
      </c>
      <c r="F241" t="s">
        <v>301</v>
      </c>
      <c r="G241" s="5">
        <v>265547</v>
      </c>
      <c r="H241" t="s">
        <v>40</v>
      </c>
      <c r="I241" t="s">
        <v>40</v>
      </c>
      <c r="J241" t="s">
        <v>40</v>
      </c>
    </row>
    <row r="242" spans="1:10" x14ac:dyDescent="0.35">
      <c r="A242" t="s">
        <v>31</v>
      </c>
      <c r="B242" t="s">
        <v>45</v>
      </c>
      <c r="C242" t="s">
        <v>299</v>
      </c>
      <c r="D242" t="s">
        <v>300</v>
      </c>
      <c r="E242" t="s">
        <v>35</v>
      </c>
      <c r="F242" t="s">
        <v>301</v>
      </c>
      <c r="G242" s="5">
        <v>192569</v>
      </c>
      <c r="H242" t="s">
        <v>40</v>
      </c>
      <c r="I242" t="s">
        <v>40</v>
      </c>
      <c r="J242" t="s">
        <v>40</v>
      </c>
    </row>
    <row r="243" spans="1:10" x14ac:dyDescent="0.35">
      <c r="A243" t="s">
        <v>31</v>
      </c>
      <c r="B243" t="s">
        <v>45</v>
      </c>
      <c r="C243" t="s">
        <v>299</v>
      </c>
      <c r="D243" t="s">
        <v>300</v>
      </c>
      <c r="E243" t="s">
        <v>35</v>
      </c>
      <c r="F243" t="s">
        <v>301</v>
      </c>
      <c r="G243" s="5">
        <v>146685</v>
      </c>
      <c r="H243" t="s">
        <v>40</v>
      </c>
      <c r="I243" t="s">
        <v>40</v>
      </c>
      <c r="J243" t="s">
        <v>40</v>
      </c>
    </row>
    <row r="244" spans="1:10" x14ac:dyDescent="0.35">
      <c r="A244" t="s">
        <v>31</v>
      </c>
      <c r="B244" t="s">
        <v>32</v>
      </c>
      <c r="C244" t="s">
        <v>302</v>
      </c>
      <c r="D244" t="s">
        <v>303</v>
      </c>
      <c r="E244" t="s">
        <v>35</v>
      </c>
      <c r="F244" t="s">
        <v>304</v>
      </c>
      <c r="G244" s="5">
        <v>873600</v>
      </c>
      <c r="H244" t="s">
        <v>40</v>
      </c>
      <c r="I244" t="s">
        <v>40</v>
      </c>
      <c r="J244" t="s">
        <v>40</v>
      </c>
    </row>
    <row r="245" spans="1:10" x14ac:dyDescent="0.35">
      <c r="A245" t="s">
        <v>31</v>
      </c>
      <c r="B245" t="s">
        <v>32</v>
      </c>
      <c r="C245" t="s">
        <v>302</v>
      </c>
      <c r="D245" t="s">
        <v>303</v>
      </c>
      <c r="E245" t="s">
        <v>35</v>
      </c>
      <c r="F245" t="s">
        <v>304</v>
      </c>
      <c r="G245" s="5">
        <v>93600</v>
      </c>
      <c r="H245" t="s">
        <v>40</v>
      </c>
      <c r="I245" t="s">
        <v>40</v>
      </c>
      <c r="J245" t="s">
        <v>40</v>
      </c>
    </row>
    <row r="246" spans="1:10" hidden="1" x14ac:dyDescent="0.35">
      <c r="A246" t="s">
        <v>31</v>
      </c>
      <c r="B246" t="s">
        <v>45</v>
      </c>
      <c r="C246" t="s">
        <v>158</v>
      </c>
      <c r="D246" t="s">
        <v>159</v>
      </c>
      <c r="E246" t="s">
        <v>160</v>
      </c>
      <c r="F246" t="s">
        <v>305</v>
      </c>
      <c r="G246" s="5">
        <v>145648</v>
      </c>
      <c r="H246" t="s">
        <v>37</v>
      </c>
      <c r="I246" t="s">
        <v>37</v>
      </c>
      <c r="J246" t="s">
        <v>40</v>
      </c>
    </row>
    <row r="247" spans="1:10" hidden="1" x14ac:dyDescent="0.35">
      <c r="A247" t="s">
        <v>31</v>
      </c>
      <c r="B247" t="s">
        <v>45</v>
      </c>
      <c r="C247" t="s">
        <v>158</v>
      </c>
      <c r="D247" t="s">
        <v>159</v>
      </c>
      <c r="E247" t="s">
        <v>160</v>
      </c>
      <c r="F247" t="s">
        <v>305</v>
      </c>
      <c r="G247" s="5">
        <v>1956539</v>
      </c>
      <c r="H247" t="s">
        <v>37</v>
      </c>
      <c r="I247" t="s">
        <v>37</v>
      </c>
      <c r="J247" t="s">
        <v>40</v>
      </c>
    </row>
    <row r="248" spans="1:10" x14ac:dyDescent="0.35">
      <c r="A248" t="s">
        <v>31</v>
      </c>
      <c r="B248" t="s">
        <v>32</v>
      </c>
      <c r="C248" t="s">
        <v>306</v>
      </c>
      <c r="D248" t="s">
        <v>307</v>
      </c>
      <c r="E248" t="s">
        <v>35</v>
      </c>
      <c r="F248" t="s">
        <v>305</v>
      </c>
      <c r="G248" s="5">
        <v>3040000</v>
      </c>
      <c r="H248" t="s">
        <v>40</v>
      </c>
      <c r="I248" t="s">
        <v>40</v>
      </c>
      <c r="J248" t="s">
        <v>37</v>
      </c>
    </row>
    <row r="249" spans="1:10" x14ac:dyDescent="0.35">
      <c r="A249" t="s">
        <v>31</v>
      </c>
      <c r="B249" t="s">
        <v>32</v>
      </c>
      <c r="C249" t="s">
        <v>308</v>
      </c>
      <c r="D249" t="s">
        <v>309</v>
      </c>
      <c r="E249" t="s">
        <v>90</v>
      </c>
      <c r="F249" t="s">
        <v>305</v>
      </c>
      <c r="G249" s="5">
        <v>3060000</v>
      </c>
      <c r="H249" t="s">
        <v>40</v>
      </c>
      <c r="I249" t="s">
        <v>40</v>
      </c>
      <c r="J249" t="s">
        <v>40</v>
      </c>
    </row>
    <row r="250" spans="1:10" x14ac:dyDescent="0.35">
      <c r="A250" t="s">
        <v>31</v>
      </c>
      <c r="B250" t="s">
        <v>32</v>
      </c>
      <c r="C250" t="s">
        <v>308</v>
      </c>
      <c r="D250" t="s">
        <v>309</v>
      </c>
      <c r="E250" t="s">
        <v>90</v>
      </c>
      <c r="F250" t="s">
        <v>305</v>
      </c>
      <c r="G250" s="5">
        <v>1955879</v>
      </c>
      <c r="H250" t="s">
        <v>40</v>
      </c>
      <c r="I250" t="s">
        <v>40</v>
      </c>
      <c r="J250" t="s">
        <v>40</v>
      </c>
    </row>
    <row r="251" spans="1:10" hidden="1" x14ac:dyDescent="0.35">
      <c r="A251" t="s">
        <v>31</v>
      </c>
      <c r="B251" t="s">
        <v>45</v>
      </c>
      <c r="C251" t="s">
        <v>173</v>
      </c>
      <c r="D251" t="s">
        <v>174</v>
      </c>
      <c r="E251" t="s">
        <v>175</v>
      </c>
      <c r="F251" t="s">
        <v>305</v>
      </c>
      <c r="G251" s="5">
        <v>9188952</v>
      </c>
      <c r="H251" t="s">
        <v>37</v>
      </c>
      <c r="I251" t="s">
        <v>37</v>
      </c>
      <c r="J251" t="s">
        <v>40</v>
      </c>
    </row>
    <row r="252" spans="1:10" hidden="1" x14ac:dyDescent="0.35">
      <c r="A252" t="s">
        <v>31</v>
      </c>
      <c r="B252" t="s">
        <v>45</v>
      </c>
      <c r="C252" t="s">
        <v>310</v>
      </c>
      <c r="D252" t="s">
        <v>311</v>
      </c>
      <c r="E252" t="s">
        <v>98</v>
      </c>
      <c r="F252" t="s">
        <v>305</v>
      </c>
      <c r="G252" s="5">
        <v>996761</v>
      </c>
      <c r="H252" t="s">
        <v>37</v>
      </c>
      <c r="I252" t="s">
        <v>37</v>
      </c>
      <c r="J252" t="s">
        <v>37</v>
      </c>
    </row>
    <row r="253" spans="1:10" hidden="1" x14ac:dyDescent="0.35">
      <c r="A253" t="s">
        <v>31</v>
      </c>
      <c r="B253" t="s">
        <v>32</v>
      </c>
      <c r="C253" t="s">
        <v>197</v>
      </c>
      <c r="D253" t="s">
        <v>198</v>
      </c>
      <c r="E253" t="s">
        <v>51</v>
      </c>
      <c r="F253" t="s">
        <v>312</v>
      </c>
      <c r="G253" s="5">
        <v>3150000</v>
      </c>
      <c r="H253" t="s">
        <v>37</v>
      </c>
      <c r="I253" t="s">
        <v>37</v>
      </c>
      <c r="J253" t="s">
        <v>37</v>
      </c>
    </row>
    <row r="254" spans="1:10" hidden="1" x14ac:dyDescent="0.35">
      <c r="A254" t="s">
        <v>31</v>
      </c>
      <c r="B254" t="s">
        <v>32</v>
      </c>
      <c r="C254" t="s">
        <v>169</v>
      </c>
      <c r="D254" t="s">
        <v>170</v>
      </c>
      <c r="E254" t="s">
        <v>35</v>
      </c>
      <c r="F254" t="s">
        <v>313</v>
      </c>
      <c r="G254" s="5">
        <v>2361381</v>
      </c>
      <c r="H254" t="s">
        <v>37</v>
      </c>
      <c r="I254" t="s">
        <v>37</v>
      </c>
      <c r="J254" t="s">
        <v>37</v>
      </c>
    </row>
    <row r="255" spans="1:10" hidden="1" x14ac:dyDescent="0.35">
      <c r="A255" t="s">
        <v>31</v>
      </c>
      <c r="B255" t="s">
        <v>32</v>
      </c>
      <c r="C255" t="s">
        <v>86</v>
      </c>
      <c r="D255" t="s">
        <v>87</v>
      </c>
      <c r="E255" t="s">
        <v>35</v>
      </c>
      <c r="F255" t="s">
        <v>313</v>
      </c>
      <c r="G255" s="5">
        <v>5184000</v>
      </c>
      <c r="H255" t="s">
        <v>37</v>
      </c>
      <c r="I255" t="s">
        <v>37</v>
      </c>
      <c r="J255" t="s">
        <v>37</v>
      </c>
    </row>
    <row r="256" spans="1:10" hidden="1" x14ac:dyDescent="0.35">
      <c r="A256" t="s">
        <v>31</v>
      </c>
      <c r="B256" t="s">
        <v>45</v>
      </c>
      <c r="C256" t="s">
        <v>169</v>
      </c>
      <c r="D256" t="s">
        <v>170</v>
      </c>
      <c r="E256" t="s">
        <v>35</v>
      </c>
      <c r="F256" t="s">
        <v>313</v>
      </c>
      <c r="G256" s="5">
        <v>2400000</v>
      </c>
      <c r="H256" t="s">
        <v>37</v>
      </c>
      <c r="I256" t="s">
        <v>37</v>
      </c>
      <c r="J256" t="s">
        <v>37</v>
      </c>
    </row>
    <row r="257" spans="1:10" x14ac:dyDescent="0.35">
      <c r="A257" t="s">
        <v>31</v>
      </c>
      <c r="B257" t="s">
        <v>45</v>
      </c>
      <c r="C257" t="s">
        <v>314</v>
      </c>
      <c r="D257" t="s">
        <v>315</v>
      </c>
      <c r="E257" t="s">
        <v>35</v>
      </c>
      <c r="F257" t="s">
        <v>316</v>
      </c>
      <c r="G257" s="5">
        <v>1056000</v>
      </c>
      <c r="H257" t="s">
        <v>40</v>
      </c>
      <c r="I257" t="s">
        <v>40</v>
      </c>
      <c r="J257" t="s">
        <v>40</v>
      </c>
    </row>
    <row r="258" spans="1:10" x14ac:dyDescent="0.35">
      <c r="A258" t="s">
        <v>31</v>
      </c>
      <c r="B258" t="s">
        <v>45</v>
      </c>
      <c r="C258" t="s">
        <v>317</v>
      </c>
      <c r="D258" t="s">
        <v>318</v>
      </c>
      <c r="E258" t="s">
        <v>35</v>
      </c>
      <c r="F258" t="s">
        <v>316</v>
      </c>
      <c r="G258" s="5">
        <v>690800</v>
      </c>
      <c r="H258" t="s">
        <v>40</v>
      </c>
      <c r="I258" t="s">
        <v>40</v>
      </c>
      <c r="J258" t="s">
        <v>40</v>
      </c>
    </row>
    <row r="259" spans="1:10" x14ac:dyDescent="0.35">
      <c r="A259" t="s">
        <v>31</v>
      </c>
      <c r="B259" t="s">
        <v>32</v>
      </c>
      <c r="C259" t="s">
        <v>319</v>
      </c>
      <c r="D259" t="s">
        <v>320</v>
      </c>
      <c r="E259" t="s">
        <v>43</v>
      </c>
      <c r="F259" t="s">
        <v>321</v>
      </c>
      <c r="G259" s="5">
        <v>250000</v>
      </c>
      <c r="H259" t="s">
        <v>40</v>
      </c>
      <c r="I259" t="s">
        <v>37</v>
      </c>
      <c r="J259" t="s">
        <v>37</v>
      </c>
    </row>
    <row r="260" spans="1:10" hidden="1" x14ac:dyDescent="0.35">
      <c r="A260" t="s">
        <v>31</v>
      </c>
      <c r="B260" t="s">
        <v>45</v>
      </c>
      <c r="C260" t="s">
        <v>72</v>
      </c>
      <c r="D260" t="s">
        <v>73</v>
      </c>
      <c r="E260" t="s">
        <v>74</v>
      </c>
      <c r="F260" t="s">
        <v>321</v>
      </c>
      <c r="G260" s="5">
        <v>284512</v>
      </c>
      <c r="H260" t="s">
        <v>37</v>
      </c>
      <c r="I260" t="s">
        <v>37</v>
      </c>
      <c r="J260" t="s">
        <v>40</v>
      </c>
    </row>
    <row r="261" spans="1:10" hidden="1" x14ac:dyDescent="0.35">
      <c r="A261" t="s">
        <v>31</v>
      </c>
      <c r="B261" t="s">
        <v>45</v>
      </c>
      <c r="C261" t="s">
        <v>72</v>
      </c>
      <c r="D261" t="s">
        <v>73</v>
      </c>
      <c r="E261" t="s">
        <v>74</v>
      </c>
      <c r="F261" t="s">
        <v>321</v>
      </c>
      <c r="G261" s="5">
        <v>1085043</v>
      </c>
      <c r="H261" t="s">
        <v>37</v>
      </c>
      <c r="I261" t="s">
        <v>37</v>
      </c>
      <c r="J261" t="s">
        <v>40</v>
      </c>
    </row>
    <row r="262" spans="1:10" x14ac:dyDescent="0.35">
      <c r="A262" t="s">
        <v>31</v>
      </c>
      <c r="B262" t="s">
        <v>32</v>
      </c>
      <c r="C262" t="s">
        <v>105</v>
      </c>
      <c r="D262" t="s">
        <v>106</v>
      </c>
      <c r="E262" t="s">
        <v>35</v>
      </c>
      <c r="F262" t="s">
        <v>321</v>
      </c>
      <c r="G262" s="5">
        <v>2400000</v>
      </c>
      <c r="H262" t="s">
        <v>40</v>
      </c>
      <c r="I262" t="s">
        <v>40</v>
      </c>
      <c r="J262" t="s">
        <v>37</v>
      </c>
    </row>
    <row r="263" spans="1:10" x14ac:dyDescent="0.35">
      <c r="A263" t="s">
        <v>31</v>
      </c>
      <c r="B263" t="s">
        <v>45</v>
      </c>
      <c r="C263" t="s">
        <v>322</v>
      </c>
      <c r="D263" t="s">
        <v>323</v>
      </c>
      <c r="E263" t="s">
        <v>35</v>
      </c>
      <c r="F263" t="s">
        <v>321</v>
      </c>
      <c r="G263" s="5">
        <v>2433000</v>
      </c>
      <c r="H263" t="s">
        <v>40</v>
      </c>
      <c r="I263" t="s">
        <v>40</v>
      </c>
      <c r="J263" t="s">
        <v>40</v>
      </c>
    </row>
    <row r="264" spans="1:10" x14ac:dyDescent="0.35">
      <c r="A264" t="s">
        <v>31</v>
      </c>
      <c r="B264" t="s">
        <v>45</v>
      </c>
      <c r="C264" t="s">
        <v>324</v>
      </c>
      <c r="D264" t="s">
        <v>325</v>
      </c>
      <c r="E264" t="s">
        <v>35</v>
      </c>
      <c r="F264" t="s">
        <v>321</v>
      </c>
      <c r="G264" s="5">
        <v>42462</v>
      </c>
      <c r="H264" t="s">
        <v>40</v>
      </c>
      <c r="I264" t="s">
        <v>40</v>
      </c>
      <c r="J264" t="s">
        <v>40</v>
      </c>
    </row>
    <row r="265" spans="1:10" x14ac:dyDescent="0.35">
      <c r="A265" t="s">
        <v>31</v>
      </c>
      <c r="B265" t="s">
        <v>45</v>
      </c>
      <c r="C265" t="s">
        <v>324</v>
      </c>
      <c r="D265" t="s">
        <v>325</v>
      </c>
      <c r="E265" t="s">
        <v>35</v>
      </c>
      <c r="F265" t="s">
        <v>321</v>
      </c>
      <c r="G265" s="5">
        <v>433538</v>
      </c>
      <c r="H265" t="s">
        <v>40</v>
      </c>
      <c r="I265" t="s">
        <v>40</v>
      </c>
      <c r="J265" t="s">
        <v>40</v>
      </c>
    </row>
    <row r="266" spans="1:10" x14ac:dyDescent="0.35">
      <c r="A266" t="s">
        <v>31</v>
      </c>
      <c r="B266" t="s">
        <v>32</v>
      </c>
      <c r="C266" t="s">
        <v>68</v>
      </c>
      <c r="D266" t="s">
        <v>69</v>
      </c>
      <c r="E266" t="s">
        <v>70</v>
      </c>
      <c r="F266" t="s">
        <v>326</v>
      </c>
      <c r="G266" s="5">
        <v>939469</v>
      </c>
      <c r="H266" t="s">
        <v>40</v>
      </c>
      <c r="I266" t="s">
        <v>40</v>
      </c>
      <c r="J266" t="s">
        <v>40</v>
      </c>
    </row>
    <row r="267" spans="1:10" x14ac:dyDescent="0.35">
      <c r="A267" t="s">
        <v>31</v>
      </c>
      <c r="B267" t="s">
        <v>32</v>
      </c>
      <c r="C267" t="s">
        <v>68</v>
      </c>
      <c r="D267" t="s">
        <v>69</v>
      </c>
      <c r="E267" t="s">
        <v>70</v>
      </c>
      <c r="F267" t="s">
        <v>326</v>
      </c>
      <c r="G267" s="5">
        <v>8841353</v>
      </c>
      <c r="H267" t="s">
        <v>40</v>
      </c>
      <c r="I267" t="s">
        <v>40</v>
      </c>
      <c r="J267" t="s">
        <v>40</v>
      </c>
    </row>
    <row r="268" spans="1:10" x14ac:dyDescent="0.35">
      <c r="A268" t="s">
        <v>31</v>
      </c>
      <c r="B268" t="s">
        <v>32</v>
      </c>
      <c r="C268" t="s">
        <v>68</v>
      </c>
      <c r="D268" t="s">
        <v>69</v>
      </c>
      <c r="E268" t="s">
        <v>70</v>
      </c>
      <c r="F268" t="s">
        <v>326</v>
      </c>
      <c r="G268" s="5">
        <v>439469</v>
      </c>
      <c r="H268" t="s">
        <v>40</v>
      </c>
      <c r="I268" t="s">
        <v>40</v>
      </c>
      <c r="J268" t="s">
        <v>40</v>
      </c>
    </row>
    <row r="269" spans="1:10" hidden="1" x14ac:dyDescent="0.35">
      <c r="A269" t="s">
        <v>31</v>
      </c>
      <c r="B269" t="s">
        <v>32</v>
      </c>
      <c r="C269" t="s">
        <v>327</v>
      </c>
      <c r="D269" t="s">
        <v>328</v>
      </c>
      <c r="E269" t="s">
        <v>51</v>
      </c>
      <c r="F269" t="s">
        <v>326</v>
      </c>
      <c r="G269" s="5">
        <v>2700000</v>
      </c>
      <c r="H269" t="s">
        <v>37</v>
      </c>
      <c r="I269" t="s">
        <v>37</v>
      </c>
      <c r="J269" t="s">
        <v>37</v>
      </c>
    </row>
    <row r="270" spans="1:10" hidden="1" x14ac:dyDescent="0.35">
      <c r="A270" t="s">
        <v>31</v>
      </c>
      <c r="B270" t="s">
        <v>32</v>
      </c>
      <c r="C270" t="s">
        <v>169</v>
      </c>
      <c r="D270" t="s">
        <v>170</v>
      </c>
      <c r="E270" t="s">
        <v>35</v>
      </c>
      <c r="F270" t="s">
        <v>326</v>
      </c>
      <c r="G270" s="5">
        <v>2361381</v>
      </c>
      <c r="H270" t="s">
        <v>37</v>
      </c>
      <c r="I270" t="s">
        <v>37</v>
      </c>
      <c r="J270" t="s">
        <v>37</v>
      </c>
    </row>
    <row r="271" spans="1:10" hidden="1" x14ac:dyDescent="0.35">
      <c r="A271" t="s">
        <v>31</v>
      </c>
      <c r="B271" t="s">
        <v>45</v>
      </c>
      <c r="C271" t="s">
        <v>169</v>
      </c>
      <c r="D271" t="s">
        <v>170</v>
      </c>
      <c r="E271" t="s">
        <v>35</v>
      </c>
      <c r="F271" t="s">
        <v>326</v>
      </c>
      <c r="G271" s="5">
        <v>2400000</v>
      </c>
      <c r="H271" t="s">
        <v>37</v>
      </c>
      <c r="I271" t="s">
        <v>37</v>
      </c>
      <c r="J271" t="s">
        <v>37</v>
      </c>
    </row>
    <row r="272" spans="1:10" x14ac:dyDescent="0.35">
      <c r="A272" t="s">
        <v>31</v>
      </c>
      <c r="B272" t="s">
        <v>45</v>
      </c>
      <c r="C272" t="s">
        <v>329</v>
      </c>
      <c r="D272" t="s">
        <v>330</v>
      </c>
      <c r="E272" t="s">
        <v>331</v>
      </c>
      <c r="F272" t="s">
        <v>326</v>
      </c>
      <c r="G272" s="5">
        <v>16195</v>
      </c>
      <c r="H272" t="s">
        <v>40</v>
      </c>
      <c r="I272" t="s">
        <v>37</v>
      </c>
      <c r="J272" t="s">
        <v>37</v>
      </c>
    </row>
    <row r="273" spans="1:10" x14ac:dyDescent="0.35">
      <c r="A273" t="s">
        <v>31</v>
      </c>
      <c r="B273" t="s">
        <v>45</v>
      </c>
      <c r="C273" t="s">
        <v>329</v>
      </c>
      <c r="D273" t="s">
        <v>330</v>
      </c>
      <c r="E273" t="s">
        <v>331</v>
      </c>
      <c r="F273" t="s">
        <v>326</v>
      </c>
      <c r="G273" s="5">
        <v>361640</v>
      </c>
      <c r="H273" t="s">
        <v>40</v>
      </c>
      <c r="I273" t="s">
        <v>37</v>
      </c>
      <c r="J273" t="s">
        <v>37</v>
      </c>
    </row>
    <row r="274" spans="1:10" x14ac:dyDescent="0.35">
      <c r="A274" t="s">
        <v>31</v>
      </c>
      <c r="B274" t="s">
        <v>45</v>
      </c>
      <c r="C274" t="s">
        <v>329</v>
      </c>
      <c r="D274" t="s">
        <v>330</v>
      </c>
      <c r="E274" t="s">
        <v>331</v>
      </c>
      <c r="F274" t="s">
        <v>326</v>
      </c>
      <c r="G274" s="5">
        <v>2446357</v>
      </c>
      <c r="H274" t="s">
        <v>40</v>
      </c>
      <c r="I274" t="s">
        <v>37</v>
      </c>
      <c r="J274" t="s">
        <v>37</v>
      </c>
    </row>
    <row r="275" spans="1:10" hidden="1" x14ac:dyDescent="0.35">
      <c r="A275" t="s">
        <v>31</v>
      </c>
      <c r="B275" t="s">
        <v>45</v>
      </c>
      <c r="C275" t="s">
        <v>332</v>
      </c>
      <c r="D275" t="s">
        <v>333</v>
      </c>
      <c r="E275" t="s">
        <v>48</v>
      </c>
      <c r="F275" t="s">
        <v>334</v>
      </c>
      <c r="G275" s="5">
        <v>212000</v>
      </c>
      <c r="H275" t="s">
        <v>37</v>
      </c>
      <c r="I275" t="s">
        <v>37</v>
      </c>
      <c r="J275" t="s">
        <v>37</v>
      </c>
    </row>
    <row r="276" spans="1:10" x14ac:dyDescent="0.35">
      <c r="A276" t="s">
        <v>31</v>
      </c>
      <c r="B276" t="s">
        <v>32</v>
      </c>
      <c r="C276" t="s">
        <v>229</v>
      </c>
      <c r="D276" t="s">
        <v>230</v>
      </c>
      <c r="E276" t="s">
        <v>35</v>
      </c>
      <c r="F276" t="s">
        <v>334</v>
      </c>
      <c r="G276" s="5">
        <v>10842000</v>
      </c>
      <c r="H276" t="s">
        <v>40</v>
      </c>
      <c r="I276" t="s">
        <v>40</v>
      </c>
      <c r="J276" t="s">
        <v>37</v>
      </c>
    </row>
    <row r="277" spans="1:10" x14ac:dyDescent="0.35">
      <c r="A277" t="s">
        <v>31</v>
      </c>
      <c r="B277" t="s">
        <v>32</v>
      </c>
      <c r="C277" t="s">
        <v>229</v>
      </c>
      <c r="D277" t="s">
        <v>230</v>
      </c>
      <c r="E277" t="s">
        <v>35</v>
      </c>
      <c r="F277" t="s">
        <v>334</v>
      </c>
      <c r="G277" s="5">
        <v>960000</v>
      </c>
      <c r="H277" t="s">
        <v>40</v>
      </c>
      <c r="I277" t="s">
        <v>40</v>
      </c>
      <c r="J277" t="s">
        <v>37</v>
      </c>
    </row>
    <row r="278" spans="1:10" x14ac:dyDescent="0.35">
      <c r="A278" t="s">
        <v>31</v>
      </c>
      <c r="B278" t="s">
        <v>32</v>
      </c>
      <c r="C278" t="s">
        <v>229</v>
      </c>
      <c r="D278" t="s">
        <v>230</v>
      </c>
      <c r="E278" t="s">
        <v>35</v>
      </c>
      <c r="F278" t="s">
        <v>334</v>
      </c>
      <c r="G278" s="5">
        <v>4000000</v>
      </c>
      <c r="H278" t="s">
        <v>40</v>
      </c>
      <c r="I278" t="s">
        <v>40</v>
      </c>
      <c r="J278" t="s">
        <v>37</v>
      </c>
    </row>
    <row r="279" spans="1:10" hidden="1" x14ac:dyDescent="0.35">
      <c r="A279" t="s">
        <v>31</v>
      </c>
      <c r="B279" t="s">
        <v>32</v>
      </c>
      <c r="C279" t="s">
        <v>84</v>
      </c>
      <c r="D279" t="s">
        <v>85</v>
      </c>
      <c r="E279" t="s">
        <v>35</v>
      </c>
      <c r="F279" t="s">
        <v>334</v>
      </c>
      <c r="G279" s="5">
        <v>2913880</v>
      </c>
      <c r="H279" t="s">
        <v>37</v>
      </c>
      <c r="I279" t="s">
        <v>37</v>
      </c>
      <c r="J279" t="s">
        <v>37</v>
      </c>
    </row>
    <row r="280" spans="1:10" x14ac:dyDescent="0.35">
      <c r="A280" t="s">
        <v>31</v>
      </c>
      <c r="B280" t="s">
        <v>45</v>
      </c>
      <c r="C280" t="s">
        <v>335</v>
      </c>
      <c r="D280" t="s">
        <v>336</v>
      </c>
      <c r="E280" t="s">
        <v>35</v>
      </c>
      <c r="F280" t="s">
        <v>334</v>
      </c>
      <c r="G280" s="5">
        <v>38385</v>
      </c>
      <c r="H280" t="s">
        <v>40</v>
      </c>
      <c r="I280" t="s">
        <v>40</v>
      </c>
      <c r="J280" t="s">
        <v>40</v>
      </c>
    </row>
    <row r="281" spans="1:10" x14ac:dyDescent="0.35">
      <c r="A281" t="s">
        <v>31</v>
      </c>
      <c r="B281" t="s">
        <v>45</v>
      </c>
      <c r="C281" t="s">
        <v>335</v>
      </c>
      <c r="D281" t="s">
        <v>336</v>
      </c>
      <c r="E281" t="s">
        <v>35</v>
      </c>
      <c r="F281" t="s">
        <v>334</v>
      </c>
      <c r="G281" s="5">
        <v>321199</v>
      </c>
      <c r="H281" t="s">
        <v>40</v>
      </c>
      <c r="I281" t="s">
        <v>40</v>
      </c>
      <c r="J281" t="s">
        <v>40</v>
      </c>
    </row>
    <row r="282" spans="1:10" x14ac:dyDescent="0.35">
      <c r="A282" t="s">
        <v>31</v>
      </c>
      <c r="B282" t="s">
        <v>45</v>
      </c>
      <c r="C282" t="s">
        <v>229</v>
      </c>
      <c r="D282" t="s">
        <v>230</v>
      </c>
      <c r="E282" t="s">
        <v>35</v>
      </c>
      <c r="F282" t="s">
        <v>334</v>
      </c>
      <c r="G282" s="5">
        <v>1360000</v>
      </c>
      <c r="H282" t="s">
        <v>40</v>
      </c>
      <c r="I282" t="s">
        <v>40</v>
      </c>
      <c r="J282" t="s">
        <v>37</v>
      </c>
    </row>
    <row r="283" spans="1:10" x14ac:dyDescent="0.35">
      <c r="A283" t="s">
        <v>31</v>
      </c>
      <c r="B283" t="s">
        <v>45</v>
      </c>
      <c r="C283" t="s">
        <v>324</v>
      </c>
      <c r="D283" t="s">
        <v>325</v>
      </c>
      <c r="E283" t="s">
        <v>35</v>
      </c>
      <c r="F283" t="s">
        <v>334</v>
      </c>
      <c r="G283" s="5">
        <v>42462</v>
      </c>
      <c r="H283" t="s">
        <v>40</v>
      </c>
      <c r="I283" t="s">
        <v>40</v>
      </c>
      <c r="J283" t="s">
        <v>40</v>
      </c>
    </row>
    <row r="284" spans="1:10" x14ac:dyDescent="0.35">
      <c r="A284" t="s">
        <v>31</v>
      </c>
      <c r="B284" t="s">
        <v>45</v>
      </c>
      <c r="C284" t="s">
        <v>324</v>
      </c>
      <c r="D284" t="s">
        <v>325</v>
      </c>
      <c r="E284" t="s">
        <v>35</v>
      </c>
      <c r="F284" t="s">
        <v>334</v>
      </c>
      <c r="G284" s="5">
        <v>433538</v>
      </c>
      <c r="H284" t="s">
        <v>40</v>
      </c>
      <c r="I284" t="s">
        <v>40</v>
      </c>
      <c r="J284" t="s">
        <v>40</v>
      </c>
    </row>
    <row r="285" spans="1:10" hidden="1" x14ac:dyDescent="0.35">
      <c r="A285" t="s">
        <v>31</v>
      </c>
      <c r="B285" t="s">
        <v>45</v>
      </c>
      <c r="C285" t="s">
        <v>84</v>
      </c>
      <c r="D285" t="s">
        <v>85</v>
      </c>
      <c r="E285" t="s">
        <v>35</v>
      </c>
      <c r="F285" t="s">
        <v>334</v>
      </c>
      <c r="G285" s="5">
        <v>116074</v>
      </c>
      <c r="H285" t="s">
        <v>37</v>
      </c>
      <c r="I285" t="s">
        <v>37</v>
      </c>
      <c r="J285" t="s">
        <v>37</v>
      </c>
    </row>
    <row r="286" spans="1:10" hidden="1" x14ac:dyDescent="0.35">
      <c r="A286" t="s">
        <v>31</v>
      </c>
      <c r="B286" t="s">
        <v>45</v>
      </c>
      <c r="C286" t="s">
        <v>84</v>
      </c>
      <c r="D286" t="s">
        <v>85</v>
      </c>
      <c r="E286" t="s">
        <v>35</v>
      </c>
      <c r="F286" t="s">
        <v>334</v>
      </c>
      <c r="G286" s="5">
        <v>16038095</v>
      </c>
      <c r="H286" t="s">
        <v>37</v>
      </c>
      <c r="I286" t="s">
        <v>37</v>
      </c>
      <c r="J286" t="s">
        <v>37</v>
      </c>
    </row>
    <row r="287" spans="1:10" x14ac:dyDescent="0.35">
      <c r="A287" t="s">
        <v>31</v>
      </c>
      <c r="B287" t="s">
        <v>32</v>
      </c>
      <c r="C287" t="s">
        <v>337</v>
      </c>
      <c r="D287" t="s">
        <v>338</v>
      </c>
      <c r="E287" t="s">
        <v>43</v>
      </c>
      <c r="F287" t="s">
        <v>339</v>
      </c>
      <c r="G287" s="5">
        <v>91200</v>
      </c>
      <c r="H287" t="s">
        <v>40</v>
      </c>
      <c r="I287" t="s">
        <v>40</v>
      </c>
      <c r="J287" t="s">
        <v>37</v>
      </c>
    </row>
    <row r="288" spans="1:10" x14ac:dyDescent="0.35">
      <c r="A288" t="s">
        <v>31</v>
      </c>
      <c r="B288" t="s">
        <v>32</v>
      </c>
      <c r="C288" t="s">
        <v>91</v>
      </c>
      <c r="D288" t="s">
        <v>92</v>
      </c>
      <c r="E288" t="s">
        <v>43</v>
      </c>
      <c r="F288" t="s">
        <v>339</v>
      </c>
      <c r="G288" s="5">
        <v>766440</v>
      </c>
      <c r="H288" t="s">
        <v>40</v>
      </c>
      <c r="I288" t="s">
        <v>40</v>
      </c>
      <c r="J288" t="s">
        <v>37</v>
      </c>
    </row>
    <row r="289" spans="1:10" x14ac:dyDescent="0.35">
      <c r="A289" t="s">
        <v>31</v>
      </c>
      <c r="B289" t="s">
        <v>45</v>
      </c>
      <c r="C289" t="s">
        <v>340</v>
      </c>
      <c r="D289" t="s">
        <v>341</v>
      </c>
      <c r="E289" t="s">
        <v>35</v>
      </c>
      <c r="F289" t="s">
        <v>339</v>
      </c>
      <c r="G289" s="5">
        <v>1280000</v>
      </c>
      <c r="H289" t="s">
        <v>40</v>
      </c>
      <c r="I289" t="s">
        <v>40</v>
      </c>
      <c r="J289" t="s">
        <v>37</v>
      </c>
    </row>
    <row r="290" spans="1:10" hidden="1" x14ac:dyDescent="0.35">
      <c r="A290" t="s">
        <v>31</v>
      </c>
      <c r="B290" t="s">
        <v>45</v>
      </c>
      <c r="C290" t="s">
        <v>158</v>
      </c>
      <c r="D290" t="s">
        <v>159</v>
      </c>
      <c r="E290" t="s">
        <v>160</v>
      </c>
      <c r="F290" t="s">
        <v>342</v>
      </c>
      <c r="G290" s="5">
        <v>145648</v>
      </c>
      <c r="H290" t="s">
        <v>37</v>
      </c>
      <c r="I290" t="s">
        <v>37</v>
      </c>
      <c r="J290" t="s">
        <v>40</v>
      </c>
    </row>
    <row r="291" spans="1:10" hidden="1" x14ac:dyDescent="0.35">
      <c r="A291" t="s">
        <v>31</v>
      </c>
      <c r="B291" t="s">
        <v>45</v>
      </c>
      <c r="C291" t="s">
        <v>158</v>
      </c>
      <c r="D291" t="s">
        <v>159</v>
      </c>
      <c r="E291" t="s">
        <v>160</v>
      </c>
      <c r="F291" t="s">
        <v>342</v>
      </c>
      <c r="G291" s="5">
        <v>1956539</v>
      </c>
      <c r="H291" t="s">
        <v>37</v>
      </c>
      <c r="I291" t="s">
        <v>37</v>
      </c>
      <c r="J291" t="s">
        <v>40</v>
      </c>
    </row>
    <row r="292" spans="1:10" hidden="1" x14ac:dyDescent="0.35">
      <c r="A292" t="s">
        <v>31</v>
      </c>
      <c r="B292" t="s">
        <v>32</v>
      </c>
      <c r="C292" t="s">
        <v>343</v>
      </c>
      <c r="D292" t="s">
        <v>344</v>
      </c>
      <c r="E292" t="s">
        <v>35</v>
      </c>
      <c r="F292" t="s">
        <v>342</v>
      </c>
      <c r="G292" s="5">
        <v>1755525</v>
      </c>
      <c r="H292" t="s">
        <v>37</v>
      </c>
      <c r="I292" t="s">
        <v>37</v>
      </c>
      <c r="J292" t="s">
        <v>37</v>
      </c>
    </row>
    <row r="293" spans="1:10" hidden="1" x14ac:dyDescent="0.35">
      <c r="A293" t="s">
        <v>31</v>
      </c>
      <c r="B293" t="s">
        <v>32</v>
      </c>
      <c r="C293" t="s">
        <v>345</v>
      </c>
      <c r="D293" t="s">
        <v>346</v>
      </c>
      <c r="E293" t="s">
        <v>35</v>
      </c>
      <c r="F293" t="s">
        <v>342</v>
      </c>
      <c r="G293" s="5">
        <v>906558</v>
      </c>
      <c r="H293" t="s">
        <v>37</v>
      </c>
      <c r="I293" t="s">
        <v>37</v>
      </c>
      <c r="J293" t="s">
        <v>37</v>
      </c>
    </row>
    <row r="294" spans="1:10" hidden="1" x14ac:dyDescent="0.35">
      <c r="A294" t="s">
        <v>31</v>
      </c>
      <c r="B294" t="s">
        <v>32</v>
      </c>
      <c r="C294" t="s">
        <v>347</v>
      </c>
      <c r="D294" t="s">
        <v>348</v>
      </c>
      <c r="E294" t="s">
        <v>35</v>
      </c>
      <c r="F294" t="s">
        <v>342</v>
      </c>
      <c r="G294" s="5">
        <v>498556</v>
      </c>
      <c r="H294" t="s">
        <v>37</v>
      </c>
      <c r="I294" t="s">
        <v>37</v>
      </c>
      <c r="J294" t="s">
        <v>37</v>
      </c>
    </row>
    <row r="295" spans="1:10" hidden="1" x14ac:dyDescent="0.35">
      <c r="A295" t="s">
        <v>31</v>
      </c>
      <c r="B295" t="s">
        <v>32</v>
      </c>
      <c r="C295" t="s">
        <v>347</v>
      </c>
      <c r="D295" t="s">
        <v>348</v>
      </c>
      <c r="E295" t="s">
        <v>35</v>
      </c>
      <c r="F295" t="s">
        <v>342</v>
      </c>
      <c r="G295" s="5">
        <v>725444</v>
      </c>
      <c r="H295" t="s">
        <v>37</v>
      </c>
      <c r="I295" t="s">
        <v>37</v>
      </c>
      <c r="J295" t="s">
        <v>37</v>
      </c>
    </row>
    <row r="296" spans="1:10" hidden="1" x14ac:dyDescent="0.35">
      <c r="A296" t="s">
        <v>31</v>
      </c>
      <c r="B296" t="s">
        <v>32</v>
      </c>
      <c r="C296" t="s">
        <v>349</v>
      </c>
      <c r="D296" t="s">
        <v>350</v>
      </c>
      <c r="E296" t="s">
        <v>35</v>
      </c>
      <c r="F296" t="s">
        <v>342</v>
      </c>
      <c r="G296" s="5">
        <v>908838</v>
      </c>
      <c r="H296" t="s">
        <v>37</v>
      </c>
      <c r="I296" t="s">
        <v>37</v>
      </c>
      <c r="J296" t="s">
        <v>40</v>
      </c>
    </row>
    <row r="297" spans="1:10" hidden="1" x14ac:dyDescent="0.35">
      <c r="A297" t="s">
        <v>31</v>
      </c>
      <c r="B297" t="s">
        <v>45</v>
      </c>
      <c r="C297" t="s">
        <v>351</v>
      </c>
      <c r="D297" t="s">
        <v>352</v>
      </c>
      <c r="E297" t="s">
        <v>35</v>
      </c>
      <c r="F297" t="s">
        <v>342</v>
      </c>
      <c r="G297" s="5">
        <v>44680</v>
      </c>
      <c r="H297" t="s">
        <v>37</v>
      </c>
      <c r="I297" t="s">
        <v>37</v>
      </c>
      <c r="J297" t="s">
        <v>37</v>
      </c>
    </row>
    <row r="298" spans="1:10" hidden="1" x14ac:dyDescent="0.35">
      <c r="A298" t="s">
        <v>31</v>
      </c>
      <c r="B298" t="s">
        <v>45</v>
      </c>
      <c r="C298" t="s">
        <v>173</v>
      </c>
      <c r="D298" t="s">
        <v>174</v>
      </c>
      <c r="E298" t="s">
        <v>175</v>
      </c>
      <c r="F298" t="s">
        <v>342</v>
      </c>
      <c r="G298" s="5">
        <v>9188952</v>
      </c>
      <c r="H298" t="s">
        <v>37</v>
      </c>
      <c r="I298" t="s">
        <v>37</v>
      </c>
      <c r="J298" t="s">
        <v>40</v>
      </c>
    </row>
    <row r="299" spans="1:10" x14ac:dyDescent="0.35">
      <c r="A299" t="s">
        <v>31</v>
      </c>
      <c r="B299" t="s">
        <v>32</v>
      </c>
      <c r="C299" t="s">
        <v>353</v>
      </c>
      <c r="D299" t="s">
        <v>354</v>
      </c>
      <c r="E299" t="s">
        <v>43</v>
      </c>
      <c r="F299" t="s">
        <v>355</v>
      </c>
      <c r="G299" s="5">
        <v>196470</v>
      </c>
      <c r="H299" t="s">
        <v>40</v>
      </c>
      <c r="I299" t="s">
        <v>37</v>
      </c>
      <c r="J299" t="s">
        <v>40</v>
      </c>
    </row>
    <row r="300" spans="1:10" x14ac:dyDescent="0.35">
      <c r="A300" t="s">
        <v>31</v>
      </c>
      <c r="B300" t="s">
        <v>32</v>
      </c>
      <c r="C300" t="s">
        <v>356</v>
      </c>
      <c r="D300" t="s">
        <v>357</v>
      </c>
      <c r="E300" t="s">
        <v>43</v>
      </c>
      <c r="F300" t="s">
        <v>355</v>
      </c>
      <c r="G300" s="5">
        <v>517400</v>
      </c>
      <c r="H300" t="s">
        <v>40</v>
      </c>
      <c r="I300" t="s">
        <v>40</v>
      </c>
      <c r="J300" t="s">
        <v>40</v>
      </c>
    </row>
    <row r="301" spans="1:10" x14ac:dyDescent="0.35">
      <c r="A301" t="s">
        <v>31</v>
      </c>
      <c r="B301" t="s">
        <v>45</v>
      </c>
      <c r="C301" t="s">
        <v>356</v>
      </c>
      <c r="D301" t="s">
        <v>357</v>
      </c>
      <c r="E301" t="s">
        <v>43</v>
      </c>
      <c r="F301" t="s">
        <v>355</v>
      </c>
      <c r="G301" s="5">
        <v>517400</v>
      </c>
      <c r="H301" t="s">
        <v>40</v>
      </c>
      <c r="I301" t="s">
        <v>40</v>
      </c>
      <c r="J301" t="s">
        <v>40</v>
      </c>
    </row>
    <row r="302" spans="1:10" x14ac:dyDescent="0.35">
      <c r="A302" t="s">
        <v>31</v>
      </c>
      <c r="B302" t="s">
        <v>32</v>
      </c>
      <c r="C302" t="s">
        <v>358</v>
      </c>
      <c r="D302" t="s">
        <v>359</v>
      </c>
      <c r="E302" t="s">
        <v>51</v>
      </c>
      <c r="F302" t="s">
        <v>355</v>
      </c>
      <c r="G302" s="5">
        <v>1685060</v>
      </c>
      <c r="H302" t="s">
        <v>40</v>
      </c>
      <c r="I302" t="s">
        <v>40</v>
      </c>
      <c r="J302" t="s">
        <v>40</v>
      </c>
    </row>
    <row r="303" spans="1:10" x14ac:dyDescent="0.35">
      <c r="A303" t="s">
        <v>31</v>
      </c>
      <c r="B303" t="s">
        <v>32</v>
      </c>
      <c r="C303" t="s">
        <v>358</v>
      </c>
      <c r="D303" t="s">
        <v>359</v>
      </c>
      <c r="E303" t="s">
        <v>51</v>
      </c>
      <c r="F303" t="s">
        <v>355</v>
      </c>
      <c r="G303" s="5">
        <v>114940</v>
      </c>
      <c r="H303" t="s">
        <v>40</v>
      </c>
      <c r="I303" t="s">
        <v>40</v>
      </c>
      <c r="J303" t="s">
        <v>40</v>
      </c>
    </row>
    <row r="304" spans="1:10" x14ac:dyDescent="0.35">
      <c r="A304" t="s">
        <v>31</v>
      </c>
      <c r="B304" t="s">
        <v>45</v>
      </c>
      <c r="C304" t="s">
        <v>360</v>
      </c>
      <c r="D304" t="s">
        <v>361</v>
      </c>
      <c r="E304" t="s">
        <v>51</v>
      </c>
      <c r="F304" t="s">
        <v>355</v>
      </c>
      <c r="G304" s="5">
        <v>125381</v>
      </c>
      <c r="H304" t="s">
        <v>40</v>
      </c>
      <c r="I304" t="s">
        <v>40</v>
      </c>
      <c r="J304" t="s">
        <v>37</v>
      </c>
    </row>
    <row r="305" spans="1:10" x14ac:dyDescent="0.35">
      <c r="A305" t="s">
        <v>31</v>
      </c>
      <c r="B305" t="s">
        <v>45</v>
      </c>
      <c r="C305" t="s">
        <v>360</v>
      </c>
      <c r="D305" t="s">
        <v>361</v>
      </c>
      <c r="E305" t="s">
        <v>51</v>
      </c>
      <c r="F305" t="s">
        <v>355</v>
      </c>
      <c r="G305" s="5">
        <v>885901</v>
      </c>
      <c r="H305" t="s">
        <v>40</v>
      </c>
      <c r="I305" t="s">
        <v>40</v>
      </c>
      <c r="J305" t="s">
        <v>37</v>
      </c>
    </row>
    <row r="306" spans="1:10" x14ac:dyDescent="0.35">
      <c r="A306" t="s">
        <v>31</v>
      </c>
      <c r="B306" t="s">
        <v>45</v>
      </c>
      <c r="C306" t="s">
        <v>358</v>
      </c>
      <c r="D306" t="s">
        <v>359</v>
      </c>
      <c r="E306" t="s">
        <v>51</v>
      </c>
      <c r="F306" t="s">
        <v>355</v>
      </c>
      <c r="G306" s="5">
        <v>1685060</v>
      </c>
      <c r="H306" t="s">
        <v>40</v>
      </c>
      <c r="I306" t="s">
        <v>40</v>
      </c>
      <c r="J306" t="s">
        <v>40</v>
      </c>
    </row>
    <row r="307" spans="1:10" x14ac:dyDescent="0.35">
      <c r="A307" t="s">
        <v>31</v>
      </c>
      <c r="B307" t="s">
        <v>32</v>
      </c>
      <c r="C307" t="s">
        <v>362</v>
      </c>
      <c r="D307" t="s">
        <v>363</v>
      </c>
      <c r="E307" t="s">
        <v>35</v>
      </c>
      <c r="F307" t="s">
        <v>355</v>
      </c>
      <c r="G307" s="5">
        <v>1478400</v>
      </c>
      <c r="H307" t="s">
        <v>40</v>
      </c>
      <c r="I307" t="s">
        <v>37</v>
      </c>
      <c r="J307" t="s">
        <v>40</v>
      </c>
    </row>
    <row r="308" spans="1:10" hidden="1" x14ac:dyDescent="0.35">
      <c r="A308" t="s">
        <v>31</v>
      </c>
      <c r="B308" t="s">
        <v>45</v>
      </c>
      <c r="C308" t="s">
        <v>206</v>
      </c>
      <c r="D308" t="s">
        <v>207</v>
      </c>
      <c r="E308" t="s">
        <v>35</v>
      </c>
      <c r="F308" t="s">
        <v>355</v>
      </c>
      <c r="G308" s="5">
        <v>650817</v>
      </c>
      <c r="H308" t="s">
        <v>37</v>
      </c>
      <c r="I308" t="s">
        <v>37</v>
      </c>
      <c r="J308" t="s">
        <v>37</v>
      </c>
    </row>
    <row r="309" spans="1:10" hidden="1" x14ac:dyDescent="0.35">
      <c r="A309" t="s">
        <v>31</v>
      </c>
      <c r="B309" t="s">
        <v>45</v>
      </c>
      <c r="C309" t="s">
        <v>364</v>
      </c>
      <c r="D309" t="s">
        <v>365</v>
      </c>
      <c r="E309" t="s">
        <v>116</v>
      </c>
      <c r="F309" t="s">
        <v>366</v>
      </c>
      <c r="G309" s="5">
        <v>1516633</v>
      </c>
      <c r="H309" t="s">
        <v>37</v>
      </c>
      <c r="I309" t="s">
        <v>37</v>
      </c>
      <c r="J309" t="s">
        <v>37</v>
      </c>
    </row>
    <row r="310" spans="1:10" x14ac:dyDescent="0.35">
      <c r="A310" t="s">
        <v>31</v>
      </c>
      <c r="B310" t="s">
        <v>45</v>
      </c>
      <c r="C310" t="s">
        <v>126</v>
      </c>
      <c r="D310" t="s">
        <v>127</v>
      </c>
      <c r="E310" t="s">
        <v>43</v>
      </c>
      <c r="F310" t="s">
        <v>367</v>
      </c>
      <c r="G310" s="5">
        <v>2524900</v>
      </c>
      <c r="H310" t="s">
        <v>40</v>
      </c>
      <c r="I310" t="s">
        <v>37</v>
      </c>
      <c r="J310" t="s">
        <v>37</v>
      </c>
    </row>
    <row r="311" spans="1:10" x14ac:dyDescent="0.35">
      <c r="A311" t="s">
        <v>31</v>
      </c>
      <c r="B311" t="s">
        <v>45</v>
      </c>
      <c r="C311" t="s">
        <v>126</v>
      </c>
      <c r="D311" t="s">
        <v>127</v>
      </c>
      <c r="E311" t="s">
        <v>43</v>
      </c>
      <c r="F311" t="s">
        <v>367</v>
      </c>
      <c r="G311" s="5">
        <v>257400</v>
      </c>
      <c r="H311" t="s">
        <v>40</v>
      </c>
      <c r="I311" t="s">
        <v>37</v>
      </c>
      <c r="J311" t="s">
        <v>37</v>
      </c>
    </row>
    <row r="312" spans="1:10" x14ac:dyDescent="0.35">
      <c r="A312" t="s">
        <v>31</v>
      </c>
      <c r="B312" t="s">
        <v>45</v>
      </c>
      <c r="C312" t="s">
        <v>126</v>
      </c>
      <c r="D312" t="s">
        <v>127</v>
      </c>
      <c r="E312" t="s">
        <v>43</v>
      </c>
      <c r="F312" t="s">
        <v>367</v>
      </c>
      <c r="G312" s="5">
        <v>163300</v>
      </c>
      <c r="H312" t="s">
        <v>40</v>
      </c>
      <c r="I312" t="s">
        <v>37</v>
      </c>
      <c r="J312" t="s">
        <v>37</v>
      </c>
    </row>
    <row r="313" spans="1:10" hidden="1" x14ac:dyDescent="0.35">
      <c r="A313" t="s">
        <v>31</v>
      </c>
      <c r="B313" t="s">
        <v>45</v>
      </c>
      <c r="C313" t="s">
        <v>368</v>
      </c>
      <c r="D313" t="s">
        <v>369</v>
      </c>
      <c r="E313" t="s">
        <v>116</v>
      </c>
      <c r="F313" t="s">
        <v>370</v>
      </c>
      <c r="G313" s="5">
        <v>905939</v>
      </c>
      <c r="H313" t="s">
        <v>37</v>
      </c>
      <c r="I313" t="s">
        <v>37</v>
      </c>
      <c r="J313" t="s">
        <v>37</v>
      </c>
    </row>
    <row r="314" spans="1:10" x14ac:dyDescent="0.35">
      <c r="A314" t="s">
        <v>31</v>
      </c>
      <c r="B314" t="s">
        <v>32</v>
      </c>
      <c r="C314" t="s">
        <v>105</v>
      </c>
      <c r="D314" t="s">
        <v>106</v>
      </c>
      <c r="E314" t="s">
        <v>35</v>
      </c>
      <c r="F314" t="s">
        <v>370</v>
      </c>
      <c r="G314" s="5">
        <v>2400000</v>
      </c>
      <c r="H314" t="s">
        <v>40</v>
      </c>
      <c r="I314" t="s">
        <v>40</v>
      </c>
      <c r="J314" t="s">
        <v>37</v>
      </c>
    </row>
    <row r="315" spans="1:10" hidden="1" x14ac:dyDescent="0.35">
      <c r="A315" t="s">
        <v>31</v>
      </c>
      <c r="B315" t="s">
        <v>32</v>
      </c>
      <c r="C315" t="s">
        <v>84</v>
      </c>
      <c r="D315" t="s">
        <v>85</v>
      </c>
      <c r="E315" t="s">
        <v>35</v>
      </c>
      <c r="F315" t="s">
        <v>370</v>
      </c>
      <c r="G315" s="5">
        <v>2913880</v>
      </c>
      <c r="H315" t="s">
        <v>37</v>
      </c>
      <c r="I315" t="s">
        <v>37</v>
      </c>
      <c r="J315" t="s">
        <v>37</v>
      </c>
    </row>
    <row r="316" spans="1:10" hidden="1" x14ac:dyDescent="0.35">
      <c r="A316" t="s">
        <v>31</v>
      </c>
      <c r="B316" t="s">
        <v>45</v>
      </c>
      <c r="C316" t="s">
        <v>84</v>
      </c>
      <c r="D316" t="s">
        <v>85</v>
      </c>
      <c r="E316" t="s">
        <v>35</v>
      </c>
      <c r="F316" t="s">
        <v>370</v>
      </c>
      <c r="G316" s="5">
        <v>116074</v>
      </c>
      <c r="H316" t="s">
        <v>37</v>
      </c>
      <c r="I316" t="s">
        <v>37</v>
      </c>
      <c r="J316" t="s">
        <v>37</v>
      </c>
    </row>
    <row r="317" spans="1:10" hidden="1" x14ac:dyDescent="0.35">
      <c r="A317" t="s">
        <v>31</v>
      </c>
      <c r="B317" t="s">
        <v>45</v>
      </c>
      <c r="C317" t="s">
        <v>84</v>
      </c>
      <c r="D317" t="s">
        <v>85</v>
      </c>
      <c r="E317" t="s">
        <v>35</v>
      </c>
      <c r="F317" t="s">
        <v>370</v>
      </c>
      <c r="G317" s="5">
        <v>16038095</v>
      </c>
      <c r="H317" t="s">
        <v>37</v>
      </c>
      <c r="I317" t="s">
        <v>37</v>
      </c>
      <c r="J317" t="s">
        <v>37</v>
      </c>
    </row>
    <row r="318" spans="1:10" hidden="1" x14ac:dyDescent="0.35">
      <c r="A318" t="s">
        <v>31</v>
      </c>
      <c r="B318" t="s">
        <v>45</v>
      </c>
      <c r="C318" t="s">
        <v>371</v>
      </c>
      <c r="D318" t="s">
        <v>372</v>
      </c>
      <c r="E318" t="s">
        <v>373</v>
      </c>
      <c r="F318" t="s">
        <v>370</v>
      </c>
      <c r="G318" s="5">
        <v>691619</v>
      </c>
      <c r="H318" t="s">
        <v>37</v>
      </c>
      <c r="I318" t="s">
        <v>37</v>
      </c>
      <c r="J318" t="s">
        <v>40</v>
      </c>
    </row>
    <row r="319" spans="1:10" hidden="1" x14ac:dyDescent="0.35">
      <c r="A319" t="s">
        <v>31</v>
      </c>
      <c r="B319" t="s">
        <v>45</v>
      </c>
      <c r="C319" t="s">
        <v>158</v>
      </c>
      <c r="D319" t="s">
        <v>159</v>
      </c>
      <c r="E319" t="s">
        <v>160</v>
      </c>
      <c r="F319" t="s">
        <v>374</v>
      </c>
      <c r="G319" s="5">
        <v>145648</v>
      </c>
      <c r="H319" t="s">
        <v>37</v>
      </c>
      <c r="I319" t="s">
        <v>37</v>
      </c>
      <c r="J319" t="s">
        <v>40</v>
      </c>
    </row>
    <row r="320" spans="1:10" hidden="1" x14ac:dyDescent="0.35">
      <c r="A320" t="s">
        <v>31</v>
      </c>
      <c r="B320" t="s">
        <v>45</v>
      </c>
      <c r="C320" t="s">
        <v>158</v>
      </c>
      <c r="D320" t="s">
        <v>159</v>
      </c>
      <c r="E320" t="s">
        <v>160</v>
      </c>
      <c r="F320" t="s">
        <v>374</v>
      </c>
      <c r="G320" s="5">
        <v>1956539</v>
      </c>
      <c r="H320" t="s">
        <v>37</v>
      </c>
      <c r="I320" t="s">
        <v>37</v>
      </c>
      <c r="J320" t="s">
        <v>40</v>
      </c>
    </row>
    <row r="321" spans="1:10" x14ac:dyDescent="0.35">
      <c r="A321" t="s">
        <v>31</v>
      </c>
      <c r="B321" t="s">
        <v>45</v>
      </c>
      <c r="C321" t="s">
        <v>375</v>
      </c>
      <c r="D321" t="s">
        <v>376</v>
      </c>
      <c r="E321" t="s">
        <v>90</v>
      </c>
      <c r="F321" t="s">
        <v>374</v>
      </c>
      <c r="G321" s="5">
        <v>3504200</v>
      </c>
      <c r="H321" t="s">
        <v>40</v>
      </c>
      <c r="I321" t="s">
        <v>40</v>
      </c>
      <c r="J321" t="s">
        <v>40</v>
      </c>
    </row>
    <row r="322" spans="1:10" hidden="1" x14ac:dyDescent="0.35">
      <c r="A322" t="s">
        <v>31</v>
      </c>
      <c r="B322" t="s">
        <v>45</v>
      </c>
      <c r="C322" t="s">
        <v>173</v>
      </c>
      <c r="D322" t="s">
        <v>174</v>
      </c>
      <c r="E322" t="s">
        <v>175</v>
      </c>
      <c r="F322" t="s">
        <v>374</v>
      </c>
      <c r="G322" s="5">
        <v>9188952</v>
      </c>
      <c r="H322" t="s">
        <v>37</v>
      </c>
      <c r="I322" t="s">
        <v>37</v>
      </c>
      <c r="J322" t="s">
        <v>40</v>
      </c>
    </row>
    <row r="323" spans="1:10" hidden="1" x14ac:dyDescent="0.35">
      <c r="A323" t="s">
        <v>31</v>
      </c>
      <c r="B323" t="s">
        <v>45</v>
      </c>
      <c r="C323" t="s">
        <v>158</v>
      </c>
      <c r="D323" t="s">
        <v>159</v>
      </c>
      <c r="E323" t="s">
        <v>160</v>
      </c>
      <c r="F323" t="s">
        <v>377</v>
      </c>
      <c r="G323" s="5">
        <v>145648</v>
      </c>
      <c r="H323" t="s">
        <v>37</v>
      </c>
      <c r="I323" t="s">
        <v>37</v>
      </c>
      <c r="J323" t="s">
        <v>40</v>
      </c>
    </row>
    <row r="324" spans="1:10" hidden="1" x14ac:dyDescent="0.35">
      <c r="A324" t="s">
        <v>31</v>
      </c>
      <c r="B324" t="s">
        <v>45</v>
      </c>
      <c r="C324" t="s">
        <v>158</v>
      </c>
      <c r="D324" t="s">
        <v>159</v>
      </c>
      <c r="E324" t="s">
        <v>160</v>
      </c>
      <c r="F324" t="s">
        <v>377</v>
      </c>
      <c r="G324" s="5">
        <v>1956539</v>
      </c>
      <c r="H324" t="s">
        <v>37</v>
      </c>
      <c r="I324" t="s">
        <v>37</v>
      </c>
      <c r="J324" t="s">
        <v>40</v>
      </c>
    </row>
    <row r="325" spans="1:10" hidden="1" x14ac:dyDescent="0.35">
      <c r="A325" t="s">
        <v>31</v>
      </c>
      <c r="B325" t="s">
        <v>45</v>
      </c>
      <c r="C325" t="s">
        <v>173</v>
      </c>
      <c r="D325" t="s">
        <v>174</v>
      </c>
      <c r="E325" t="s">
        <v>175</v>
      </c>
      <c r="F325" t="s">
        <v>377</v>
      </c>
      <c r="G325" s="5">
        <v>9188952</v>
      </c>
      <c r="H325" t="s">
        <v>37</v>
      </c>
      <c r="I325" t="s">
        <v>37</v>
      </c>
      <c r="J325" t="s">
        <v>40</v>
      </c>
    </row>
    <row r="326" spans="1:10" x14ac:dyDescent="0.35">
      <c r="A326" t="s">
        <v>31</v>
      </c>
      <c r="B326" t="s">
        <v>45</v>
      </c>
      <c r="C326" t="s">
        <v>378</v>
      </c>
      <c r="D326" t="s">
        <v>379</v>
      </c>
      <c r="E326" t="s">
        <v>48</v>
      </c>
      <c r="F326" t="s">
        <v>380</v>
      </c>
      <c r="G326" s="5">
        <v>88828</v>
      </c>
      <c r="H326" t="s">
        <v>40</v>
      </c>
      <c r="I326" t="s">
        <v>37</v>
      </c>
      <c r="J326" t="s">
        <v>37</v>
      </c>
    </row>
    <row r="327" spans="1:10" x14ac:dyDescent="0.35">
      <c r="A327" t="s">
        <v>31</v>
      </c>
      <c r="B327" t="s">
        <v>45</v>
      </c>
      <c r="C327" t="s">
        <v>378</v>
      </c>
      <c r="D327" t="s">
        <v>379</v>
      </c>
      <c r="E327" t="s">
        <v>48</v>
      </c>
      <c r="F327" t="s">
        <v>380</v>
      </c>
      <c r="G327" s="5">
        <v>7172</v>
      </c>
      <c r="H327" t="s">
        <v>40</v>
      </c>
      <c r="I327" t="s">
        <v>37</v>
      </c>
      <c r="J327" t="s">
        <v>37</v>
      </c>
    </row>
    <row r="328" spans="1:10" x14ac:dyDescent="0.35">
      <c r="A328" t="s">
        <v>31</v>
      </c>
      <c r="B328" t="s">
        <v>45</v>
      </c>
      <c r="C328" t="s">
        <v>378</v>
      </c>
      <c r="D328" t="s">
        <v>379</v>
      </c>
      <c r="E328" t="s">
        <v>48</v>
      </c>
      <c r="F328" t="s">
        <v>380</v>
      </c>
      <c r="G328" s="5">
        <v>449600</v>
      </c>
      <c r="H328" t="s">
        <v>40</v>
      </c>
      <c r="I328" t="s">
        <v>37</v>
      </c>
      <c r="J328" t="s">
        <v>37</v>
      </c>
    </row>
    <row r="329" spans="1:10" x14ac:dyDescent="0.35">
      <c r="A329" t="s">
        <v>31</v>
      </c>
      <c r="B329" t="s">
        <v>32</v>
      </c>
      <c r="C329" t="s">
        <v>229</v>
      </c>
      <c r="D329" t="s">
        <v>230</v>
      </c>
      <c r="E329" t="s">
        <v>35</v>
      </c>
      <c r="F329" t="s">
        <v>380</v>
      </c>
      <c r="G329" s="5">
        <v>10842000</v>
      </c>
      <c r="H329" t="s">
        <v>40</v>
      </c>
      <c r="I329" t="s">
        <v>40</v>
      </c>
      <c r="J329" t="s">
        <v>37</v>
      </c>
    </row>
    <row r="330" spans="1:10" x14ac:dyDescent="0.35">
      <c r="A330" t="s">
        <v>31</v>
      </c>
      <c r="B330" t="s">
        <v>32</v>
      </c>
      <c r="C330" t="s">
        <v>229</v>
      </c>
      <c r="D330" t="s">
        <v>230</v>
      </c>
      <c r="E330" t="s">
        <v>35</v>
      </c>
      <c r="F330" t="s">
        <v>380</v>
      </c>
      <c r="G330" s="5">
        <v>960000</v>
      </c>
      <c r="H330" t="s">
        <v>40</v>
      </c>
      <c r="I330" t="s">
        <v>40</v>
      </c>
      <c r="J330" t="s">
        <v>37</v>
      </c>
    </row>
    <row r="331" spans="1:10" x14ac:dyDescent="0.35">
      <c r="A331" t="s">
        <v>31</v>
      </c>
      <c r="B331" t="s">
        <v>32</v>
      </c>
      <c r="C331" t="s">
        <v>229</v>
      </c>
      <c r="D331" t="s">
        <v>230</v>
      </c>
      <c r="E331" t="s">
        <v>35</v>
      </c>
      <c r="F331" t="s">
        <v>380</v>
      </c>
      <c r="G331" s="5">
        <v>4000000</v>
      </c>
      <c r="H331" t="s">
        <v>40</v>
      </c>
      <c r="I331" t="s">
        <v>40</v>
      </c>
      <c r="J331" t="s">
        <v>37</v>
      </c>
    </row>
    <row r="332" spans="1:10" hidden="1" x14ac:dyDescent="0.35">
      <c r="A332" t="s">
        <v>31</v>
      </c>
      <c r="B332" t="s">
        <v>32</v>
      </c>
      <c r="C332" t="s">
        <v>84</v>
      </c>
      <c r="D332" t="s">
        <v>85</v>
      </c>
      <c r="E332" t="s">
        <v>35</v>
      </c>
      <c r="F332" t="s">
        <v>380</v>
      </c>
      <c r="G332" s="5">
        <v>2913880</v>
      </c>
      <c r="H332" t="s">
        <v>37</v>
      </c>
      <c r="I332" t="s">
        <v>37</v>
      </c>
      <c r="J332" t="s">
        <v>37</v>
      </c>
    </row>
    <row r="333" spans="1:10" x14ac:dyDescent="0.35">
      <c r="A333" t="s">
        <v>31</v>
      </c>
      <c r="B333" t="s">
        <v>45</v>
      </c>
      <c r="C333" t="s">
        <v>229</v>
      </c>
      <c r="D333" t="s">
        <v>230</v>
      </c>
      <c r="E333" t="s">
        <v>35</v>
      </c>
      <c r="F333" t="s">
        <v>380</v>
      </c>
      <c r="G333" s="5">
        <v>1360000</v>
      </c>
      <c r="H333" t="s">
        <v>40</v>
      </c>
      <c r="I333" t="s">
        <v>40</v>
      </c>
      <c r="J333" t="s">
        <v>37</v>
      </c>
    </row>
    <row r="334" spans="1:10" hidden="1" x14ac:dyDescent="0.35">
      <c r="A334" t="s">
        <v>31</v>
      </c>
      <c r="B334" t="s">
        <v>45</v>
      </c>
      <c r="C334" t="s">
        <v>84</v>
      </c>
      <c r="D334" t="s">
        <v>85</v>
      </c>
      <c r="E334" t="s">
        <v>35</v>
      </c>
      <c r="F334" t="s">
        <v>380</v>
      </c>
      <c r="G334" s="5">
        <v>116074</v>
      </c>
      <c r="H334" t="s">
        <v>37</v>
      </c>
      <c r="I334" t="s">
        <v>37</v>
      </c>
      <c r="J334" t="s">
        <v>37</v>
      </c>
    </row>
    <row r="335" spans="1:10" hidden="1" x14ac:dyDescent="0.35">
      <c r="A335" t="s">
        <v>31</v>
      </c>
      <c r="B335" t="s">
        <v>45</v>
      </c>
      <c r="C335" t="s">
        <v>84</v>
      </c>
      <c r="D335" t="s">
        <v>85</v>
      </c>
      <c r="E335" t="s">
        <v>35</v>
      </c>
      <c r="F335" t="s">
        <v>380</v>
      </c>
      <c r="G335" s="5">
        <v>16038095</v>
      </c>
      <c r="H335" t="s">
        <v>37</v>
      </c>
      <c r="I335" t="s">
        <v>37</v>
      </c>
      <c r="J335" t="s">
        <v>37</v>
      </c>
    </row>
    <row r="336" spans="1:10" hidden="1" x14ac:dyDescent="0.35">
      <c r="A336" t="s">
        <v>31</v>
      </c>
      <c r="B336" t="s">
        <v>45</v>
      </c>
      <c r="C336" t="s">
        <v>381</v>
      </c>
      <c r="D336" t="s">
        <v>382</v>
      </c>
      <c r="E336" t="s">
        <v>90</v>
      </c>
      <c r="F336" t="s">
        <v>380</v>
      </c>
      <c r="G336" s="5">
        <v>480832</v>
      </c>
      <c r="H336" t="s">
        <v>37</v>
      </c>
      <c r="I336" t="s">
        <v>37</v>
      </c>
      <c r="J336" t="s">
        <v>40</v>
      </c>
    </row>
    <row r="337" spans="1:10" hidden="1" x14ac:dyDescent="0.35">
      <c r="A337" t="s">
        <v>31</v>
      </c>
      <c r="B337" t="s">
        <v>32</v>
      </c>
      <c r="C337" t="s">
        <v>383</v>
      </c>
      <c r="D337" t="s">
        <v>384</v>
      </c>
      <c r="E337" t="s">
        <v>98</v>
      </c>
      <c r="F337" t="s">
        <v>380</v>
      </c>
      <c r="G337" s="5">
        <v>198300</v>
      </c>
      <c r="H337" t="s">
        <v>37</v>
      </c>
      <c r="I337" t="s">
        <v>37</v>
      </c>
      <c r="J337" t="s">
        <v>40</v>
      </c>
    </row>
    <row r="338" spans="1:10" hidden="1" x14ac:dyDescent="0.35">
      <c r="A338" t="s">
        <v>31</v>
      </c>
      <c r="B338" t="s">
        <v>45</v>
      </c>
      <c r="C338" t="s">
        <v>383</v>
      </c>
      <c r="D338" t="s">
        <v>384</v>
      </c>
      <c r="E338" t="s">
        <v>98</v>
      </c>
      <c r="F338" t="s">
        <v>380</v>
      </c>
      <c r="G338" s="5">
        <v>92328</v>
      </c>
      <c r="H338" t="s">
        <v>37</v>
      </c>
      <c r="I338" t="s">
        <v>37</v>
      </c>
      <c r="J338" t="s">
        <v>40</v>
      </c>
    </row>
    <row r="339" spans="1:10" hidden="1" x14ac:dyDescent="0.35">
      <c r="A339" t="s">
        <v>31</v>
      </c>
      <c r="B339" t="s">
        <v>45</v>
      </c>
      <c r="C339" t="s">
        <v>383</v>
      </c>
      <c r="D339" t="s">
        <v>384</v>
      </c>
      <c r="E339" t="s">
        <v>98</v>
      </c>
      <c r="F339" t="s">
        <v>380</v>
      </c>
      <c r="G339" s="5">
        <v>156765</v>
      </c>
      <c r="H339" t="s">
        <v>37</v>
      </c>
      <c r="I339" t="s">
        <v>37</v>
      </c>
      <c r="J339" t="s">
        <v>40</v>
      </c>
    </row>
    <row r="340" spans="1:10" hidden="1" x14ac:dyDescent="0.35">
      <c r="A340" t="s">
        <v>31</v>
      </c>
      <c r="B340" t="s">
        <v>45</v>
      </c>
      <c r="C340" t="s">
        <v>385</v>
      </c>
      <c r="D340" t="s">
        <v>386</v>
      </c>
      <c r="E340" t="s">
        <v>98</v>
      </c>
      <c r="F340" t="s">
        <v>380</v>
      </c>
      <c r="G340" s="5">
        <v>1968382</v>
      </c>
      <c r="H340" t="s">
        <v>37</v>
      </c>
      <c r="I340" t="s">
        <v>37</v>
      </c>
      <c r="J340" t="s">
        <v>37</v>
      </c>
    </row>
    <row r="341" spans="1:10" x14ac:dyDescent="0.35">
      <c r="A341" t="s">
        <v>31</v>
      </c>
      <c r="B341" t="s">
        <v>45</v>
      </c>
      <c r="C341" t="s">
        <v>340</v>
      </c>
      <c r="D341" t="s">
        <v>341</v>
      </c>
      <c r="E341" t="s">
        <v>35</v>
      </c>
      <c r="F341" t="s">
        <v>387</v>
      </c>
      <c r="G341" s="5">
        <v>1280000</v>
      </c>
      <c r="H341" t="s">
        <v>40</v>
      </c>
      <c r="I341" t="s">
        <v>40</v>
      </c>
      <c r="J341" t="s">
        <v>37</v>
      </c>
    </row>
    <row r="342" spans="1:10" hidden="1" x14ac:dyDescent="0.35">
      <c r="A342" t="s">
        <v>31</v>
      </c>
      <c r="B342" t="s">
        <v>32</v>
      </c>
      <c r="C342" t="s">
        <v>33</v>
      </c>
      <c r="D342" t="s">
        <v>34</v>
      </c>
      <c r="E342" t="s">
        <v>35</v>
      </c>
      <c r="F342" t="s">
        <v>388</v>
      </c>
      <c r="G342" s="5">
        <v>8240000</v>
      </c>
      <c r="H342" t="s">
        <v>37</v>
      </c>
      <c r="I342" t="s">
        <v>37</v>
      </c>
      <c r="J342" t="s">
        <v>37</v>
      </c>
    </row>
    <row r="343" spans="1:10" x14ac:dyDescent="0.35">
      <c r="A343" t="s">
        <v>31</v>
      </c>
      <c r="B343" t="s">
        <v>32</v>
      </c>
      <c r="C343" t="s">
        <v>38</v>
      </c>
      <c r="D343" t="s">
        <v>39</v>
      </c>
      <c r="E343" t="s">
        <v>35</v>
      </c>
      <c r="F343" t="s">
        <v>388</v>
      </c>
      <c r="G343" s="5">
        <v>4160000</v>
      </c>
      <c r="H343" t="s">
        <v>40</v>
      </c>
      <c r="I343" t="s">
        <v>40</v>
      </c>
      <c r="J343" t="s">
        <v>37</v>
      </c>
    </row>
    <row r="344" spans="1:10" x14ac:dyDescent="0.35">
      <c r="A344" t="s">
        <v>31</v>
      </c>
      <c r="B344" t="s">
        <v>32</v>
      </c>
      <c r="C344" t="s">
        <v>389</v>
      </c>
      <c r="D344" t="s">
        <v>390</v>
      </c>
      <c r="E344" t="s">
        <v>48</v>
      </c>
      <c r="F344" t="s">
        <v>391</v>
      </c>
      <c r="G344" s="5">
        <v>1449753</v>
      </c>
      <c r="H344" t="s">
        <v>40</v>
      </c>
      <c r="I344" t="s">
        <v>37</v>
      </c>
      <c r="J344" t="s">
        <v>37</v>
      </c>
    </row>
    <row r="345" spans="1:10" hidden="1" x14ac:dyDescent="0.35">
      <c r="A345" t="s">
        <v>31</v>
      </c>
      <c r="B345" t="s">
        <v>45</v>
      </c>
      <c r="C345" t="s">
        <v>72</v>
      </c>
      <c r="D345" t="s">
        <v>73</v>
      </c>
      <c r="E345" t="s">
        <v>74</v>
      </c>
      <c r="F345" t="s">
        <v>391</v>
      </c>
      <c r="G345" s="5">
        <v>284512</v>
      </c>
      <c r="H345" t="s">
        <v>37</v>
      </c>
      <c r="I345" t="s">
        <v>37</v>
      </c>
      <c r="J345" t="s">
        <v>40</v>
      </c>
    </row>
    <row r="346" spans="1:10" hidden="1" x14ac:dyDescent="0.35">
      <c r="A346" t="s">
        <v>31</v>
      </c>
      <c r="B346" t="s">
        <v>45</v>
      </c>
      <c r="C346" t="s">
        <v>72</v>
      </c>
      <c r="D346" t="s">
        <v>73</v>
      </c>
      <c r="E346" t="s">
        <v>74</v>
      </c>
      <c r="F346" t="s">
        <v>391</v>
      </c>
      <c r="G346" s="5">
        <v>1085043</v>
      </c>
      <c r="H346" t="s">
        <v>37</v>
      </c>
      <c r="I346" t="s">
        <v>37</v>
      </c>
      <c r="J346" t="s">
        <v>40</v>
      </c>
    </row>
    <row r="347" spans="1:10" hidden="1" x14ac:dyDescent="0.35">
      <c r="A347" t="s">
        <v>31</v>
      </c>
      <c r="B347" t="s">
        <v>32</v>
      </c>
      <c r="C347" t="s">
        <v>84</v>
      </c>
      <c r="D347" t="s">
        <v>85</v>
      </c>
      <c r="E347" t="s">
        <v>35</v>
      </c>
      <c r="F347" t="s">
        <v>391</v>
      </c>
      <c r="G347" s="5">
        <v>2913880</v>
      </c>
      <c r="H347" t="s">
        <v>37</v>
      </c>
      <c r="I347" t="s">
        <v>37</v>
      </c>
      <c r="J347" t="s">
        <v>37</v>
      </c>
    </row>
    <row r="348" spans="1:10" hidden="1" x14ac:dyDescent="0.35">
      <c r="A348" t="s">
        <v>31</v>
      </c>
      <c r="B348" t="s">
        <v>45</v>
      </c>
      <c r="C348" t="s">
        <v>84</v>
      </c>
      <c r="D348" t="s">
        <v>85</v>
      </c>
      <c r="E348" t="s">
        <v>35</v>
      </c>
      <c r="F348" t="s">
        <v>391</v>
      </c>
      <c r="G348" s="5">
        <v>116074</v>
      </c>
      <c r="H348" t="s">
        <v>37</v>
      </c>
      <c r="I348" t="s">
        <v>37</v>
      </c>
      <c r="J348" t="s">
        <v>37</v>
      </c>
    </row>
    <row r="349" spans="1:10" hidden="1" x14ac:dyDescent="0.35">
      <c r="A349" t="s">
        <v>31</v>
      </c>
      <c r="B349" t="s">
        <v>45</v>
      </c>
      <c r="C349" t="s">
        <v>84</v>
      </c>
      <c r="D349" t="s">
        <v>85</v>
      </c>
      <c r="E349" t="s">
        <v>35</v>
      </c>
      <c r="F349" t="s">
        <v>391</v>
      </c>
      <c r="G349" s="5">
        <v>16038095</v>
      </c>
      <c r="H349" t="s">
        <v>37</v>
      </c>
      <c r="I349" t="s">
        <v>37</v>
      </c>
      <c r="J349" t="s">
        <v>37</v>
      </c>
    </row>
    <row r="350" spans="1:10" x14ac:dyDescent="0.35">
      <c r="A350" t="s">
        <v>31</v>
      </c>
      <c r="B350" t="s">
        <v>45</v>
      </c>
      <c r="C350" t="s">
        <v>392</v>
      </c>
      <c r="D350" t="s">
        <v>393</v>
      </c>
      <c r="E350" t="s">
        <v>74</v>
      </c>
      <c r="F350" t="s">
        <v>394</v>
      </c>
      <c r="G350" s="5">
        <v>1000000</v>
      </c>
      <c r="H350" t="s">
        <v>40</v>
      </c>
      <c r="I350" t="s">
        <v>37</v>
      </c>
      <c r="J350" t="s">
        <v>40</v>
      </c>
    </row>
    <row r="351" spans="1:10" hidden="1" x14ac:dyDescent="0.35">
      <c r="A351" t="s">
        <v>31</v>
      </c>
      <c r="B351" t="s">
        <v>32</v>
      </c>
      <c r="C351" t="s">
        <v>395</v>
      </c>
      <c r="D351" t="s">
        <v>396</v>
      </c>
      <c r="E351" t="s">
        <v>35</v>
      </c>
      <c r="F351" t="s">
        <v>394</v>
      </c>
      <c r="G351" s="5">
        <v>800000</v>
      </c>
      <c r="H351" t="s">
        <v>37</v>
      </c>
      <c r="I351" t="s">
        <v>37</v>
      </c>
      <c r="J351" t="s">
        <v>37</v>
      </c>
    </row>
    <row r="352" spans="1:10" hidden="1" x14ac:dyDescent="0.35">
      <c r="A352" t="s">
        <v>31</v>
      </c>
      <c r="B352" t="s">
        <v>45</v>
      </c>
      <c r="C352" t="s">
        <v>397</v>
      </c>
      <c r="D352" t="s">
        <v>398</v>
      </c>
      <c r="E352" t="s">
        <v>90</v>
      </c>
      <c r="F352" t="s">
        <v>394</v>
      </c>
      <c r="G352" s="5">
        <v>560000</v>
      </c>
      <c r="H352" t="s">
        <v>37</v>
      </c>
      <c r="I352" t="s">
        <v>37</v>
      </c>
      <c r="J352" t="s">
        <v>37</v>
      </c>
    </row>
    <row r="353" spans="1:10" hidden="1" x14ac:dyDescent="0.35">
      <c r="A353" t="s">
        <v>31</v>
      </c>
      <c r="B353" t="s">
        <v>45</v>
      </c>
      <c r="C353" t="s">
        <v>397</v>
      </c>
      <c r="D353" t="s">
        <v>398</v>
      </c>
      <c r="E353" t="s">
        <v>90</v>
      </c>
      <c r="F353" t="s">
        <v>394</v>
      </c>
      <c r="G353" s="5">
        <v>3000000</v>
      </c>
      <c r="H353" t="s">
        <v>37</v>
      </c>
      <c r="I353" t="s">
        <v>37</v>
      </c>
      <c r="J353" t="s">
        <v>37</v>
      </c>
    </row>
    <row r="354" spans="1:10" x14ac:dyDescent="0.35">
      <c r="A354" t="s">
        <v>31</v>
      </c>
      <c r="B354" t="s">
        <v>32</v>
      </c>
      <c r="C354" t="s">
        <v>46</v>
      </c>
      <c r="D354" t="s">
        <v>47</v>
      </c>
      <c r="E354" t="s">
        <v>48</v>
      </c>
      <c r="F354" t="s">
        <v>399</v>
      </c>
      <c r="G354" s="5">
        <v>6875000</v>
      </c>
      <c r="H354" t="s">
        <v>40</v>
      </c>
      <c r="I354" t="s">
        <v>40</v>
      </c>
      <c r="J354" t="s">
        <v>40</v>
      </c>
    </row>
    <row r="355" spans="1:10" x14ac:dyDescent="0.35">
      <c r="A355" t="s">
        <v>31</v>
      </c>
      <c r="B355" t="s">
        <v>45</v>
      </c>
      <c r="C355" t="s">
        <v>46</v>
      </c>
      <c r="D355" t="s">
        <v>47</v>
      </c>
      <c r="E355" t="s">
        <v>48</v>
      </c>
      <c r="F355" t="s">
        <v>399</v>
      </c>
      <c r="G355" s="5">
        <v>9696318</v>
      </c>
      <c r="H355" t="s">
        <v>40</v>
      </c>
      <c r="I355" t="s">
        <v>40</v>
      </c>
      <c r="J355" t="s">
        <v>40</v>
      </c>
    </row>
    <row r="356" spans="1:10" x14ac:dyDescent="0.35">
      <c r="A356" t="s">
        <v>31</v>
      </c>
      <c r="B356" t="s">
        <v>45</v>
      </c>
      <c r="C356" t="s">
        <v>46</v>
      </c>
      <c r="D356" t="s">
        <v>47</v>
      </c>
      <c r="E356" t="s">
        <v>48</v>
      </c>
      <c r="F356" t="s">
        <v>399</v>
      </c>
      <c r="G356" s="5">
        <v>34631474</v>
      </c>
      <c r="H356" t="s">
        <v>40</v>
      </c>
      <c r="I356" t="s">
        <v>40</v>
      </c>
      <c r="J356" t="s">
        <v>40</v>
      </c>
    </row>
    <row r="357" spans="1:10" x14ac:dyDescent="0.35">
      <c r="A357" t="s">
        <v>31</v>
      </c>
      <c r="B357" t="s">
        <v>45</v>
      </c>
      <c r="C357" t="s">
        <v>46</v>
      </c>
      <c r="D357" t="s">
        <v>47</v>
      </c>
      <c r="E357" t="s">
        <v>48</v>
      </c>
      <c r="F357" t="s">
        <v>399</v>
      </c>
      <c r="G357" s="5">
        <v>16253</v>
      </c>
      <c r="H357" t="s">
        <v>40</v>
      </c>
      <c r="I357" t="s">
        <v>40</v>
      </c>
      <c r="J357" t="s">
        <v>40</v>
      </c>
    </row>
    <row r="358" spans="1:10" x14ac:dyDescent="0.35">
      <c r="A358" t="s">
        <v>31</v>
      </c>
      <c r="B358" t="s">
        <v>45</v>
      </c>
      <c r="C358" t="s">
        <v>46</v>
      </c>
      <c r="D358" t="s">
        <v>47</v>
      </c>
      <c r="E358" t="s">
        <v>48</v>
      </c>
      <c r="F358" t="s">
        <v>399</v>
      </c>
      <c r="G358" s="5">
        <v>86904481</v>
      </c>
      <c r="H358" t="s">
        <v>40</v>
      </c>
      <c r="I358" t="s">
        <v>40</v>
      </c>
      <c r="J358" t="s">
        <v>40</v>
      </c>
    </row>
    <row r="359" spans="1:10" x14ac:dyDescent="0.35">
      <c r="A359" t="s">
        <v>31</v>
      </c>
      <c r="B359" t="s">
        <v>45</v>
      </c>
      <c r="C359" t="s">
        <v>400</v>
      </c>
      <c r="D359" t="s">
        <v>401</v>
      </c>
      <c r="E359" t="s">
        <v>48</v>
      </c>
      <c r="F359" t="s">
        <v>399</v>
      </c>
      <c r="G359" s="5">
        <v>126755</v>
      </c>
      <c r="H359" t="s">
        <v>40</v>
      </c>
      <c r="I359" t="s">
        <v>40</v>
      </c>
      <c r="J359" t="s">
        <v>37</v>
      </c>
    </row>
    <row r="360" spans="1:10" hidden="1" x14ac:dyDescent="0.35">
      <c r="A360" t="s">
        <v>31</v>
      </c>
      <c r="B360" t="s">
        <v>45</v>
      </c>
      <c r="C360" t="s">
        <v>402</v>
      </c>
      <c r="D360" t="s">
        <v>403</v>
      </c>
      <c r="E360" t="s">
        <v>48</v>
      </c>
      <c r="F360" t="s">
        <v>399</v>
      </c>
      <c r="G360" s="5">
        <v>2593120</v>
      </c>
      <c r="H360" t="s">
        <v>37</v>
      </c>
      <c r="I360" t="s">
        <v>37</v>
      </c>
      <c r="J360" t="s">
        <v>37</v>
      </c>
    </row>
    <row r="361" spans="1:10" hidden="1" x14ac:dyDescent="0.35">
      <c r="A361" t="s">
        <v>31</v>
      </c>
      <c r="B361" t="s">
        <v>45</v>
      </c>
      <c r="C361" t="s">
        <v>54</v>
      </c>
      <c r="D361" t="s">
        <v>55</v>
      </c>
      <c r="E361" t="s">
        <v>51</v>
      </c>
      <c r="F361" t="s">
        <v>399</v>
      </c>
      <c r="G361" s="5">
        <v>217590</v>
      </c>
      <c r="H361" t="s">
        <v>37</v>
      </c>
      <c r="I361" t="s">
        <v>37</v>
      </c>
      <c r="J361" t="s">
        <v>37</v>
      </c>
    </row>
    <row r="362" spans="1:10" hidden="1" x14ac:dyDescent="0.35">
      <c r="A362" t="s">
        <v>31</v>
      </c>
      <c r="B362" t="s">
        <v>45</v>
      </c>
      <c r="C362" t="s">
        <v>54</v>
      </c>
      <c r="D362" t="s">
        <v>55</v>
      </c>
      <c r="E362" t="s">
        <v>51</v>
      </c>
      <c r="F362" t="s">
        <v>399</v>
      </c>
      <c r="G362" s="5">
        <v>691256</v>
      </c>
      <c r="H362" t="s">
        <v>37</v>
      </c>
      <c r="I362" t="s">
        <v>37</v>
      </c>
      <c r="J362" t="s">
        <v>37</v>
      </c>
    </row>
    <row r="363" spans="1:10" x14ac:dyDescent="0.35">
      <c r="A363" t="s">
        <v>31</v>
      </c>
      <c r="B363" t="s">
        <v>32</v>
      </c>
      <c r="C363" t="s">
        <v>404</v>
      </c>
      <c r="D363" t="s">
        <v>405</v>
      </c>
      <c r="E363" t="s">
        <v>43</v>
      </c>
      <c r="F363" t="s">
        <v>406</v>
      </c>
      <c r="G363" s="5">
        <v>56000</v>
      </c>
      <c r="H363" t="s">
        <v>40</v>
      </c>
      <c r="I363" t="s">
        <v>37</v>
      </c>
      <c r="J363" t="s">
        <v>37</v>
      </c>
    </row>
    <row r="364" spans="1:10" hidden="1" x14ac:dyDescent="0.35">
      <c r="A364" t="s">
        <v>31</v>
      </c>
      <c r="B364" t="s">
        <v>45</v>
      </c>
      <c r="C364" t="s">
        <v>407</v>
      </c>
      <c r="D364" t="s">
        <v>408</v>
      </c>
      <c r="E364" t="s">
        <v>51</v>
      </c>
      <c r="F364" t="s">
        <v>409</v>
      </c>
      <c r="G364" s="5">
        <v>2084760</v>
      </c>
      <c r="H364" t="s">
        <v>37</v>
      </c>
      <c r="I364" t="s">
        <v>37</v>
      </c>
      <c r="J364" t="s">
        <v>37</v>
      </c>
    </row>
    <row r="365" spans="1:10" hidden="1" x14ac:dyDescent="0.35">
      <c r="A365" t="s">
        <v>31</v>
      </c>
      <c r="B365" t="s">
        <v>45</v>
      </c>
      <c r="C365" t="s">
        <v>410</v>
      </c>
      <c r="D365" t="s">
        <v>411</v>
      </c>
      <c r="E365" t="s">
        <v>48</v>
      </c>
      <c r="F365" t="s">
        <v>412</v>
      </c>
      <c r="G365" s="5">
        <v>1276718</v>
      </c>
      <c r="H365" t="s">
        <v>37</v>
      </c>
      <c r="I365" t="s">
        <v>37</v>
      </c>
      <c r="J365" t="s">
        <v>37</v>
      </c>
    </row>
    <row r="366" spans="1:10" hidden="1" x14ac:dyDescent="0.35">
      <c r="A366" t="s">
        <v>31</v>
      </c>
      <c r="B366" t="s">
        <v>45</v>
      </c>
      <c r="C366" t="s">
        <v>413</v>
      </c>
      <c r="D366" t="s">
        <v>414</v>
      </c>
      <c r="E366" t="s">
        <v>116</v>
      </c>
      <c r="F366" t="s">
        <v>415</v>
      </c>
      <c r="G366" s="5">
        <v>440000</v>
      </c>
      <c r="H366" t="s">
        <v>37</v>
      </c>
      <c r="I366" t="s">
        <v>37</v>
      </c>
      <c r="J366" t="s">
        <v>37</v>
      </c>
    </row>
    <row r="367" spans="1:10" x14ac:dyDescent="0.35">
      <c r="A367" t="s">
        <v>31</v>
      </c>
      <c r="B367" t="s">
        <v>32</v>
      </c>
      <c r="C367" t="s">
        <v>416</v>
      </c>
      <c r="D367" t="s">
        <v>417</v>
      </c>
      <c r="E367" t="s">
        <v>35</v>
      </c>
      <c r="F367" t="s">
        <v>415</v>
      </c>
      <c r="G367" s="5">
        <v>419071</v>
      </c>
      <c r="H367" t="s">
        <v>40</v>
      </c>
      <c r="I367" t="s">
        <v>40</v>
      </c>
      <c r="J367" t="s">
        <v>40</v>
      </c>
    </row>
    <row r="368" spans="1:10" x14ac:dyDescent="0.35">
      <c r="A368" t="s">
        <v>31</v>
      </c>
      <c r="B368" t="s">
        <v>45</v>
      </c>
      <c r="C368" t="s">
        <v>126</v>
      </c>
      <c r="D368" t="s">
        <v>127</v>
      </c>
      <c r="E368" t="s">
        <v>43</v>
      </c>
      <c r="F368" t="s">
        <v>418</v>
      </c>
      <c r="G368" s="5">
        <v>2524900</v>
      </c>
      <c r="H368" t="s">
        <v>40</v>
      </c>
      <c r="I368" t="s">
        <v>37</v>
      </c>
      <c r="J368" t="s">
        <v>37</v>
      </c>
    </row>
    <row r="369" spans="1:10" x14ac:dyDescent="0.35">
      <c r="A369" t="s">
        <v>31</v>
      </c>
      <c r="B369" t="s">
        <v>45</v>
      </c>
      <c r="C369" t="s">
        <v>126</v>
      </c>
      <c r="D369" t="s">
        <v>127</v>
      </c>
      <c r="E369" t="s">
        <v>43</v>
      </c>
      <c r="F369" t="s">
        <v>418</v>
      </c>
      <c r="G369" s="5">
        <v>257400</v>
      </c>
      <c r="H369" t="s">
        <v>40</v>
      </c>
      <c r="I369" t="s">
        <v>37</v>
      </c>
      <c r="J369" t="s">
        <v>37</v>
      </c>
    </row>
    <row r="370" spans="1:10" x14ac:dyDescent="0.35">
      <c r="A370" t="s">
        <v>31</v>
      </c>
      <c r="B370" t="s">
        <v>45</v>
      </c>
      <c r="C370" t="s">
        <v>126</v>
      </c>
      <c r="D370" t="s">
        <v>127</v>
      </c>
      <c r="E370" t="s">
        <v>43</v>
      </c>
      <c r="F370" t="s">
        <v>418</v>
      </c>
      <c r="G370" s="5">
        <v>163300</v>
      </c>
      <c r="H370" t="s">
        <v>40</v>
      </c>
      <c r="I370" t="s">
        <v>37</v>
      </c>
      <c r="J370" t="s">
        <v>37</v>
      </c>
    </row>
    <row r="371" spans="1:10" x14ac:dyDescent="0.35">
      <c r="A371" t="s">
        <v>31</v>
      </c>
      <c r="B371" t="s">
        <v>32</v>
      </c>
      <c r="C371" t="s">
        <v>419</v>
      </c>
      <c r="D371" t="s">
        <v>420</v>
      </c>
      <c r="E371" t="s">
        <v>35</v>
      </c>
      <c r="F371" t="s">
        <v>418</v>
      </c>
      <c r="G371" s="5">
        <v>2752076</v>
      </c>
      <c r="H371" t="s">
        <v>40</v>
      </c>
      <c r="I371" t="s">
        <v>40</v>
      </c>
      <c r="J371" t="s">
        <v>40</v>
      </c>
    </row>
    <row r="372" spans="1:10" x14ac:dyDescent="0.35">
      <c r="A372" t="s">
        <v>31</v>
      </c>
      <c r="B372" t="s">
        <v>45</v>
      </c>
      <c r="C372" t="s">
        <v>202</v>
      </c>
      <c r="D372" t="s">
        <v>203</v>
      </c>
      <c r="E372" t="s">
        <v>35</v>
      </c>
      <c r="F372" t="s">
        <v>418</v>
      </c>
      <c r="G372" s="5">
        <v>4621448</v>
      </c>
      <c r="H372" t="s">
        <v>40</v>
      </c>
      <c r="I372" t="s">
        <v>40</v>
      </c>
      <c r="J372" t="s">
        <v>37</v>
      </c>
    </row>
    <row r="373" spans="1:10" x14ac:dyDescent="0.35">
      <c r="A373" t="s">
        <v>31</v>
      </c>
      <c r="B373" t="s">
        <v>45</v>
      </c>
      <c r="C373" t="s">
        <v>421</v>
      </c>
      <c r="D373" t="s">
        <v>422</v>
      </c>
      <c r="E373" t="s">
        <v>43</v>
      </c>
      <c r="F373" t="s">
        <v>423</v>
      </c>
      <c r="G373" s="5">
        <v>593573</v>
      </c>
      <c r="H373" t="s">
        <v>40</v>
      </c>
      <c r="I373" t="s">
        <v>40</v>
      </c>
      <c r="J373" t="s">
        <v>37</v>
      </c>
    </row>
    <row r="374" spans="1:10" x14ac:dyDescent="0.35">
      <c r="A374" t="s">
        <v>31</v>
      </c>
      <c r="B374" t="s">
        <v>45</v>
      </c>
      <c r="C374" t="s">
        <v>421</v>
      </c>
      <c r="D374" t="s">
        <v>422</v>
      </c>
      <c r="E374" t="s">
        <v>43</v>
      </c>
      <c r="F374" t="s">
        <v>423</v>
      </c>
      <c r="G374" s="5">
        <v>113766</v>
      </c>
      <c r="H374" t="s">
        <v>40</v>
      </c>
      <c r="I374" t="s">
        <v>40</v>
      </c>
      <c r="J374" t="s">
        <v>37</v>
      </c>
    </row>
    <row r="375" spans="1:10" hidden="1" x14ac:dyDescent="0.35">
      <c r="A375" t="s">
        <v>31</v>
      </c>
      <c r="B375" t="s">
        <v>32</v>
      </c>
      <c r="C375" t="s">
        <v>181</v>
      </c>
      <c r="D375" t="s">
        <v>182</v>
      </c>
      <c r="E375" t="s">
        <v>51</v>
      </c>
      <c r="F375" t="s">
        <v>424</v>
      </c>
      <c r="G375" s="5">
        <v>2250000</v>
      </c>
      <c r="H375" t="s">
        <v>37</v>
      </c>
      <c r="I375" t="s">
        <v>37</v>
      </c>
      <c r="J375" t="s">
        <v>37</v>
      </c>
    </row>
    <row r="376" spans="1:10" x14ac:dyDescent="0.35">
      <c r="A376" t="s">
        <v>31</v>
      </c>
      <c r="B376" t="s">
        <v>32</v>
      </c>
      <c r="C376" t="s">
        <v>425</v>
      </c>
      <c r="D376" t="s">
        <v>426</v>
      </c>
      <c r="E376" t="s">
        <v>373</v>
      </c>
      <c r="F376" t="s">
        <v>424</v>
      </c>
      <c r="G376" s="5">
        <v>1139994</v>
      </c>
      <c r="H376" t="s">
        <v>40</v>
      </c>
      <c r="I376" t="s">
        <v>37</v>
      </c>
      <c r="J376" t="s">
        <v>40</v>
      </c>
    </row>
    <row r="377" spans="1:10" x14ac:dyDescent="0.35">
      <c r="A377" t="s">
        <v>31</v>
      </c>
      <c r="B377" t="s">
        <v>32</v>
      </c>
      <c r="C377" t="s">
        <v>229</v>
      </c>
      <c r="D377" t="s">
        <v>230</v>
      </c>
      <c r="E377" t="s">
        <v>35</v>
      </c>
      <c r="F377" t="s">
        <v>427</v>
      </c>
      <c r="G377" s="5">
        <v>10842000</v>
      </c>
      <c r="H377" t="s">
        <v>40</v>
      </c>
      <c r="I377" t="s">
        <v>40</v>
      </c>
      <c r="J377" t="s">
        <v>37</v>
      </c>
    </row>
    <row r="378" spans="1:10" x14ac:dyDescent="0.35">
      <c r="A378" t="s">
        <v>31</v>
      </c>
      <c r="B378" t="s">
        <v>32</v>
      </c>
      <c r="C378" t="s">
        <v>229</v>
      </c>
      <c r="D378" t="s">
        <v>230</v>
      </c>
      <c r="E378" t="s">
        <v>35</v>
      </c>
      <c r="F378" t="s">
        <v>427</v>
      </c>
      <c r="G378" s="5">
        <v>960000</v>
      </c>
      <c r="H378" t="s">
        <v>40</v>
      </c>
      <c r="I378" t="s">
        <v>40</v>
      </c>
      <c r="J378" t="s">
        <v>37</v>
      </c>
    </row>
    <row r="379" spans="1:10" x14ac:dyDescent="0.35">
      <c r="A379" t="s">
        <v>31</v>
      </c>
      <c r="B379" t="s">
        <v>32</v>
      </c>
      <c r="C379" t="s">
        <v>229</v>
      </c>
      <c r="D379" t="s">
        <v>230</v>
      </c>
      <c r="E379" t="s">
        <v>35</v>
      </c>
      <c r="F379" t="s">
        <v>427</v>
      </c>
      <c r="G379" s="5">
        <v>4000000</v>
      </c>
      <c r="H379" t="s">
        <v>40</v>
      </c>
      <c r="I379" t="s">
        <v>40</v>
      </c>
      <c r="J379" t="s">
        <v>37</v>
      </c>
    </row>
    <row r="380" spans="1:10" hidden="1" x14ac:dyDescent="0.35">
      <c r="A380" t="s">
        <v>31</v>
      </c>
      <c r="B380" t="s">
        <v>32</v>
      </c>
      <c r="C380" t="s">
        <v>84</v>
      </c>
      <c r="D380" t="s">
        <v>85</v>
      </c>
      <c r="E380" t="s">
        <v>35</v>
      </c>
      <c r="F380" t="s">
        <v>427</v>
      </c>
      <c r="G380" s="5">
        <v>2913880</v>
      </c>
      <c r="H380" t="s">
        <v>37</v>
      </c>
      <c r="I380" t="s">
        <v>37</v>
      </c>
      <c r="J380" t="s">
        <v>37</v>
      </c>
    </row>
    <row r="381" spans="1:10" x14ac:dyDescent="0.35">
      <c r="A381" t="s">
        <v>31</v>
      </c>
      <c r="B381" t="s">
        <v>45</v>
      </c>
      <c r="C381" t="s">
        <v>229</v>
      </c>
      <c r="D381" t="s">
        <v>230</v>
      </c>
      <c r="E381" t="s">
        <v>35</v>
      </c>
      <c r="F381" t="s">
        <v>427</v>
      </c>
      <c r="G381" s="5">
        <v>1360000</v>
      </c>
      <c r="H381" t="s">
        <v>40</v>
      </c>
      <c r="I381" t="s">
        <v>40</v>
      </c>
      <c r="J381" t="s">
        <v>37</v>
      </c>
    </row>
    <row r="382" spans="1:10" hidden="1" x14ac:dyDescent="0.35">
      <c r="A382" t="s">
        <v>31</v>
      </c>
      <c r="B382" t="s">
        <v>45</v>
      </c>
      <c r="C382" t="s">
        <v>84</v>
      </c>
      <c r="D382" t="s">
        <v>85</v>
      </c>
      <c r="E382" t="s">
        <v>35</v>
      </c>
      <c r="F382" t="s">
        <v>427</v>
      </c>
      <c r="G382" s="5">
        <v>116074</v>
      </c>
      <c r="H382" t="s">
        <v>37</v>
      </c>
      <c r="I382" t="s">
        <v>37</v>
      </c>
      <c r="J382" t="s">
        <v>37</v>
      </c>
    </row>
    <row r="383" spans="1:10" hidden="1" x14ac:dyDescent="0.35">
      <c r="A383" t="s">
        <v>31</v>
      </c>
      <c r="B383" t="s">
        <v>45</v>
      </c>
      <c r="C383" t="s">
        <v>84</v>
      </c>
      <c r="D383" t="s">
        <v>85</v>
      </c>
      <c r="E383" t="s">
        <v>35</v>
      </c>
      <c r="F383" t="s">
        <v>427</v>
      </c>
      <c r="G383" s="5">
        <v>16038095</v>
      </c>
      <c r="H383" t="s">
        <v>37</v>
      </c>
      <c r="I383" t="s">
        <v>37</v>
      </c>
      <c r="J383" t="s">
        <v>37</v>
      </c>
    </row>
    <row r="384" spans="1:10" x14ac:dyDescent="0.35">
      <c r="A384" t="s">
        <v>31</v>
      </c>
      <c r="B384" t="s">
        <v>45</v>
      </c>
      <c r="C384" t="s">
        <v>126</v>
      </c>
      <c r="D384" t="s">
        <v>127</v>
      </c>
      <c r="E384" t="s">
        <v>43</v>
      </c>
      <c r="F384" t="s">
        <v>428</v>
      </c>
      <c r="G384" s="5">
        <v>2524900</v>
      </c>
      <c r="H384" t="s">
        <v>40</v>
      </c>
      <c r="I384" t="s">
        <v>37</v>
      </c>
      <c r="J384" t="s">
        <v>37</v>
      </c>
    </row>
    <row r="385" spans="1:10" x14ac:dyDescent="0.35">
      <c r="A385" t="s">
        <v>31</v>
      </c>
      <c r="B385" t="s">
        <v>45</v>
      </c>
      <c r="C385" t="s">
        <v>126</v>
      </c>
      <c r="D385" t="s">
        <v>127</v>
      </c>
      <c r="E385" t="s">
        <v>43</v>
      </c>
      <c r="F385" t="s">
        <v>428</v>
      </c>
      <c r="G385" s="5">
        <v>257400</v>
      </c>
      <c r="H385" t="s">
        <v>40</v>
      </c>
      <c r="I385" t="s">
        <v>37</v>
      </c>
      <c r="J385" t="s">
        <v>37</v>
      </c>
    </row>
    <row r="386" spans="1:10" x14ac:dyDescent="0.35">
      <c r="A386" t="s">
        <v>31</v>
      </c>
      <c r="B386" t="s">
        <v>45</v>
      </c>
      <c r="C386" t="s">
        <v>126</v>
      </c>
      <c r="D386" t="s">
        <v>127</v>
      </c>
      <c r="E386" t="s">
        <v>43</v>
      </c>
      <c r="F386" t="s">
        <v>428</v>
      </c>
      <c r="G386" s="5">
        <v>163300</v>
      </c>
      <c r="H386" t="s">
        <v>40</v>
      </c>
      <c r="I386" t="s">
        <v>37</v>
      </c>
      <c r="J386" t="s">
        <v>37</v>
      </c>
    </row>
    <row r="387" spans="1:10" x14ac:dyDescent="0.35">
      <c r="A387" t="s">
        <v>31</v>
      </c>
      <c r="B387" t="s">
        <v>32</v>
      </c>
      <c r="C387" t="s">
        <v>229</v>
      </c>
      <c r="D387" t="s">
        <v>230</v>
      </c>
      <c r="E387" t="s">
        <v>35</v>
      </c>
      <c r="F387" t="s">
        <v>428</v>
      </c>
      <c r="G387" s="5">
        <v>10842000</v>
      </c>
      <c r="H387" t="s">
        <v>40</v>
      </c>
      <c r="I387" t="s">
        <v>40</v>
      </c>
      <c r="J387" t="s">
        <v>37</v>
      </c>
    </row>
    <row r="388" spans="1:10" x14ac:dyDescent="0.35">
      <c r="A388" t="s">
        <v>31</v>
      </c>
      <c r="B388" t="s">
        <v>32</v>
      </c>
      <c r="C388" t="s">
        <v>229</v>
      </c>
      <c r="D388" t="s">
        <v>230</v>
      </c>
      <c r="E388" t="s">
        <v>35</v>
      </c>
      <c r="F388" t="s">
        <v>428</v>
      </c>
      <c r="G388" s="5">
        <v>960000</v>
      </c>
      <c r="H388" t="s">
        <v>40</v>
      </c>
      <c r="I388" t="s">
        <v>40</v>
      </c>
      <c r="J388" t="s">
        <v>37</v>
      </c>
    </row>
    <row r="389" spans="1:10" x14ac:dyDescent="0.35">
      <c r="A389" t="s">
        <v>31</v>
      </c>
      <c r="B389" t="s">
        <v>32</v>
      </c>
      <c r="C389" t="s">
        <v>229</v>
      </c>
      <c r="D389" t="s">
        <v>230</v>
      </c>
      <c r="E389" t="s">
        <v>35</v>
      </c>
      <c r="F389" t="s">
        <v>428</v>
      </c>
      <c r="G389" s="5">
        <v>4000000</v>
      </c>
      <c r="H389" t="s">
        <v>40</v>
      </c>
      <c r="I389" t="s">
        <v>40</v>
      </c>
      <c r="J389" t="s">
        <v>37</v>
      </c>
    </row>
    <row r="390" spans="1:10" hidden="1" x14ac:dyDescent="0.35">
      <c r="A390" t="s">
        <v>31</v>
      </c>
      <c r="B390" t="s">
        <v>32</v>
      </c>
      <c r="C390" t="s">
        <v>84</v>
      </c>
      <c r="D390" t="s">
        <v>85</v>
      </c>
      <c r="E390" t="s">
        <v>35</v>
      </c>
      <c r="F390" t="s">
        <v>428</v>
      </c>
      <c r="G390" s="5">
        <v>2913880</v>
      </c>
      <c r="H390" t="s">
        <v>37</v>
      </c>
      <c r="I390" t="s">
        <v>37</v>
      </c>
      <c r="J390" t="s">
        <v>37</v>
      </c>
    </row>
    <row r="391" spans="1:10" x14ac:dyDescent="0.35">
      <c r="A391" t="s">
        <v>31</v>
      </c>
      <c r="B391" t="s">
        <v>45</v>
      </c>
      <c r="C391" t="s">
        <v>229</v>
      </c>
      <c r="D391" t="s">
        <v>230</v>
      </c>
      <c r="E391" t="s">
        <v>35</v>
      </c>
      <c r="F391" t="s">
        <v>428</v>
      </c>
      <c r="G391" s="5">
        <v>1360000</v>
      </c>
      <c r="H391" t="s">
        <v>40</v>
      </c>
      <c r="I391" t="s">
        <v>40</v>
      </c>
      <c r="J391" t="s">
        <v>37</v>
      </c>
    </row>
    <row r="392" spans="1:10" hidden="1" x14ac:dyDescent="0.35">
      <c r="A392" t="s">
        <v>31</v>
      </c>
      <c r="B392" t="s">
        <v>45</v>
      </c>
      <c r="C392" t="s">
        <v>84</v>
      </c>
      <c r="D392" t="s">
        <v>85</v>
      </c>
      <c r="E392" t="s">
        <v>35</v>
      </c>
      <c r="F392" t="s">
        <v>428</v>
      </c>
      <c r="G392" s="5">
        <v>116074</v>
      </c>
      <c r="H392" t="s">
        <v>37</v>
      </c>
      <c r="I392" t="s">
        <v>37</v>
      </c>
      <c r="J392" t="s">
        <v>37</v>
      </c>
    </row>
    <row r="393" spans="1:10" hidden="1" x14ac:dyDescent="0.35">
      <c r="A393" t="s">
        <v>31</v>
      </c>
      <c r="B393" t="s">
        <v>45</v>
      </c>
      <c r="C393" t="s">
        <v>84</v>
      </c>
      <c r="D393" t="s">
        <v>85</v>
      </c>
      <c r="E393" t="s">
        <v>35</v>
      </c>
      <c r="F393" t="s">
        <v>428</v>
      </c>
      <c r="G393" s="5">
        <v>16038095</v>
      </c>
      <c r="H393" t="s">
        <v>37</v>
      </c>
      <c r="I393" t="s">
        <v>37</v>
      </c>
      <c r="J393" t="s">
        <v>37</v>
      </c>
    </row>
    <row r="394" spans="1:10" hidden="1" x14ac:dyDescent="0.35">
      <c r="A394" t="s">
        <v>31</v>
      </c>
      <c r="B394" t="s">
        <v>45</v>
      </c>
      <c r="C394" t="s">
        <v>429</v>
      </c>
      <c r="D394" t="s">
        <v>430</v>
      </c>
      <c r="E394" t="s">
        <v>175</v>
      </c>
      <c r="F394" t="s">
        <v>428</v>
      </c>
      <c r="G394" s="5">
        <v>900000</v>
      </c>
      <c r="H394" t="s">
        <v>37</v>
      </c>
      <c r="I394" t="s">
        <v>37</v>
      </c>
      <c r="J394" t="s">
        <v>40</v>
      </c>
    </row>
    <row r="395" spans="1:10" x14ac:dyDescent="0.35">
      <c r="A395" t="s">
        <v>31</v>
      </c>
      <c r="B395" t="s">
        <v>45</v>
      </c>
      <c r="C395" t="s">
        <v>431</v>
      </c>
      <c r="D395" t="s">
        <v>432</v>
      </c>
      <c r="E395" t="s">
        <v>48</v>
      </c>
      <c r="F395" t="s">
        <v>433</v>
      </c>
      <c r="G395" s="5">
        <v>7621393</v>
      </c>
      <c r="H395" t="s">
        <v>40</v>
      </c>
      <c r="I395" t="s">
        <v>37</v>
      </c>
      <c r="J395" t="s">
        <v>37</v>
      </c>
    </row>
    <row r="396" spans="1:10" hidden="1" x14ac:dyDescent="0.35">
      <c r="A396" t="s">
        <v>31</v>
      </c>
      <c r="B396" t="s">
        <v>45</v>
      </c>
      <c r="C396" t="s">
        <v>434</v>
      </c>
      <c r="D396" t="s">
        <v>435</v>
      </c>
      <c r="E396" t="s">
        <v>48</v>
      </c>
      <c r="F396" t="s">
        <v>433</v>
      </c>
      <c r="G396" s="5">
        <v>7621393</v>
      </c>
      <c r="H396" t="s">
        <v>37</v>
      </c>
      <c r="I396" t="s">
        <v>37</v>
      </c>
      <c r="J396" t="s">
        <v>37</v>
      </c>
    </row>
    <row r="397" spans="1:10" x14ac:dyDescent="0.35">
      <c r="A397" t="s">
        <v>31</v>
      </c>
      <c r="B397" t="s">
        <v>32</v>
      </c>
      <c r="C397" t="s">
        <v>91</v>
      </c>
      <c r="D397" t="s">
        <v>92</v>
      </c>
      <c r="E397" t="s">
        <v>43</v>
      </c>
      <c r="F397" t="s">
        <v>436</v>
      </c>
      <c r="G397" s="5">
        <v>766440</v>
      </c>
      <c r="H397" t="s">
        <v>40</v>
      </c>
      <c r="I397" t="s">
        <v>40</v>
      </c>
      <c r="J397" t="s">
        <v>37</v>
      </c>
    </row>
    <row r="398" spans="1:10" x14ac:dyDescent="0.35">
      <c r="A398" t="s">
        <v>31</v>
      </c>
      <c r="B398" t="s">
        <v>45</v>
      </c>
      <c r="C398" t="s">
        <v>437</v>
      </c>
      <c r="D398" t="s">
        <v>438</v>
      </c>
      <c r="E398" t="s">
        <v>43</v>
      </c>
      <c r="F398" t="s">
        <v>439</v>
      </c>
      <c r="G398" s="5">
        <v>127031</v>
      </c>
      <c r="H398" t="s">
        <v>40</v>
      </c>
      <c r="I398" t="s">
        <v>37</v>
      </c>
      <c r="J398" t="s">
        <v>37</v>
      </c>
    </row>
    <row r="399" spans="1:10" x14ac:dyDescent="0.35">
      <c r="A399" t="s">
        <v>31</v>
      </c>
      <c r="B399" t="s">
        <v>32</v>
      </c>
      <c r="C399" t="s">
        <v>46</v>
      </c>
      <c r="D399" t="s">
        <v>47</v>
      </c>
      <c r="E399" t="s">
        <v>48</v>
      </c>
      <c r="F399" t="s">
        <v>439</v>
      </c>
      <c r="G399" s="5">
        <v>6875000</v>
      </c>
      <c r="H399" t="s">
        <v>40</v>
      </c>
      <c r="I399" t="s">
        <v>40</v>
      </c>
      <c r="J399" t="s">
        <v>40</v>
      </c>
    </row>
    <row r="400" spans="1:10" x14ac:dyDescent="0.35">
      <c r="A400" t="s">
        <v>31</v>
      </c>
      <c r="B400" t="s">
        <v>45</v>
      </c>
      <c r="C400" t="s">
        <v>46</v>
      </c>
      <c r="D400" t="s">
        <v>47</v>
      </c>
      <c r="E400" t="s">
        <v>48</v>
      </c>
      <c r="F400" t="s">
        <v>439</v>
      </c>
      <c r="G400" s="5">
        <v>9696318</v>
      </c>
      <c r="H400" t="s">
        <v>40</v>
      </c>
      <c r="I400" t="s">
        <v>40</v>
      </c>
      <c r="J400" t="s">
        <v>40</v>
      </c>
    </row>
    <row r="401" spans="1:10" x14ac:dyDescent="0.35">
      <c r="A401" t="s">
        <v>31</v>
      </c>
      <c r="B401" t="s">
        <v>45</v>
      </c>
      <c r="C401" t="s">
        <v>46</v>
      </c>
      <c r="D401" t="s">
        <v>47</v>
      </c>
      <c r="E401" t="s">
        <v>48</v>
      </c>
      <c r="F401" t="s">
        <v>439</v>
      </c>
      <c r="G401" s="5">
        <v>34631474</v>
      </c>
      <c r="H401" t="s">
        <v>40</v>
      </c>
      <c r="I401" t="s">
        <v>40</v>
      </c>
      <c r="J401" t="s">
        <v>40</v>
      </c>
    </row>
    <row r="402" spans="1:10" x14ac:dyDescent="0.35">
      <c r="A402" t="s">
        <v>31</v>
      </c>
      <c r="B402" t="s">
        <v>45</v>
      </c>
      <c r="C402" t="s">
        <v>46</v>
      </c>
      <c r="D402" t="s">
        <v>47</v>
      </c>
      <c r="E402" t="s">
        <v>48</v>
      </c>
      <c r="F402" t="s">
        <v>439</v>
      </c>
      <c r="G402" s="5">
        <v>16253</v>
      </c>
      <c r="H402" t="s">
        <v>40</v>
      </c>
      <c r="I402" t="s">
        <v>40</v>
      </c>
      <c r="J402" t="s">
        <v>40</v>
      </c>
    </row>
    <row r="403" spans="1:10" x14ac:dyDescent="0.35">
      <c r="A403" t="s">
        <v>31</v>
      </c>
      <c r="B403" t="s">
        <v>45</v>
      </c>
      <c r="C403" t="s">
        <v>46</v>
      </c>
      <c r="D403" t="s">
        <v>47</v>
      </c>
      <c r="E403" t="s">
        <v>48</v>
      </c>
      <c r="F403" t="s">
        <v>439</v>
      </c>
      <c r="G403" s="5">
        <v>86904481</v>
      </c>
      <c r="H403" t="s">
        <v>40</v>
      </c>
      <c r="I403" t="s">
        <v>40</v>
      </c>
      <c r="J403" t="s">
        <v>40</v>
      </c>
    </row>
    <row r="404" spans="1:10" hidden="1" x14ac:dyDescent="0.35">
      <c r="A404" t="s">
        <v>31</v>
      </c>
      <c r="B404" t="s">
        <v>45</v>
      </c>
      <c r="C404" t="s">
        <v>440</v>
      </c>
      <c r="D404" t="s">
        <v>441</v>
      </c>
      <c r="E404" t="s">
        <v>48</v>
      </c>
      <c r="F404" t="s">
        <v>439</v>
      </c>
      <c r="G404" s="5">
        <v>88225</v>
      </c>
      <c r="H404" t="s">
        <v>37</v>
      </c>
      <c r="I404" t="s">
        <v>37</v>
      </c>
      <c r="J404" t="s">
        <v>37</v>
      </c>
    </row>
    <row r="405" spans="1:10" x14ac:dyDescent="0.35">
      <c r="A405" t="s">
        <v>31</v>
      </c>
      <c r="B405" t="s">
        <v>32</v>
      </c>
      <c r="C405" t="s">
        <v>49</v>
      </c>
      <c r="D405" t="s">
        <v>50</v>
      </c>
      <c r="E405" t="s">
        <v>51</v>
      </c>
      <c r="F405" t="s">
        <v>439</v>
      </c>
      <c r="G405" s="5">
        <v>2956000</v>
      </c>
      <c r="H405" t="s">
        <v>40</v>
      </c>
      <c r="I405" t="s">
        <v>40</v>
      </c>
      <c r="J405" t="s">
        <v>37</v>
      </c>
    </row>
    <row r="406" spans="1:10" x14ac:dyDescent="0.35">
      <c r="A406" t="s">
        <v>31</v>
      </c>
      <c r="B406" t="s">
        <v>45</v>
      </c>
      <c r="C406" t="s">
        <v>49</v>
      </c>
      <c r="D406" t="s">
        <v>50</v>
      </c>
      <c r="E406" t="s">
        <v>51</v>
      </c>
      <c r="F406" t="s">
        <v>439</v>
      </c>
      <c r="G406" s="5">
        <v>152000</v>
      </c>
      <c r="H406" t="s">
        <v>40</v>
      </c>
      <c r="I406" t="s">
        <v>40</v>
      </c>
      <c r="J406" t="s">
        <v>37</v>
      </c>
    </row>
    <row r="407" spans="1:10" x14ac:dyDescent="0.35">
      <c r="A407" t="s">
        <v>31</v>
      </c>
      <c r="B407" t="s">
        <v>45</v>
      </c>
      <c r="C407" t="s">
        <v>49</v>
      </c>
      <c r="D407" t="s">
        <v>50</v>
      </c>
      <c r="E407" t="s">
        <v>51</v>
      </c>
      <c r="F407" t="s">
        <v>439</v>
      </c>
      <c r="G407" s="5">
        <v>2956000</v>
      </c>
      <c r="H407" t="s">
        <v>40</v>
      </c>
      <c r="I407" t="s">
        <v>40</v>
      </c>
      <c r="J407" t="s">
        <v>37</v>
      </c>
    </row>
    <row r="408" spans="1:10" x14ac:dyDescent="0.35">
      <c r="A408" t="s">
        <v>31</v>
      </c>
      <c r="B408" t="s">
        <v>45</v>
      </c>
      <c r="C408" t="s">
        <v>442</v>
      </c>
      <c r="D408" t="s">
        <v>443</v>
      </c>
      <c r="E408" t="s">
        <v>90</v>
      </c>
      <c r="F408" t="s">
        <v>439</v>
      </c>
      <c r="G408" s="5">
        <v>99000</v>
      </c>
      <c r="H408" t="s">
        <v>40</v>
      </c>
      <c r="I408" t="s">
        <v>40</v>
      </c>
      <c r="J408" t="s">
        <v>37</v>
      </c>
    </row>
    <row r="409" spans="1:10" x14ac:dyDescent="0.35">
      <c r="A409" t="s">
        <v>31</v>
      </c>
      <c r="B409" t="s">
        <v>45</v>
      </c>
      <c r="C409" t="s">
        <v>126</v>
      </c>
      <c r="D409" t="s">
        <v>127</v>
      </c>
      <c r="E409" t="s">
        <v>43</v>
      </c>
      <c r="F409" t="s">
        <v>444</v>
      </c>
      <c r="G409" s="5">
        <v>2524900</v>
      </c>
      <c r="H409" t="s">
        <v>40</v>
      </c>
      <c r="I409" t="s">
        <v>37</v>
      </c>
      <c r="J409" t="s">
        <v>37</v>
      </c>
    </row>
    <row r="410" spans="1:10" x14ac:dyDescent="0.35">
      <c r="A410" t="s">
        <v>31</v>
      </c>
      <c r="B410" t="s">
        <v>45</v>
      </c>
      <c r="C410" t="s">
        <v>126</v>
      </c>
      <c r="D410" t="s">
        <v>127</v>
      </c>
      <c r="E410" t="s">
        <v>43</v>
      </c>
      <c r="F410" t="s">
        <v>444</v>
      </c>
      <c r="G410" s="5">
        <v>257400</v>
      </c>
      <c r="H410" t="s">
        <v>40</v>
      </c>
      <c r="I410" t="s">
        <v>37</v>
      </c>
      <c r="J410" t="s">
        <v>37</v>
      </c>
    </row>
    <row r="411" spans="1:10" x14ac:dyDescent="0.35">
      <c r="A411" t="s">
        <v>31</v>
      </c>
      <c r="B411" t="s">
        <v>45</v>
      </c>
      <c r="C411" t="s">
        <v>126</v>
      </c>
      <c r="D411" t="s">
        <v>127</v>
      </c>
      <c r="E411" t="s">
        <v>43</v>
      </c>
      <c r="F411" t="s">
        <v>444</v>
      </c>
      <c r="G411" s="5">
        <v>163300</v>
      </c>
      <c r="H411" t="s">
        <v>40</v>
      </c>
      <c r="I411" t="s">
        <v>37</v>
      </c>
      <c r="J411" t="s">
        <v>37</v>
      </c>
    </row>
    <row r="412" spans="1:10" x14ac:dyDescent="0.35">
      <c r="A412" t="s">
        <v>31</v>
      </c>
      <c r="B412" t="s">
        <v>32</v>
      </c>
      <c r="C412" t="s">
        <v>445</v>
      </c>
      <c r="D412" t="s">
        <v>446</v>
      </c>
      <c r="E412" t="s">
        <v>90</v>
      </c>
      <c r="F412" t="s">
        <v>444</v>
      </c>
      <c r="G412" s="5">
        <v>3784050</v>
      </c>
      <c r="H412" t="s">
        <v>40</v>
      </c>
      <c r="I412" t="s">
        <v>37</v>
      </c>
      <c r="J412" t="s">
        <v>40</v>
      </c>
    </row>
    <row r="413" spans="1:10" x14ac:dyDescent="0.35">
      <c r="A413" t="s">
        <v>31</v>
      </c>
      <c r="B413" t="s">
        <v>45</v>
      </c>
      <c r="C413" t="s">
        <v>445</v>
      </c>
      <c r="D413" t="s">
        <v>446</v>
      </c>
      <c r="E413" t="s">
        <v>90</v>
      </c>
      <c r="F413" t="s">
        <v>444</v>
      </c>
      <c r="G413" s="5">
        <v>159373</v>
      </c>
      <c r="H413" t="s">
        <v>40</v>
      </c>
      <c r="I413" t="s">
        <v>37</v>
      </c>
      <c r="J413" t="s">
        <v>40</v>
      </c>
    </row>
    <row r="414" spans="1:10" x14ac:dyDescent="0.35">
      <c r="A414" t="s">
        <v>31</v>
      </c>
      <c r="B414" t="s">
        <v>32</v>
      </c>
      <c r="C414" t="s">
        <v>447</v>
      </c>
      <c r="D414" t="s">
        <v>448</v>
      </c>
      <c r="E414" t="s">
        <v>43</v>
      </c>
      <c r="F414" t="s">
        <v>449</v>
      </c>
      <c r="G414" s="5">
        <v>124800</v>
      </c>
      <c r="H414" t="s">
        <v>40</v>
      </c>
      <c r="I414" t="s">
        <v>37</v>
      </c>
      <c r="J414" t="s">
        <v>37</v>
      </c>
    </row>
    <row r="415" spans="1:10" x14ac:dyDescent="0.35">
      <c r="A415" t="s">
        <v>31</v>
      </c>
      <c r="B415" t="s">
        <v>32</v>
      </c>
      <c r="C415" t="s">
        <v>450</v>
      </c>
      <c r="D415" t="s">
        <v>451</v>
      </c>
      <c r="E415" t="s">
        <v>43</v>
      </c>
      <c r="F415" t="s">
        <v>452</v>
      </c>
      <c r="G415" s="5">
        <v>1120000</v>
      </c>
      <c r="H415" t="s">
        <v>40</v>
      </c>
      <c r="I415" t="s">
        <v>40</v>
      </c>
      <c r="J415" t="s">
        <v>37</v>
      </c>
    </row>
    <row r="416" spans="1:10" x14ac:dyDescent="0.35">
      <c r="A416" t="s">
        <v>31</v>
      </c>
      <c r="B416" t="s">
        <v>45</v>
      </c>
      <c r="C416" t="s">
        <v>453</v>
      </c>
      <c r="D416" t="s">
        <v>454</v>
      </c>
      <c r="E416" t="s">
        <v>43</v>
      </c>
      <c r="F416" t="s">
        <v>452</v>
      </c>
      <c r="G416" s="5">
        <v>516000</v>
      </c>
      <c r="H416" t="s">
        <v>40</v>
      </c>
      <c r="I416" t="s">
        <v>37</v>
      </c>
      <c r="J416" t="s">
        <v>37</v>
      </c>
    </row>
    <row r="417" spans="1:10" hidden="1" x14ac:dyDescent="0.35">
      <c r="A417" t="s">
        <v>31</v>
      </c>
      <c r="B417" t="s">
        <v>32</v>
      </c>
      <c r="C417" t="s">
        <v>200</v>
      </c>
      <c r="D417" t="s">
        <v>201</v>
      </c>
      <c r="E417" t="s">
        <v>35</v>
      </c>
      <c r="F417" t="s">
        <v>452</v>
      </c>
      <c r="G417" s="5">
        <v>6560000</v>
      </c>
      <c r="H417" t="s">
        <v>37</v>
      </c>
      <c r="I417" t="s">
        <v>37</v>
      </c>
      <c r="J417" t="s">
        <v>37</v>
      </c>
    </row>
    <row r="418" spans="1:10" hidden="1" x14ac:dyDescent="0.35">
      <c r="A418" t="s">
        <v>31</v>
      </c>
      <c r="B418" t="s">
        <v>32</v>
      </c>
      <c r="C418" t="s">
        <v>200</v>
      </c>
      <c r="D418" t="s">
        <v>201</v>
      </c>
      <c r="E418" t="s">
        <v>35</v>
      </c>
      <c r="F418" t="s">
        <v>452</v>
      </c>
      <c r="G418" s="5">
        <v>1040000</v>
      </c>
      <c r="H418" t="s">
        <v>37</v>
      </c>
      <c r="I418" t="s">
        <v>37</v>
      </c>
      <c r="J418" t="s">
        <v>37</v>
      </c>
    </row>
    <row r="419" spans="1:10" x14ac:dyDescent="0.35">
      <c r="A419" t="s">
        <v>31</v>
      </c>
      <c r="B419" t="s">
        <v>32</v>
      </c>
      <c r="C419" t="s">
        <v>281</v>
      </c>
      <c r="D419" t="s">
        <v>282</v>
      </c>
      <c r="E419" t="s">
        <v>35</v>
      </c>
      <c r="F419" t="s">
        <v>452</v>
      </c>
      <c r="G419" s="5">
        <v>2448000</v>
      </c>
      <c r="H419" t="s">
        <v>40</v>
      </c>
      <c r="I419" t="s">
        <v>40</v>
      </c>
      <c r="J419" t="s">
        <v>37</v>
      </c>
    </row>
    <row r="420" spans="1:10" x14ac:dyDescent="0.35">
      <c r="A420" t="s">
        <v>31</v>
      </c>
      <c r="B420" t="s">
        <v>45</v>
      </c>
      <c r="C420" t="s">
        <v>281</v>
      </c>
      <c r="D420" t="s">
        <v>282</v>
      </c>
      <c r="E420" t="s">
        <v>35</v>
      </c>
      <c r="F420" t="s">
        <v>452</v>
      </c>
      <c r="G420" s="5">
        <v>200000</v>
      </c>
      <c r="H420" t="s">
        <v>40</v>
      </c>
      <c r="I420" t="s">
        <v>40</v>
      </c>
      <c r="J420" t="s">
        <v>37</v>
      </c>
    </row>
    <row r="421" spans="1:10" x14ac:dyDescent="0.35">
      <c r="A421" t="s">
        <v>31</v>
      </c>
      <c r="B421" t="s">
        <v>45</v>
      </c>
      <c r="C421" t="s">
        <v>455</v>
      </c>
      <c r="D421" t="s">
        <v>456</v>
      </c>
      <c r="E421" t="s">
        <v>35</v>
      </c>
      <c r="F421" t="s">
        <v>452</v>
      </c>
      <c r="G421" s="5">
        <v>173600</v>
      </c>
      <c r="H421" t="s">
        <v>40</v>
      </c>
      <c r="I421" t="s">
        <v>40</v>
      </c>
      <c r="J421" t="s">
        <v>40</v>
      </c>
    </row>
    <row r="422" spans="1:10" x14ac:dyDescent="0.35">
      <c r="A422" t="s">
        <v>31</v>
      </c>
      <c r="B422" t="s">
        <v>45</v>
      </c>
      <c r="C422" t="s">
        <v>455</v>
      </c>
      <c r="D422" t="s">
        <v>456</v>
      </c>
      <c r="E422" t="s">
        <v>35</v>
      </c>
      <c r="F422" t="s">
        <v>452</v>
      </c>
      <c r="G422" s="5">
        <v>1560000</v>
      </c>
      <c r="H422" t="s">
        <v>40</v>
      </c>
      <c r="I422" t="s">
        <v>40</v>
      </c>
      <c r="J422" t="s">
        <v>40</v>
      </c>
    </row>
    <row r="423" spans="1:10" x14ac:dyDescent="0.35">
      <c r="A423" t="s">
        <v>31</v>
      </c>
      <c r="B423" t="s">
        <v>32</v>
      </c>
      <c r="C423" t="s">
        <v>457</v>
      </c>
      <c r="D423" t="s">
        <v>458</v>
      </c>
      <c r="E423" t="s">
        <v>90</v>
      </c>
      <c r="F423" t="s">
        <v>452</v>
      </c>
      <c r="G423" s="5">
        <v>2947707</v>
      </c>
      <c r="H423" t="s">
        <v>40</v>
      </c>
      <c r="I423" t="s">
        <v>40</v>
      </c>
      <c r="J423" t="s">
        <v>40</v>
      </c>
    </row>
    <row r="424" spans="1:10" x14ac:dyDescent="0.35">
      <c r="A424" t="s">
        <v>31</v>
      </c>
      <c r="B424" t="s">
        <v>32</v>
      </c>
      <c r="C424" t="s">
        <v>459</v>
      </c>
      <c r="D424" t="s">
        <v>460</v>
      </c>
      <c r="E424" t="s">
        <v>90</v>
      </c>
      <c r="F424" t="s">
        <v>452</v>
      </c>
      <c r="G424" s="5">
        <v>4526999</v>
      </c>
      <c r="H424" t="s">
        <v>40</v>
      </c>
      <c r="I424" t="s">
        <v>40</v>
      </c>
      <c r="J424" t="s">
        <v>40</v>
      </c>
    </row>
    <row r="425" spans="1:10" x14ac:dyDescent="0.35">
      <c r="A425" t="s">
        <v>31</v>
      </c>
      <c r="B425" t="s">
        <v>32</v>
      </c>
      <c r="C425" t="s">
        <v>459</v>
      </c>
      <c r="D425" t="s">
        <v>460</v>
      </c>
      <c r="E425" t="s">
        <v>90</v>
      </c>
      <c r="F425" t="s">
        <v>452</v>
      </c>
      <c r="G425" s="5">
        <v>473001</v>
      </c>
      <c r="H425" t="s">
        <v>40</v>
      </c>
      <c r="I425" t="s">
        <v>40</v>
      </c>
      <c r="J425" t="s">
        <v>40</v>
      </c>
    </row>
    <row r="426" spans="1:10" x14ac:dyDescent="0.35">
      <c r="A426" t="s">
        <v>31</v>
      </c>
      <c r="B426" t="s">
        <v>32</v>
      </c>
      <c r="C426" t="s">
        <v>461</v>
      </c>
      <c r="D426" t="s">
        <v>462</v>
      </c>
      <c r="E426" t="s">
        <v>90</v>
      </c>
      <c r="F426" t="s">
        <v>452</v>
      </c>
      <c r="G426" s="5">
        <v>5000000</v>
      </c>
      <c r="H426" t="s">
        <v>40</v>
      </c>
      <c r="I426" t="s">
        <v>40</v>
      </c>
      <c r="J426" t="s">
        <v>40</v>
      </c>
    </row>
    <row r="427" spans="1:10" hidden="1" x14ac:dyDescent="0.35">
      <c r="A427" t="s">
        <v>31</v>
      </c>
      <c r="B427" t="s">
        <v>45</v>
      </c>
      <c r="C427" t="s">
        <v>463</v>
      </c>
      <c r="D427" t="s">
        <v>464</v>
      </c>
      <c r="E427" t="s">
        <v>90</v>
      </c>
      <c r="F427" t="s">
        <v>452</v>
      </c>
      <c r="G427" s="5">
        <v>1200000</v>
      </c>
      <c r="H427" t="s">
        <v>37</v>
      </c>
      <c r="I427" t="s">
        <v>37</v>
      </c>
      <c r="J427" t="s">
        <v>37</v>
      </c>
    </row>
    <row r="428" spans="1:10" hidden="1" x14ac:dyDescent="0.35">
      <c r="A428" t="s">
        <v>31</v>
      </c>
      <c r="B428" t="s">
        <v>45</v>
      </c>
      <c r="C428" t="s">
        <v>463</v>
      </c>
      <c r="D428" t="s">
        <v>464</v>
      </c>
      <c r="E428" t="s">
        <v>90</v>
      </c>
      <c r="F428" t="s">
        <v>452</v>
      </c>
      <c r="G428" s="5">
        <v>625000</v>
      </c>
      <c r="H428" t="s">
        <v>37</v>
      </c>
      <c r="I428" t="s">
        <v>37</v>
      </c>
      <c r="J428" t="s">
        <v>37</v>
      </c>
    </row>
    <row r="429" spans="1:10" x14ac:dyDescent="0.35">
      <c r="A429" t="s">
        <v>31</v>
      </c>
      <c r="B429" t="s">
        <v>45</v>
      </c>
      <c r="C429" t="s">
        <v>465</v>
      </c>
      <c r="D429" t="s">
        <v>466</v>
      </c>
      <c r="E429" t="s">
        <v>90</v>
      </c>
      <c r="F429" t="s">
        <v>452</v>
      </c>
      <c r="G429" s="5">
        <v>52296</v>
      </c>
      <c r="H429" t="s">
        <v>40</v>
      </c>
      <c r="I429" t="s">
        <v>40</v>
      </c>
      <c r="J429" t="s">
        <v>40</v>
      </c>
    </row>
    <row r="430" spans="1:10" x14ac:dyDescent="0.35">
      <c r="A430" t="s">
        <v>31</v>
      </c>
      <c r="B430" t="s">
        <v>45</v>
      </c>
      <c r="C430" t="s">
        <v>467</v>
      </c>
      <c r="D430" t="s">
        <v>468</v>
      </c>
      <c r="E430" t="s">
        <v>90</v>
      </c>
      <c r="F430" t="s">
        <v>452</v>
      </c>
      <c r="G430" s="5">
        <v>3200000</v>
      </c>
      <c r="H430" t="s">
        <v>40</v>
      </c>
      <c r="I430" t="s">
        <v>40</v>
      </c>
      <c r="J430" t="s">
        <v>40</v>
      </c>
    </row>
    <row r="431" spans="1:10" x14ac:dyDescent="0.35">
      <c r="A431" t="s">
        <v>31</v>
      </c>
      <c r="B431" t="s">
        <v>45</v>
      </c>
      <c r="C431" t="s">
        <v>126</v>
      </c>
      <c r="D431" t="s">
        <v>127</v>
      </c>
      <c r="E431" t="s">
        <v>43</v>
      </c>
      <c r="F431" t="s">
        <v>469</v>
      </c>
      <c r="G431" s="5">
        <v>2524900</v>
      </c>
      <c r="H431" t="s">
        <v>40</v>
      </c>
      <c r="I431" t="s">
        <v>37</v>
      </c>
      <c r="J431" t="s">
        <v>37</v>
      </c>
    </row>
    <row r="432" spans="1:10" x14ac:dyDescent="0.35">
      <c r="A432" t="s">
        <v>31</v>
      </c>
      <c r="B432" t="s">
        <v>45</v>
      </c>
      <c r="C432" t="s">
        <v>126</v>
      </c>
      <c r="D432" t="s">
        <v>127</v>
      </c>
      <c r="E432" t="s">
        <v>43</v>
      </c>
      <c r="F432" t="s">
        <v>469</v>
      </c>
      <c r="G432" s="5">
        <v>257400</v>
      </c>
      <c r="H432" t="s">
        <v>40</v>
      </c>
      <c r="I432" t="s">
        <v>37</v>
      </c>
      <c r="J432" t="s">
        <v>37</v>
      </c>
    </row>
    <row r="433" spans="1:10" x14ac:dyDescent="0.35">
      <c r="A433" t="s">
        <v>31</v>
      </c>
      <c r="B433" t="s">
        <v>45</v>
      </c>
      <c r="C433" t="s">
        <v>126</v>
      </c>
      <c r="D433" t="s">
        <v>127</v>
      </c>
      <c r="E433" t="s">
        <v>43</v>
      </c>
      <c r="F433" t="s">
        <v>469</v>
      </c>
      <c r="G433" s="5">
        <v>163300</v>
      </c>
      <c r="H433" t="s">
        <v>40</v>
      </c>
      <c r="I433" t="s">
        <v>37</v>
      </c>
      <c r="J433" t="s">
        <v>37</v>
      </c>
    </row>
    <row r="434" spans="1:10" hidden="1" x14ac:dyDescent="0.35">
      <c r="A434" t="s">
        <v>31</v>
      </c>
      <c r="B434" t="s">
        <v>32</v>
      </c>
      <c r="C434" t="s">
        <v>470</v>
      </c>
      <c r="D434" t="s">
        <v>471</v>
      </c>
      <c r="E434" t="s">
        <v>116</v>
      </c>
      <c r="F434" t="s">
        <v>469</v>
      </c>
      <c r="G434" s="5">
        <v>1200000</v>
      </c>
      <c r="H434" t="s">
        <v>37</v>
      </c>
      <c r="I434" t="s">
        <v>37</v>
      </c>
      <c r="J434" t="s">
        <v>37</v>
      </c>
    </row>
    <row r="435" spans="1:10" hidden="1" x14ac:dyDescent="0.35">
      <c r="A435" t="s">
        <v>31</v>
      </c>
      <c r="B435" t="s">
        <v>45</v>
      </c>
      <c r="C435" t="s">
        <v>472</v>
      </c>
      <c r="D435" t="s">
        <v>473</v>
      </c>
      <c r="E435" t="s">
        <v>51</v>
      </c>
      <c r="F435" t="s">
        <v>469</v>
      </c>
      <c r="G435" s="5">
        <v>2592000</v>
      </c>
      <c r="H435" t="s">
        <v>37</v>
      </c>
      <c r="I435" t="s">
        <v>37</v>
      </c>
      <c r="J435" t="s">
        <v>37</v>
      </c>
    </row>
    <row r="436" spans="1:10" hidden="1" x14ac:dyDescent="0.35">
      <c r="A436" t="s">
        <v>31</v>
      </c>
      <c r="B436" t="s">
        <v>45</v>
      </c>
      <c r="C436" t="s">
        <v>472</v>
      </c>
      <c r="D436" t="s">
        <v>473</v>
      </c>
      <c r="E436" t="s">
        <v>51</v>
      </c>
      <c r="F436" t="s">
        <v>469</v>
      </c>
      <c r="G436" s="5">
        <v>224000</v>
      </c>
      <c r="H436" t="s">
        <v>37</v>
      </c>
      <c r="I436" t="s">
        <v>37</v>
      </c>
      <c r="J436" t="s">
        <v>37</v>
      </c>
    </row>
    <row r="437" spans="1:10" x14ac:dyDescent="0.35">
      <c r="A437" t="s">
        <v>31</v>
      </c>
      <c r="B437" t="s">
        <v>32</v>
      </c>
      <c r="C437" t="s">
        <v>474</v>
      </c>
      <c r="D437" t="s">
        <v>475</v>
      </c>
      <c r="E437" t="s">
        <v>43</v>
      </c>
      <c r="F437" t="s">
        <v>476</v>
      </c>
      <c r="G437" s="5">
        <v>760000</v>
      </c>
      <c r="H437" t="s">
        <v>40</v>
      </c>
      <c r="I437" t="s">
        <v>37</v>
      </c>
      <c r="J437" t="s">
        <v>40</v>
      </c>
    </row>
    <row r="438" spans="1:10" x14ac:dyDescent="0.35">
      <c r="A438" t="s">
        <v>31</v>
      </c>
      <c r="B438" t="s">
        <v>32</v>
      </c>
      <c r="C438" t="s">
        <v>474</v>
      </c>
      <c r="D438" t="s">
        <v>475</v>
      </c>
      <c r="E438" t="s">
        <v>43</v>
      </c>
      <c r="F438" t="s">
        <v>476</v>
      </c>
      <c r="G438" s="5">
        <v>840000</v>
      </c>
      <c r="H438" t="s">
        <v>40</v>
      </c>
      <c r="I438" t="s">
        <v>37</v>
      </c>
      <c r="J438" t="s">
        <v>40</v>
      </c>
    </row>
    <row r="439" spans="1:10" x14ac:dyDescent="0.35">
      <c r="A439" t="s">
        <v>31</v>
      </c>
      <c r="B439" t="s">
        <v>45</v>
      </c>
      <c r="C439" t="s">
        <v>474</v>
      </c>
      <c r="D439" t="s">
        <v>475</v>
      </c>
      <c r="E439" t="s">
        <v>43</v>
      </c>
      <c r="F439" t="s">
        <v>476</v>
      </c>
      <c r="G439" s="5">
        <v>1600000</v>
      </c>
      <c r="H439" t="s">
        <v>40</v>
      </c>
      <c r="I439" t="s">
        <v>37</v>
      </c>
      <c r="J439" t="s">
        <v>40</v>
      </c>
    </row>
    <row r="440" spans="1:10" hidden="1" x14ac:dyDescent="0.35">
      <c r="A440" t="s">
        <v>31</v>
      </c>
      <c r="B440" t="s">
        <v>45</v>
      </c>
      <c r="C440" t="s">
        <v>158</v>
      </c>
      <c r="D440" t="s">
        <v>159</v>
      </c>
      <c r="E440" t="s">
        <v>160</v>
      </c>
      <c r="F440" t="s">
        <v>476</v>
      </c>
      <c r="G440" s="5">
        <v>145648</v>
      </c>
      <c r="H440" t="s">
        <v>37</v>
      </c>
      <c r="I440" t="s">
        <v>37</v>
      </c>
      <c r="J440" t="s">
        <v>40</v>
      </c>
    </row>
    <row r="441" spans="1:10" hidden="1" x14ac:dyDescent="0.35">
      <c r="A441" t="s">
        <v>31</v>
      </c>
      <c r="B441" t="s">
        <v>45</v>
      </c>
      <c r="C441" t="s">
        <v>158</v>
      </c>
      <c r="D441" t="s">
        <v>159</v>
      </c>
      <c r="E441" t="s">
        <v>160</v>
      </c>
      <c r="F441" t="s">
        <v>476</v>
      </c>
      <c r="G441" s="5">
        <v>1956539</v>
      </c>
      <c r="H441" t="s">
        <v>37</v>
      </c>
      <c r="I441" t="s">
        <v>37</v>
      </c>
      <c r="J441" t="s">
        <v>40</v>
      </c>
    </row>
    <row r="442" spans="1:10" x14ac:dyDescent="0.35">
      <c r="A442" t="s">
        <v>31</v>
      </c>
      <c r="B442" t="s">
        <v>32</v>
      </c>
      <c r="C442" t="s">
        <v>477</v>
      </c>
      <c r="D442" t="s">
        <v>478</v>
      </c>
      <c r="E442" t="s">
        <v>35</v>
      </c>
      <c r="F442" t="s">
        <v>476</v>
      </c>
      <c r="G442" s="5">
        <v>1040000</v>
      </c>
      <c r="H442" t="s">
        <v>40</v>
      </c>
      <c r="I442" t="s">
        <v>40</v>
      </c>
      <c r="J442" t="s">
        <v>37</v>
      </c>
    </row>
    <row r="443" spans="1:10" hidden="1" x14ac:dyDescent="0.35">
      <c r="A443" t="s">
        <v>31</v>
      </c>
      <c r="B443" t="s">
        <v>32</v>
      </c>
      <c r="C443" t="s">
        <v>479</v>
      </c>
      <c r="D443" t="s">
        <v>480</v>
      </c>
      <c r="E443" t="s">
        <v>90</v>
      </c>
      <c r="F443" t="s">
        <v>476</v>
      </c>
      <c r="G443" s="5">
        <v>2624606</v>
      </c>
      <c r="H443" t="s">
        <v>37</v>
      </c>
      <c r="I443" t="s">
        <v>37</v>
      </c>
      <c r="J443" t="s">
        <v>37</v>
      </c>
    </row>
    <row r="444" spans="1:10" hidden="1" x14ac:dyDescent="0.35">
      <c r="A444" t="s">
        <v>31</v>
      </c>
      <c r="B444" t="s">
        <v>32</v>
      </c>
      <c r="C444" t="s">
        <v>479</v>
      </c>
      <c r="D444" t="s">
        <v>480</v>
      </c>
      <c r="E444" t="s">
        <v>90</v>
      </c>
      <c r="F444" t="s">
        <v>476</v>
      </c>
      <c r="G444" s="5">
        <v>2797889</v>
      </c>
      <c r="H444" t="s">
        <v>37</v>
      </c>
      <c r="I444" t="s">
        <v>37</v>
      </c>
      <c r="J444" t="s">
        <v>37</v>
      </c>
    </row>
    <row r="445" spans="1:10" hidden="1" x14ac:dyDescent="0.35">
      <c r="A445" t="s">
        <v>31</v>
      </c>
      <c r="B445" t="s">
        <v>45</v>
      </c>
      <c r="C445" t="s">
        <v>173</v>
      </c>
      <c r="D445" t="s">
        <v>174</v>
      </c>
      <c r="E445" t="s">
        <v>175</v>
      </c>
      <c r="F445" t="s">
        <v>476</v>
      </c>
      <c r="G445" s="5">
        <v>9188952</v>
      </c>
      <c r="H445" t="s">
        <v>37</v>
      </c>
      <c r="I445" t="s">
        <v>37</v>
      </c>
      <c r="J445" t="s">
        <v>40</v>
      </c>
    </row>
    <row r="446" spans="1:10" hidden="1" x14ac:dyDescent="0.35">
      <c r="A446" t="s">
        <v>31</v>
      </c>
      <c r="B446" t="s">
        <v>45</v>
      </c>
      <c r="C446" t="s">
        <v>481</v>
      </c>
      <c r="D446" t="s">
        <v>482</v>
      </c>
      <c r="E446" t="s">
        <v>98</v>
      </c>
      <c r="F446" t="s">
        <v>476</v>
      </c>
      <c r="G446" s="5">
        <v>996761</v>
      </c>
      <c r="H446" t="s">
        <v>37</v>
      </c>
      <c r="I446" t="s">
        <v>37</v>
      </c>
      <c r="J446" t="s">
        <v>37</v>
      </c>
    </row>
    <row r="447" spans="1:10" hidden="1" x14ac:dyDescent="0.35">
      <c r="A447" t="s">
        <v>31</v>
      </c>
      <c r="B447" t="s">
        <v>45</v>
      </c>
      <c r="C447" t="s">
        <v>483</v>
      </c>
      <c r="D447" t="s">
        <v>484</v>
      </c>
      <c r="E447" t="s">
        <v>98</v>
      </c>
      <c r="F447" t="s">
        <v>476</v>
      </c>
      <c r="G447" s="5">
        <v>996761</v>
      </c>
      <c r="H447" t="s">
        <v>37</v>
      </c>
      <c r="I447" t="s">
        <v>37</v>
      </c>
      <c r="J447" t="s">
        <v>37</v>
      </c>
    </row>
    <row r="448" spans="1:10" x14ac:dyDescent="0.35">
      <c r="A448" t="s">
        <v>31</v>
      </c>
      <c r="B448" t="s">
        <v>45</v>
      </c>
      <c r="C448" t="s">
        <v>485</v>
      </c>
      <c r="D448" t="s">
        <v>486</v>
      </c>
      <c r="E448" t="s">
        <v>74</v>
      </c>
      <c r="F448" t="s">
        <v>487</v>
      </c>
      <c r="G448" s="5">
        <v>428644</v>
      </c>
      <c r="H448" t="s">
        <v>40</v>
      </c>
      <c r="I448" t="s">
        <v>37</v>
      </c>
      <c r="J448" t="s">
        <v>37</v>
      </c>
    </row>
    <row r="449" spans="1:10" hidden="1" x14ac:dyDescent="0.35">
      <c r="A449" t="s">
        <v>31</v>
      </c>
      <c r="B449" t="s">
        <v>32</v>
      </c>
      <c r="C449" t="s">
        <v>488</v>
      </c>
      <c r="D449" t="s">
        <v>489</v>
      </c>
      <c r="E449" t="s">
        <v>35</v>
      </c>
      <c r="F449" t="s">
        <v>490</v>
      </c>
      <c r="G449" s="5">
        <v>1280000</v>
      </c>
      <c r="H449" t="s">
        <v>37</v>
      </c>
      <c r="I449" t="s">
        <v>37</v>
      </c>
      <c r="J449" t="s">
        <v>37</v>
      </c>
    </row>
    <row r="450" spans="1:10" hidden="1" x14ac:dyDescent="0.35">
      <c r="A450" t="s">
        <v>31</v>
      </c>
      <c r="B450" t="s">
        <v>32</v>
      </c>
      <c r="C450" t="s">
        <v>491</v>
      </c>
      <c r="D450" t="s">
        <v>492</v>
      </c>
      <c r="E450" t="s">
        <v>48</v>
      </c>
      <c r="F450" t="s">
        <v>493</v>
      </c>
      <c r="G450" s="5">
        <v>10800000</v>
      </c>
      <c r="H450" t="s">
        <v>37</v>
      </c>
      <c r="I450" t="s">
        <v>37</v>
      </c>
      <c r="J450" t="s">
        <v>37</v>
      </c>
    </row>
    <row r="451" spans="1:10" hidden="1" x14ac:dyDescent="0.35">
      <c r="A451" t="s">
        <v>31</v>
      </c>
      <c r="B451" t="s">
        <v>32</v>
      </c>
      <c r="C451" t="s">
        <v>491</v>
      </c>
      <c r="D451" t="s">
        <v>492</v>
      </c>
      <c r="E451" t="s">
        <v>48</v>
      </c>
      <c r="F451" t="s">
        <v>493</v>
      </c>
      <c r="G451" s="5">
        <v>702000</v>
      </c>
      <c r="H451" t="s">
        <v>37</v>
      </c>
      <c r="I451" t="s">
        <v>37</v>
      </c>
      <c r="J451" t="s">
        <v>37</v>
      </c>
    </row>
    <row r="452" spans="1:10" hidden="1" x14ac:dyDescent="0.35">
      <c r="A452" t="s">
        <v>31</v>
      </c>
      <c r="B452" t="s">
        <v>32</v>
      </c>
      <c r="C452" t="s">
        <v>114</v>
      </c>
      <c r="D452" t="s">
        <v>115</v>
      </c>
      <c r="E452" t="s">
        <v>116</v>
      </c>
      <c r="F452" t="s">
        <v>493</v>
      </c>
      <c r="G452" s="5">
        <v>45000000</v>
      </c>
      <c r="H452" t="s">
        <v>37</v>
      </c>
      <c r="I452" t="s">
        <v>37</v>
      </c>
      <c r="J452" t="s">
        <v>40</v>
      </c>
    </row>
    <row r="453" spans="1:10" hidden="1" x14ac:dyDescent="0.35">
      <c r="A453" t="s">
        <v>31</v>
      </c>
      <c r="B453" t="s">
        <v>32</v>
      </c>
      <c r="C453" t="s">
        <v>114</v>
      </c>
      <c r="D453" t="s">
        <v>115</v>
      </c>
      <c r="E453" t="s">
        <v>116</v>
      </c>
      <c r="F453" t="s">
        <v>493</v>
      </c>
      <c r="G453" s="5">
        <v>5850000</v>
      </c>
      <c r="H453" t="s">
        <v>37</v>
      </c>
      <c r="I453" t="s">
        <v>37</v>
      </c>
      <c r="J453" t="s">
        <v>40</v>
      </c>
    </row>
    <row r="454" spans="1:10" hidden="1" x14ac:dyDescent="0.35">
      <c r="A454" t="s">
        <v>31</v>
      </c>
      <c r="B454" t="s">
        <v>45</v>
      </c>
      <c r="C454" t="s">
        <v>114</v>
      </c>
      <c r="D454" t="s">
        <v>115</v>
      </c>
      <c r="E454" t="s">
        <v>116</v>
      </c>
      <c r="F454" t="s">
        <v>493</v>
      </c>
      <c r="G454" s="5">
        <v>28262658</v>
      </c>
      <c r="H454" t="s">
        <v>37</v>
      </c>
      <c r="I454" t="s">
        <v>37</v>
      </c>
      <c r="J454" t="s">
        <v>40</v>
      </c>
    </row>
    <row r="455" spans="1:10" hidden="1" x14ac:dyDescent="0.35">
      <c r="A455" t="s">
        <v>31</v>
      </c>
      <c r="B455" t="s">
        <v>45</v>
      </c>
      <c r="C455" t="s">
        <v>114</v>
      </c>
      <c r="D455" t="s">
        <v>115</v>
      </c>
      <c r="E455" t="s">
        <v>116</v>
      </c>
      <c r="F455" t="s">
        <v>493</v>
      </c>
      <c r="G455" s="5">
        <v>28800</v>
      </c>
      <c r="H455" t="s">
        <v>37</v>
      </c>
      <c r="I455" t="s">
        <v>37</v>
      </c>
      <c r="J455" t="s">
        <v>40</v>
      </c>
    </row>
    <row r="456" spans="1:10" hidden="1" x14ac:dyDescent="0.35">
      <c r="A456" t="s">
        <v>31</v>
      </c>
      <c r="B456" t="s">
        <v>45</v>
      </c>
      <c r="C456" t="s">
        <v>114</v>
      </c>
      <c r="D456" t="s">
        <v>115</v>
      </c>
      <c r="E456" t="s">
        <v>116</v>
      </c>
      <c r="F456" t="s">
        <v>493</v>
      </c>
      <c r="G456" s="5">
        <v>34466</v>
      </c>
      <c r="H456" t="s">
        <v>37</v>
      </c>
      <c r="I456" t="s">
        <v>37</v>
      </c>
      <c r="J456" t="s">
        <v>40</v>
      </c>
    </row>
    <row r="457" spans="1:10" hidden="1" x14ac:dyDescent="0.35">
      <c r="A457" t="s">
        <v>31</v>
      </c>
      <c r="B457" t="s">
        <v>45</v>
      </c>
      <c r="C457" t="s">
        <v>114</v>
      </c>
      <c r="D457" t="s">
        <v>115</v>
      </c>
      <c r="E457" t="s">
        <v>116</v>
      </c>
      <c r="F457" t="s">
        <v>493</v>
      </c>
      <c r="G457" s="5">
        <v>58500</v>
      </c>
      <c r="H457" t="s">
        <v>37</v>
      </c>
      <c r="I457" t="s">
        <v>37</v>
      </c>
      <c r="J457" t="s">
        <v>40</v>
      </c>
    </row>
    <row r="458" spans="1:10" x14ac:dyDescent="0.35">
      <c r="A458" t="s">
        <v>31</v>
      </c>
      <c r="B458" t="s">
        <v>45</v>
      </c>
      <c r="C458" t="s">
        <v>494</v>
      </c>
      <c r="D458" t="s">
        <v>495</v>
      </c>
      <c r="E458" t="s">
        <v>35</v>
      </c>
      <c r="F458" t="s">
        <v>493</v>
      </c>
      <c r="G458" s="5">
        <v>281698</v>
      </c>
      <c r="H458" t="s">
        <v>40</v>
      </c>
      <c r="I458" t="s">
        <v>40</v>
      </c>
      <c r="J458" t="s">
        <v>40</v>
      </c>
    </row>
    <row r="459" spans="1:10" x14ac:dyDescent="0.35">
      <c r="A459" t="s">
        <v>31</v>
      </c>
      <c r="B459" t="s">
        <v>45</v>
      </c>
      <c r="C459" t="s">
        <v>494</v>
      </c>
      <c r="D459" t="s">
        <v>495</v>
      </c>
      <c r="E459" t="s">
        <v>35</v>
      </c>
      <c r="F459" t="s">
        <v>493</v>
      </c>
      <c r="G459" s="5">
        <v>79102</v>
      </c>
      <c r="H459" t="s">
        <v>40</v>
      </c>
      <c r="I459" t="s">
        <v>40</v>
      </c>
      <c r="J459" t="s">
        <v>40</v>
      </c>
    </row>
    <row r="460" spans="1:10" hidden="1" x14ac:dyDescent="0.35">
      <c r="A460" t="s">
        <v>31</v>
      </c>
      <c r="B460" t="s">
        <v>32</v>
      </c>
      <c r="C460" t="s">
        <v>86</v>
      </c>
      <c r="D460" t="s">
        <v>87</v>
      </c>
      <c r="E460" t="s">
        <v>35</v>
      </c>
      <c r="F460" t="s">
        <v>496</v>
      </c>
      <c r="G460" s="5">
        <v>5184000</v>
      </c>
      <c r="H460" t="s">
        <v>37</v>
      </c>
      <c r="I460" t="s">
        <v>37</v>
      </c>
      <c r="J460" t="s">
        <v>37</v>
      </c>
    </row>
    <row r="461" spans="1:10" x14ac:dyDescent="0.35">
      <c r="A461" t="s">
        <v>31</v>
      </c>
      <c r="B461" t="s">
        <v>45</v>
      </c>
      <c r="C461" t="s">
        <v>497</v>
      </c>
      <c r="D461" t="s">
        <v>498</v>
      </c>
      <c r="E461" t="s">
        <v>43</v>
      </c>
      <c r="F461" t="s">
        <v>499</v>
      </c>
      <c r="G461" s="5">
        <v>184000</v>
      </c>
      <c r="H461" t="s">
        <v>40</v>
      </c>
      <c r="I461" t="s">
        <v>40</v>
      </c>
      <c r="J461" t="s">
        <v>37</v>
      </c>
    </row>
    <row r="462" spans="1:10" x14ac:dyDescent="0.35">
      <c r="A462" t="s">
        <v>31</v>
      </c>
      <c r="B462" t="s">
        <v>45</v>
      </c>
      <c r="C462" t="s">
        <v>500</v>
      </c>
      <c r="D462" t="s">
        <v>501</v>
      </c>
      <c r="E462" t="s">
        <v>74</v>
      </c>
      <c r="F462" t="s">
        <v>499</v>
      </c>
      <c r="G462" s="5">
        <v>3150000</v>
      </c>
      <c r="H462" t="s">
        <v>40</v>
      </c>
      <c r="I462" t="s">
        <v>40</v>
      </c>
      <c r="J462" t="s">
        <v>40</v>
      </c>
    </row>
    <row r="463" spans="1:10" x14ac:dyDescent="0.35">
      <c r="A463" t="s">
        <v>31</v>
      </c>
      <c r="B463" t="s">
        <v>45</v>
      </c>
      <c r="C463" t="s">
        <v>500</v>
      </c>
      <c r="D463" t="s">
        <v>501</v>
      </c>
      <c r="E463" t="s">
        <v>74</v>
      </c>
      <c r="F463" t="s">
        <v>499</v>
      </c>
      <c r="G463" s="5">
        <v>29601</v>
      </c>
      <c r="H463" t="s">
        <v>40</v>
      </c>
      <c r="I463" t="s">
        <v>40</v>
      </c>
      <c r="J463" t="s">
        <v>40</v>
      </c>
    </row>
    <row r="464" spans="1:10" hidden="1" x14ac:dyDescent="0.35">
      <c r="A464" t="s">
        <v>31</v>
      </c>
      <c r="B464" t="s">
        <v>45</v>
      </c>
      <c r="C464" t="s">
        <v>502</v>
      </c>
      <c r="D464" t="s">
        <v>503</v>
      </c>
      <c r="E464" t="s">
        <v>116</v>
      </c>
      <c r="F464" t="s">
        <v>504</v>
      </c>
      <c r="G464" s="5">
        <v>471200</v>
      </c>
      <c r="H464" t="s">
        <v>37</v>
      </c>
      <c r="I464" t="s">
        <v>37</v>
      </c>
      <c r="J464" t="s">
        <v>37</v>
      </c>
    </row>
    <row r="465" spans="1:10" x14ac:dyDescent="0.35">
      <c r="A465" t="s">
        <v>31</v>
      </c>
      <c r="B465" t="s">
        <v>32</v>
      </c>
      <c r="C465" t="s">
        <v>68</v>
      </c>
      <c r="D465" t="s">
        <v>69</v>
      </c>
      <c r="E465" t="s">
        <v>70</v>
      </c>
      <c r="F465" t="s">
        <v>504</v>
      </c>
      <c r="G465" s="5">
        <v>939469</v>
      </c>
      <c r="H465" t="s">
        <v>40</v>
      </c>
      <c r="I465" t="s">
        <v>40</v>
      </c>
      <c r="J465" t="s">
        <v>40</v>
      </c>
    </row>
    <row r="466" spans="1:10" x14ac:dyDescent="0.35">
      <c r="A466" t="s">
        <v>31</v>
      </c>
      <c r="B466" t="s">
        <v>32</v>
      </c>
      <c r="C466" t="s">
        <v>68</v>
      </c>
      <c r="D466" t="s">
        <v>69</v>
      </c>
      <c r="E466" t="s">
        <v>70</v>
      </c>
      <c r="F466" t="s">
        <v>504</v>
      </c>
      <c r="G466" s="5">
        <v>8841353</v>
      </c>
      <c r="H466" t="s">
        <v>40</v>
      </c>
      <c r="I466" t="s">
        <v>40</v>
      </c>
      <c r="J466" t="s">
        <v>40</v>
      </c>
    </row>
    <row r="467" spans="1:10" x14ac:dyDescent="0.35">
      <c r="A467" t="s">
        <v>31</v>
      </c>
      <c r="B467" t="s">
        <v>32</v>
      </c>
      <c r="C467" t="s">
        <v>68</v>
      </c>
      <c r="D467" t="s">
        <v>69</v>
      </c>
      <c r="E467" t="s">
        <v>70</v>
      </c>
      <c r="F467" t="s">
        <v>504</v>
      </c>
      <c r="G467" s="5">
        <v>439469</v>
      </c>
      <c r="H467" t="s">
        <v>40</v>
      </c>
      <c r="I467" t="s">
        <v>40</v>
      </c>
      <c r="J467" t="s">
        <v>40</v>
      </c>
    </row>
    <row r="468" spans="1:10" hidden="1" x14ac:dyDescent="0.35">
      <c r="A468" t="s">
        <v>31</v>
      </c>
      <c r="B468" t="s">
        <v>32</v>
      </c>
      <c r="C468" t="s">
        <v>169</v>
      </c>
      <c r="D468" t="s">
        <v>170</v>
      </c>
      <c r="E468" t="s">
        <v>35</v>
      </c>
      <c r="F468" t="s">
        <v>504</v>
      </c>
      <c r="G468" s="5">
        <v>2361381</v>
      </c>
      <c r="H468" t="s">
        <v>37</v>
      </c>
      <c r="I468" t="s">
        <v>37</v>
      </c>
      <c r="J468" t="s">
        <v>37</v>
      </c>
    </row>
    <row r="469" spans="1:10" hidden="1" x14ac:dyDescent="0.35">
      <c r="A469" t="s">
        <v>31</v>
      </c>
      <c r="B469" t="s">
        <v>45</v>
      </c>
      <c r="C469" t="s">
        <v>169</v>
      </c>
      <c r="D469" t="s">
        <v>170</v>
      </c>
      <c r="E469" t="s">
        <v>35</v>
      </c>
      <c r="F469" t="s">
        <v>504</v>
      </c>
      <c r="G469" s="5">
        <v>2400000</v>
      </c>
      <c r="H469" t="s">
        <v>37</v>
      </c>
      <c r="I469" t="s">
        <v>37</v>
      </c>
      <c r="J469" t="s">
        <v>37</v>
      </c>
    </row>
    <row r="470" spans="1:10" x14ac:dyDescent="0.35">
      <c r="A470" t="s">
        <v>31</v>
      </c>
      <c r="B470" t="s">
        <v>32</v>
      </c>
      <c r="C470" t="s">
        <v>505</v>
      </c>
      <c r="D470" t="s">
        <v>506</v>
      </c>
      <c r="E470" t="s">
        <v>51</v>
      </c>
      <c r="F470" t="s">
        <v>507</v>
      </c>
      <c r="G470" s="5">
        <v>10800000</v>
      </c>
      <c r="H470" t="s">
        <v>40</v>
      </c>
      <c r="I470" t="s">
        <v>37</v>
      </c>
      <c r="J470" t="s">
        <v>37</v>
      </c>
    </row>
    <row r="471" spans="1:10" hidden="1" x14ac:dyDescent="0.35">
      <c r="A471" t="s">
        <v>31</v>
      </c>
      <c r="B471" t="s">
        <v>45</v>
      </c>
      <c r="C471" t="s">
        <v>508</v>
      </c>
      <c r="D471" t="s">
        <v>509</v>
      </c>
      <c r="E471" t="s">
        <v>51</v>
      </c>
      <c r="F471" t="s">
        <v>507</v>
      </c>
      <c r="G471" s="5">
        <v>729944</v>
      </c>
      <c r="H471" t="s">
        <v>37</v>
      </c>
      <c r="I471" t="s">
        <v>37</v>
      </c>
      <c r="J471" t="s">
        <v>37</v>
      </c>
    </row>
    <row r="472" spans="1:10" hidden="1" x14ac:dyDescent="0.35">
      <c r="A472" t="s">
        <v>31</v>
      </c>
      <c r="B472" t="s">
        <v>32</v>
      </c>
      <c r="C472" t="s">
        <v>510</v>
      </c>
      <c r="D472" t="s">
        <v>511</v>
      </c>
      <c r="E472" t="s">
        <v>48</v>
      </c>
      <c r="F472" t="s">
        <v>512</v>
      </c>
      <c r="G472" s="5">
        <v>124000</v>
      </c>
      <c r="H472" t="s">
        <v>37</v>
      </c>
      <c r="I472" t="s">
        <v>37</v>
      </c>
      <c r="J472" t="s">
        <v>37</v>
      </c>
    </row>
    <row r="473" spans="1:10" hidden="1" x14ac:dyDescent="0.35">
      <c r="A473" t="s">
        <v>31</v>
      </c>
      <c r="B473" t="s">
        <v>45</v>
      </c>
      <c r="C473" t="s">
        <v>72</v>
      </c>
      <c r="D473" t="s">
        <v>73</v>
      </c>
      <c r="E473" t="s">
        <v>74</v>
      </c>
      <c r="F473" t="s">
        <v>512</v>
      </c>
      <c r="G473" s="5">
        <v>284512</v>
      </c>
      <c r="H473" t="s">
        <v>37</v>
      </c>
      <c r="I473" t="s">
        <v>37</v>
      </c>
      <c r="J473" t="s">
        <v>40</v>
      </c>
    </row>
    <row r="474" spans="1:10" hidden="1" x14ac:dyDescent="0.35">
      <c r="A474" t="s">
        <v>31</v>
      </c>
      <c r="B474" t="s">
        <v>45</v>
      </c>
      <c r="C474" t="s">
        <v>72</v>
      </c>
      <c r="D474" t="s">
        <v>73</v>
      </c>
      <c r="E474" t="s">
        <v>74</v>
      </c>
      <c r="F474" t="s">
        <v>512</v>
      </c>
      <c r="G474" s="5">
        <v>1085043</v>
      </c>
      <c r="H474" t="s">
        <v>37</v>
      </c>
      <c r="I474" t="s">
        <v>37</v>
      </c>
      <c r="J474" t="s">
        <v>40</v>
      </c>
    </row>
    <row r="475" spans="1:10" hidden="1" x14ac:dyDescent="0.35">
      <c r="A475" t="s">
        <v>31</v>
      </c>
      <c r="B475" t="s">
        <v>32</v>
      </c>
      <c r="C475" t="s">
        <v>84</v>
      </c>
      <c r="D475" t="s">
        <v>85</v>
      </c>
      <c r="E475" t="s">
        <v>35</v>
      </c>
      <c r="F475" t="s">
        <v>512</v>
      </c>
      <c r="G475" s="5">
        <v>2913880</v>
      </c>
      <c r="H475" t="s">
        <v>37</v>
      </c>
      <c r="I475" t="s">
        <v>37</v>
      </c>
      <c r="J475" t="s">
        <v>37</v>
      </c>
    </row>
    <row r="476" spans="1:10" hidden="1" x14ac:dyDescent="0.35">
      <c r="A476" t="s">
        <v>31</v>
      </c>
      <c r="B476" t="s">
        <v>45</v>
      </c>
      <c r="C476" t="s">
        <v>84</v>
      </c>
      <c r="D476" t="s">
        <v>85</v>
      </c>
      <c r="E476" t="s">
        <v>35</v>
      </c>
      <c r="F476" t="s">
        <v>512</v>
      </c>
      <c r="G476" s="5">
        <v>116074</v>
      </c>
      <c r="H476" t="s">
        <v>37</v>
      </c>
      <c r="I476" t="s">
        <v>37</v>
      </c>
      <c r="J476" t="s">
        <v>37</v>
      </c>
    </row>
    <row r="477" spans="1:10" hidden="1" x14ac:dyDescent="0.35">
      <c r="A477" t="s">
        <v>31</v>
      </c>
      <c r="B477" t="s">
        <v>45</v>
      </c>
      <c r="C477" t="s">
        <v>84</v>
      </c>
      <c r="D477" t="s">
        <v>85</v>
      </c>
      <c r="E477" t="s">
        <v>35</v>
      </c>
      <c r="F477" t="s">
        <v>512</v>
      </c>
      <c r="G477" s="5">
        <v>16038095</v>
      </c>
      <c r="H477" t="s">
        <v>37</v>
      </c>
      <c r="I477" t="s">
        <v>37</v>
      </c>
      <c r="J477" t="s">
        <v>37</v>
      </c>
    </row>
    <row r="478" spans="1:10" hidden="1" x14ac:dyDescent="0.35">
      <c r="A478" t="s">
        <v>31</v>
      </c>
      <c r="B478" t="s">
        <v>45</v>
      </c>
      <c r="C478" t="s">
        <v>513</v>
      </c>
      <c r="D478" t="s">
        <v>514</v>
      </c>
      <c r="E478" t="s">
        <v>90</v>
      </c>
      <c r="F478" t="s">
        <v>512</v>
      </c>
      <c r="G478" s="5">
        <v>1674977</v>
      </c>
      <c r="H478" t="s">
        <v>37</v>
      </c>
      <c r="I478" t="s">
        <v>37</v>
      </c>
      <c r="J478" t="s">
        <v>37</v>
      </c>
    </row>
    <row r="479" spans="1:10" x14ac:dyDescent="0.35">
      <c r="A479" t="s">
        <v>31</v>
      </c>
      <c r="B479" t="s">
        <v>45</v>
      </c>
      <c r="C479" t="s">
        <v>515</v>
      </c>
      <c r="D479" t="s">
        <v>516</v>
      </c>
      <c r="E479" t="s">
        <v>51</v>
      </c>
      <c r="F479" t="s">
        <v>517</v>
      </c>
      <c r="G479" s="5">
        <v>97911</v>
      </c>
      <c r="H479" t="s">
        <v>40</v>
      </c>
      <c r="I479" t="s">
        <v>40</v>
      </c>
      <c r="J479" t="s">
        <v>40</v>
      </c>
    </row>
    <row r="480" spans="1:10" x14ac:dyDescent="0.35">
      <c r="A480" t="s">
        <v>31</v>
      </c>
      <c r="B480" t="s">
        <v>45</v>
      </c>
      <c r="C480" t="s">
        <v>515</v>
      </c>
      <c r="D480" t="s">
        <v>516</v>
      </c>
      <c r="E480" t="s">
        <v>51</v>
      </c>
      <c r="F480" t="s">
        <v>517</v>
      </c>
      <c r="G480" s="5">
        <v>2212618</v>
      </c>
      <c r="H480" t="s">
        <v>40</v>
      </c>
      <c r="I480" t="s">
        <v>40</v>
      </c>
      <c r="J480" t="s">
        <v>40</v>
      </c>
    </row>
    <row r="481" spans="1:10" x14ac:dyDescent="0.35">
      <c r="A481" t="s">
        <v>31</v>
      </c>
      <c r="B481" t="s">
        <v>45</v>
      </c>
      <c r="C481" t="s">
        <v>518</v>
      </c>
      <c r="D481" t="s">
        <v>519</v>
      </c>
      <c r="E481" t="s">
        <v>35</v>
      </c>
      <c r="F481" t="s">
        <v>517</v>
      </c>
      <c r="G481" s="5">
        <v>924800</v>
      </c>
      <c r="H481" t="s">
        <v>40</v>
      </c>
      <c r="I481" t="s">
        <v>40</v>
      </c>
      <c r="J481" t="s">
        <v>40</v>
      </c>
    </row>
    <row r="482" spans="1:10" x14ac:dyDescent="0.35">
      <c r="A482" t="s">
        <v>31</v>
      </c>
      <c r="B482" t="s">
        <v>45</v>
      </c>
      <c r="C482" t="s">
        <v>520</v>
      </c>
      <c r="D482" t="s">
        <v>521</v>
      </c>
      <c r="E482" t="s">
        <v>35</v>
      </c>
      <c r="F482" t="s">
        <v>517</v>
      </c>
      <c r="G482" s="5">
        <v>565600</v>
      </c>
      <c r="H482" t="s">
        <v>40</v>
      </c>
      <c r="I482" t="s">
        <v>40</v>
      </c>
      <c r="J482" t="s">
        <v>40</v>
      </c>
    </row>
    <row r="483" spans="1:10" x14ac:dyDescent="0.35">
      <c r="A483" t="s">
        <v>31</v>
      </c>
      <c r="B483" t="s">
        <v>32</v>
      </c>
      <c r="C483" t="s">
        <v>56</v>
      </c>
      <c r="D483" t="s">
        <v>57</v>
      </c>
      <c r="E483" t="s">
        <v>35</v>
      </c>
      <c r="F483" t="s">
        <v>522</v>
      </c>
      <c r="G483" s="5">
        <v>4800000</v>
      </c>
      <c r="H483" t="s">
        <v>40</v>
      </c>
      <c r="I483" t="s">
        <v>40</v>
      </c>
      <c r="J483" t="s">
        <v>40</v>
      </c>
    </row>
    <row r="484" spans="1:10" hidden="1" x14ac:dyDescent="0.35">
      <c r="A484" t="s">
        <v>31</v>
      </c>
      <c r="B484" t="s">
        <v>45</v>
      </c>
      <c r="C484" t="s">
        <v>158</v>
      </c>
      <c r="D484" t="s">
        <v>159</v>
      </c>
      <c r="E484" t="s">
        <v>160</v>
      </c>
      <c r="F484" t="s">
        <v>523</v>
      </c>
      <c r="G484" s="5">
        <v>145648</v>
      </c>
      <c r="H484" t="s">
        <v>37</v>
      </c>
      <c r="I484" t="s">
        <v>37</v>
      </c>
      <c r="J484" t="s">
        <v>40</v>
      </c>
    </row>
    <row r="485" spans="1:10" hidden="1" x14ac:dyDescent="0.35">
      <c r="A485" t="s">
        <v>31</v>
      </c>
      <c r="B485" t="s">
        <v>45</v>
      </c>
      <c r="C485" t="s">
        <v>158</v>
      </c>
      <c r="D485" t="s">
        <v>159</v>
      </c>
      <c r="E485" t="s">
        <v>160</v>
      </c>
      <c r="F485" t="s">
        <v>523</v>
      </c>
      <c r="G485" s="5">
        <v>1956539</v>
      </c>
      <c r="H485" t="s">
        <v>37</v>
      </c>
      <c r="I485" t="s">
        <v>37</v>
      </c>
      <c r="J485" t="s">
        <v>40</v>
      </c>
    </row>
    <row r="486" spans="1:10" x14ac:dyDescent="0.35">
      <c r="A486" t="s">
        <v>31</v>
      </c>
      <c r="B486" t="s">
        <v>32</v>
      </c>
      <c r="C486" t="s">
        <v>524</v>
      </c>
      <c r="D486" t="s">
        <v>525</v>
      </c>
      <c r="E486" t="s">
        <v>51</v>
      </c>
      <c r="F486" t="s">
        <v>523</v>
      </c>
      <c r="G486" s="5">
        <v>121600</v>
      </c>
      <c r="H486" t="s">
        <v>40</v>
      </c>
      <c r="I486" t="s">
        <v>37</v>
      </c>
      <c r="J486" t="s">
        <v>37</v>
      </c>
    </row>
    <row r="487" spans="1:10" hidden="1" x14ac:dyDescent="0.35">
      <c r="A487" t="s">
        <v>31</v>
      </c>
      <c r="B487" t="s">
        <v>32</v>
      </c>
      <c r="C487" t="s">
        <v>52</v>
      </c>
      <c r="D487" t="s">
        <v>53</v>
      </c>
      <c r="E487" t="s">
        <v>51</v>
      </c>
      <c r="F487" t="s">
        <v>523</v>
      </c>
      <c r="G487" s="5">
        <v>2475000</v>
      </c>
      <c r="H487" t="s">
        <v>37</v>
      </c>
      <c r="I487" t="s">
        <v>37</v>
      </c>
      <c r="J487" t="s">
        <v>37</v>
      </c>
    </row>
    <row r="488" spans="1:10" x14ac:dyDescent="0.35">
      <c r="A488" t="s">
        <v>31</v>
      </c>
      <c r="B488" t="s">
        <v>32</v>
      </c>
      <c r="C488" t="s">
        <v>477</v>
      </c>
      <c r="D488" t="s">
        <v>478</v>
      </c>
      <c r="E488" t="s">
        <v>35</v>
      </c>
      <c r="F488" t="s">
        <v>523</v>
      </c>
      <c r="G488" s="5">
        <v>1040000</v>
      </c>
      <c r="H488" t="s">
        <v>40</v>
      </c>
      <c r="I488" t="s">
        <v>40</v>
      </c>
      <c r="J488" t="s">
        <v>37</v>
      </c>
    </row>
    <row r="489" spans="1:10" hidden="1" x14ac:dyDescent="0.35">
      <c r="A489" t="s">
        <v>31</v>
      </c>
      <c r="B489" t="s">
        <v>45</v>
      </c>
      <c r="C489" t="s">
        <v>173</v>
      </c>
      <c r="D489" t="s">
        <v>174</v>
      </c>
      <c r="E489" t="s">
        <v>175</v>
      </c>
      <c r="F489" t="s">
        <v>523</v>
      </c>
      <c r="G489" s="5">
        <v>9188952</v>
      </c>
      <c r="H489" t="s">
        <v>37</v>
      </c>
      <c r="I489" t="s">
        <v>37</v>
      </c>
      <c r="J489" t="s">
        <v>40</v>
      </c>
    </row>
    <row r="490" spans="1:10" x14ac:dyDescent="0.35">
      <c r="A490" t="s">
        <v>31</v>
      </c>
      <c r="B490" t="s">
        <v>32</v>
      </c>
      <c r="C490" t="s">
        <v>256</v>
      </c>
      <c r="D490" t="s">
        <v>257</v>
      </c>
      <c r="E490" t="s">
        <v>35</v>
      </c>
      <c r="F490" t="s">
        <v>526</v>
      </c>
      <c r="G490" s="5">
        <v>4580000</v>
      </c>
      <c r="H490" t="s">
        <v>40</v>
      </c>
      <c r="I490" t="s">
        <v>40</v>
      </c>
      <c r="J490" t="s">
        <v>37</v>
      </c>
    </row>
    <row r="491" spans="1:10" hidden="1" x14ac:dyDescent="0.35">
      <c r="A491" t="s">
        <v>31</v>
      </c>
      <c r="B491" t="s">
        <v>32</v>
      </c>
      <c r="C491" t="s">
        <v>197</v>
      </c>
      <c r="D491" t="s">
        <v>198</v>
      </c>
      <c r="E491" t="s">
        <v>51</v>
      </c>
      <c r="F491" t="s">
        <v>527</v>
      </c>
      <c r="G491" s="5">
        <v>3150000</v>
      </c>
      <c r="H491" t="s">
        <v>37</v>
      </c>
      <c r="I491" t="s">
        <v>37</v>
      </c>
      <c r="J491" t="s">
        <v>37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9"/>
  <sheetViews>
    <sheetView workbookViewId="0">
      <pane ySplit="1" topLeftCell="A2" activePane="bottomLeft" state="frozen"/>
      <selection pane="bottomLeft" activeCell="C7" sqref="C7"/>
    </sheetView>
  </sheetViews>
  <sheetFormatPr defaultRowHeight="14.5" x14ac:dyDescent="0.35"/>
  <cols>
    <col min="1" max="2" width="16" customWidth="1"/>
    <col min="3" max="3" width="35.7265625" bestFit="1" customWidth="1"/>
    <col min="4" max="4" width="16" customWidth="1"/>
    <col min="5" max="5" width="22" customWidth="1"/>
    <col min="6" max="6" width="16" customWidth="1"/>
  </cols>
  <sheetData>
    <row r="1" spans="1:6" x14ac:dyDescent="0.35">
      <c r="A1" s="4" t="s">
        <v>21</v>
      </c>
      <c r="B1" s="4" t="s">
        <v>22</v>
      </c>
      <c r="C1" s="4" t="s">
        <v>25</v>
      </c>
      <c r="D1" s="4" t="s">
        <v>26</v>
      </c>
      <c r="E1" s="4" t="s">
        <v>528</v>
      </c>
      <c r="F1" s="4" t="s">
        <v>529</v>
      </c>
    </row>
    <row r="2" spans="1:6" x14ac:dyDescent="0.35">
      <c r="A2" t="s">
        <v>31</v>
      </c>
      <c r="B2" t="s">
        <v>32</v>
      </c>
      <c r="C2" t="s">
        <v>35</v>
      </c>
      <c r="D2" t="s">
        <v>36</v>
      </c>
      <c r="E2" s="5">
        <f>SUMIFS(Exploded_Detail_Relevant!$G$2:$G$491,Exploded_Detail_Relevant!$A$2:$A$491,$A2,Exploded_Detail_Relevant!$B$2:$B$491,$B2,Exploded_Detail_Relevant!$E$2:$E$491,$C2,Exploded_Detail_Relevant!$F$2:$F$491,$D2)</f>
        <v>12400000</v>
      </c>
      <c r="F2">
        <f>COUNTIFS(Exploded_Detail_Relevant!$A$2:$A$491,$A2,Exploded_Detail_Relevant!$B$2:$B$491,$B2,Exploded_Detail_Relevant!$E$2:$E$491,$C2,Exploded_Detail_Relevant!$F$2:$F$491,$D2)</f>
        <v>2</v>
      </c>
    </row>
    <row r="3" spans="1:6" x14ac:dyDescent="0.35">
      <c r="A3" t="s">
        <v>31</v>
      </c>
      <c r="B3" t="s">
        <v>32</v>
      </c>
      <c r="C3" t="s">
        <v>43</v>
      </c>
      <c r="D3" t="s">
        <v>44</v>
      </c>
      <c r="E3" s="5">
        <f>SUMIFS(Exploded_Detail_Relevant!$G$2:$G$491,Exploded_Detail_Relevant!$A$2:$A$491,$A3,Exploded_Detail_Relevant!$B$2:$B$491,$B3,Exploded_Detail_Relevant!$E$2:$E$491,$C3,Exploded_Detail_Relevant!$F$2:$F$491,$D3)</f>
        <v>480000</v>
      </c>
      <c r="F3">
        <f>COUNTIFS(Exploded_Detail_Relevant!$A$2:$A$491,$A3,Exploded_Detail_Relevant!$B$2:$B$491,$B3,Exploded_Detail_Relevant!$E$2:$E$491,$C3,Exploded_Detail_Relevant!$F$2:$F$491,$D3)</f>
        <v>1</v>
      </c>
    </row>
    <row r="4" spans="1:6" x14ac:dyDescent="0.35">
      <c r="A4" t="s">
        <v>31</v>
      </c>
      <c r="B4" t="s">
        <v>45</v>
      </c>
      <c r="C4" t="s">
        <v>43</v>
      </c>
      <c r="D4" t="s">
        <v>44</v>
      </c>
      <c r="E4" s="5">
        <f>SUMIFS(Exploded_Detail_Relevant!$G$2:$G$491,Exploded_Detail_Relevant!$A$2:$A$491,$A4,Exploded_Detail_Relevant!$B$2:$B$491,$B4,Exploded_Detail_Relevant!$E$2:$E$491,$C4,Exploded_Detail_Relevant!$F$2:$F$491,$D4)</f>
        <v>480000</v>
      </c>
      <c r="F4">
        <f>COUNTIFS(Exploded_Detail_Relevant!$A$2:$A$491,$A4,Exploded_Detail_Relevant!$B$2:$B$491,$B4,Exploded_Detail_Relevant!$E$2:$E$491,$C4,Exploded_Detail_Relevant!$F$2:$F$491,$D4)</f>
        <v>1</v>
      </c>
    </row>
    <row r="5" spans="1:6" x14ac:dyDescent="0.35">
      <c r="A5" t="s">
        <v>31</v>
      </c>
      <c r="B5" t="s">
        <v>32</v>
      </c>
      <c r="C5" t="s">
        <v>48</v>
      </c>
      <c r="D5" t="s">
        <v>44</v>
      </c>
      <c r="E5" s="5">
        <f>SUMIFS(Exploded_Detail_Relevant!$G$2:$G$491,Exploded_Detail_Relevant!$A$2:$A$491,$A5,Exploded_Detail_Relevant!$B$2:$B$491,$B5,Exploded_Detail_Relevant!$E$2:$E$491,$C5,Exploded_Detail_Relevant!$F$2:$F$491,$D5)</f>
        <v>6875000</v>
      </c>
      <c r="F5">
        <f>COUNTIFS(Exploded_Detail_Relevant!$A$2:$A$491,$A5,Exploded_Detail_Relevant!$B$2:$B$491,$B5,Exploded_Detail_Relevant!$E$2:$E$491,$C5,Exploded_Detail_Relevant!$F$2:$F$491,$D5)</f>
        <v>1</v>
      </c>
    </row>
    <row r="6" spans="1:6" x14ac:dyDescent="0.35">
      <c r="A6" t="s">
        <v>31</v>
      </c>
      <c r="B6" t="s">
        <v>45</v>
      </c>
      <c r="C6" t="s">
        <v>48</v>
      </c>
      <c r="D6" t="s">
        <v>44</v>
      </c>
      <c r="E6" s="5">
        <f>SUMIFS(Exploded_Detail_Relevant!$G$2:$G$491,Exploded_Detail_Relevant!$A$2:$A$491,$A6,Exploded_Detail_Relevant!$B$2:$B$491,$B6,Exploded_Detail_Relevant!$E$2:$E$491,$C6,Exploded_Detail_Relevant!$F$2:$F$491,$D6)</f>
        <v>131248526</v>
      </c>
      <c r="F6">
        <f>COUNTIFS(Exploded_Detail_Relevant!$A$2:$A$491,$A6,Exploded_Detail_Relevant!$B$2:$B$491,$B6,Exploded_Detail_Relevant!$E$2:$E$491,$C6,Exploded_Detail_Relevant!$F$2:$F$491,$D6)</f>
        <v>4</v>
      </c>
    </row>
    <row r="7" spans="1:6" x14ac:dyDescent="0.35">
      <c r="A7" t="s">
        <v>31</v>
      </c>
      <c r="B7" t="s">
        <v>32</v>
      </c>
      <c r="C7" t="s">
        <v>51</v>
      </c>
      <c r="D7" t="s">
        <v>44</v>
      </c>
      <c r="E7" s="5">
        <f>SUMIFS(Exploded_Detail_Relevant!$G$2:$G$491,Exploded_Detail_Relevant!$A$2:$A$491,$A7,Exploded_Detail_Relevant!$B$2:$B$491,$B7,Exploded_Detail_Relevant!$E$2:$E$491,$C7,Exploded_Detail_Relevant!$F$2:$F$491,$D7)</f>
        <v>5431000</v>
      </c>
      <c r="F7">
        <f>COUNTIFS(Exploded_Detail_Relevant!$A$2:$A$491,$A7,Exploded_Detail_Relevant!$B$2:$B$491,$B7,Exploded_Detail_Relevant!$E$2:$E$491,$C7,Exploded_Detail_Relevant!$F$2:$F$491,$D7)</f>
        <v>2</v>
      </c>
    </row>
    <row r="8" spans="1:6" x14ac:dyDescent="0.35">
      <c r="A8" t="s">
        <v>31</v>
      </c>
      <c r="B8" t="s">
        <v>45</v>
      </c>
      <c r="C8" t="s">
        <v>51</v>
      </c>
      <c r="D8" t="s">
        <v>44</v>
      </c>
      <c r="E8" s="5">
        <f>SUMIFS(Exploded_Detail_Relevant!$G$2:$G$491,Exploded_Detail_Relevant!$A$2:$A$491,$A8,Exploded_Detail_Relevant!$B$2:$B$491,$B8,Exploded_Detail_Relevant!$E$2:$E$491,$C8,Exploded_Detail_Relevant!$F$2:$F$491,$D8)</f>
        <v>4016846</v>
      </c>
      <c r="F8">
        <f>COUNTIFS(Exploded_Detail_Relevant!$A$2:$A$491,$A8,Exploded_Detail_Relevant!$B$2:$B$491,$B8,Exploded_Detail_Relevant!$E$2:$E$491,$C8,Exploded_Detail_Relevant!$F$2:$F$491,$D8)</f>
        <v>4</v>
      </c>
    </row>
    <row r="9" spans="1:6" x14ac:dyDescent="0.35">
      <c r="A9" t="s">
        <v>31</v>
      </c>
      <c r="B9" t="s">
        <v>32</v>
      </c>
      <c r="C9" t="s">
        <v>35</v>
      </c>
      <c r="D9" t="s">
        <v>44</v>
      </c>
      <c r="E9" s="5">
        <f>SUMIFS(Exploded_Detail_Relevant!$G$2:$G$491,Exploded_Detail_Relevant!$A$2:$A$491,$A9,Exploded_Detail_Relevant!$B$2:$B$491,$B9,Exploded_Detail_Relevant!$E$2:$E$491,$C9,Exploded_Detail_Relevant!$F$2:$F$491,$D9)</f>
        <v>4800000</v>
      </c>
      <c r="F9">
        <f>COUNTIFS(Exploded_Detail_Relevant!$A$2:$A$491,$A9,Exploded_Detail_Relevant!$B$2:$B$491,$B9,Exploded_Detail_Relevant!$E$2:$E$491,$C9,Exploded_Detail_Relevant!$F$2:$F$491,$D9)</f>
        <v>1</v>
      </c>
    </row>
    <row r="10" spans="1:6" x14ac:dyDescent="0.35">
      <c r="A10" t="s">
        <v>31</v>
      </c>
      <c r="B10" t="s">
        <v>32</v>
      </c>
      <c r="C10" t="s">
        <v>60</v>
      </c>
      <c r="D10" t="s">
        <v>61</v>
      </c>
      <c r="E10" s="5">
        <f>SUMIFS(Exploded_Detail_Relevant!$G$2:$G$491,Exploded_Detail_Relevant!$A$2:$A$491,$A10,Exploded_Detail_Relevant!$B$2:$B$491,$B10,Exploded_Detail_Relevant!$E$2:$E$491,$C10,Exploded_Detail_Relevant!$F$2:$F$491,$D10)</f>
        <v>500000</v>
      </c>
      <c r="F10">
        <f>COUNTIFS(Exploded_Detail_Relevant!$A$2:$A$491,$A10,Exploded_Detail_Relevant!$B$2:$B$491,$B10,Exploded_Detail_Relevant!$E$2:$E$491,$C10,Exploded_Detail_Relevant!$F$2:$F$491,$D10)</f>
        <v>1</v>
      </c>
    </row>
    <row r="11" spans="1:6" x14ac:dyDescent="0.35">
      <c r="A11" t="s">
        <v>31</v>
      </c>
      <c r="B11" t="s">
        <v>45</v>
      </c>
      <c r="C11" t="s">
        <v>60</v>
      </c>
      <c r="D11" t="s">
        <v>61</v>
      </c>
      <c r="E11" s="5">
        <f>SUMIFS(Exploded_Detail_Relevant!$G$2:$G$491,Exploded_Detail_Relevant!$A$2:$A$491,$A11,Exploded_Detail_Relevant!$B$2:$B$491,$B11,Exploded_Detail_Relevant!$E$2:$E$491,$C11,Exploded_Detail_Relevant!$F$2:$F$491,$D11)</f>
        <v>500000</v>
      </c>
      <c r="F11">
        <f>COUNTIFS(Exploded_Detail_Relevant!$A$2:$A$491,$A11,Exploded_Detail_Relevant!$B$2:$B$491,$B11,Exploded_Detail_Relevant!$E$2:$E$491,$C11,Exploded_Detail_Relevant!$F$2:$F$491,$D11)</f>
        <v>1</v>
      </c>
    </row>
    <row r="12" spans="1:6" x14ac:dyDescent="0.35">
      <c r="A12" t="s">
        <v>31</v>
      </c>
      <c r="B12" t="s">
        <v>32</v>
      </c>
      <c r="C12" t="s">
        <v>64</v>
      </c>
      <c r="D12" t="s">
        <v>61</v>
      </c>
      <c r="E12" s="5">
        <f>SUMIFS(Exploded_Detail_Relevant!$G$2:$G$491,Exploded_Detail_Relevant!$A$2:$A$491,$A12,Exploded_Detail_Relevant!$B$2:$B$491,$B12,Exploded_Detail_Relevant!$E$2:$E$491,$C12,Exploded_Detail_Relevant!$F$2:$F$491,$D12)</f>
        <v>250000</v>
      </c>
      <c r="F12">
        <f>COUNTIFS(Exploded_Detail_Relevant!$A$2:$A$491,$A12,Exploded_Detail_Relevant!$B$2:$B$491,$B12,Exploded_Detail_Relevant!$E$2:$E$491,$C12,Exploded_Detail_Relevant!$F$2:$F$491,$D12)</f>
        <v>1</v>
      </c>
    </row>
    <row r="13" spans="1:6" x14ac:dyDescent="0.35">
      <c r="A13" t="s">
        <v>31</v>
      </c>
      <c r="B13" t="s">
        <v>32</v>
      </c>
      <c r="C13" t="s">
        <v>35</v>
      </c>
      <c r="D13" t="s">
        <v>67</v>
      </c>
      <c r="E13" s="5">
        <f>SUMIFS(Exploded_Detail_Relevant!$G$2:$G$491,Exploded_Detail_Relevant!$A$2:$A$491,$A13,Exploded_Detail_Relevant!$B$2:$B$491,$B13,Exploded_Detail_Relevant!$E$2:$E$491,$C13,Exploded_Detail_Relevant!$F$2:$F$491,$D13)</f>
        <v>1280000</v>
      </c>
      <c r="F13">
        <f>COUNTIFS(Exploded_Detail_Relevant!$A$2:$A$491,$A13,Exploded_Detail_Relevant!$B$2:$B$491,$B13,Exploded_Detail_Relevant!$E$2:$E$491,$C13,Exploded_Detail_Relevant!$F$2:$F$491,$D13)</f>
        <v>1</v>
      </c>
    </row>
    <row r="14" spans="1:6" x14ac:dyDescent="0.35">
      <c r="A14" t="s">
        <v>31</v>
      </c>
      <c r="B14" t="s">
        <v>32</v>
      </c>
      <c r="C14" t="s">
        <v>70</v>
      </c>
      <c r="D14" t="s">
        <v>71</v>
      </c>
      <c r="E14" s="5">
        <f>SUMIFS(Exploded_Detail_Relevant!$G$2:$G$491,Exploded_Detail_Relevant!$A$2:$A$491,$A14,Exploded_Detail_Relevant!$B$2:$B$491,$B14,Exploded_Detail_Relevant!$E$2:$E$491,$C14,Exploded_Detail_Relevant!$F$2:$F$491,$D14)</f>
        <v>10220291</v>
      </c>
      <c r="F14">
        <f>COUNTIFS(Exploded_Detail_Relevant!$A$2:$A$491,$A14,Exploded_Detail_Relevant!$B$2:$B$491,$B14,Exploded_Detail_Relevant!$E$2:$E$491,$C14,Exploded_Detail_Relevant!$F$2:$F$491,$D14)</f>
        <v>3</v>
      </c>
    </row>
    <row r="15" spans="1:6" x14ac:dyDescent="0.35">
      <c r="A15" t="s">
        <v>31</v>
      </c>
      <c r="B15" t="s">
        <v>45</v>
      </c>
      <c r="C15" t="s">
        <v>74</v>
      </c>
      <c r="D15" t="s">
        <v>75</v>
      </c>
      <c r="E15" s="5">
        <f>SUMIFS(Exploded_Detail_Relevant!$G$2:$G$491,Exploded_Detail_Relevant!$A$2:$A$491,$A15,Exploded_Detail_Relevant!$B$2:$B$491,$B15,Exploded_Detail_Relevant!$E$2:$E$491,$C15,Exploded_Detail_Relevant!$F$2:$F$491,$D15)</f>
        <v>1369555</v>
      </c>
      <c r="F15">
        <f>COUNTIFS(Exploded_Detail_Relevant!$A$2:$A$491,$A15,Exploded_Detail_Relevant!$B$2:$B$491,$B15,Exploded_Detail_Relevant!$E$2:$E$491,$C15,Exploded_Detail_Relevant!$F$2:$F$491,$D15)</f>
        <v>2</v>
      </c>
    </row>
    <row r="16" spans="1:6" x14ac:dyDescent="0.35">
      <c r="A16" t="s">
        <v>31</v>
      </c>
      <c r="B16" t="s">
        <v>45</v>
      </c>
      <c r="C16" t="s">
        <v>43</v>
      </c>
      <c r="D16" t="s">
        <v>78</v>
      </c>
      <c r="E16" s="5">
        <f>SUMIFS(Exploded_Detail_Relevant!$G$2:$G$491,Exploded_Detail_Relevant!$A$2:$A$491,$A16,Exploded_Detail_Relevant!$B$2:$B$491,$B16,Exploded_Detail_Relevant!$E$2:$E$491,$C16,Exploded_Detail_Relevant!$F$2:$F$491,$D16)</f>
        <v>1477348</v>
      </c>
      <c r="F16">
        <f>COUNTIFS(Exploded_Detail_Relevant!$A$2:$A$491,$A16,Exploded_Detail_Relevant!$B$2:$B$491,$B16,Exploded_Detail_Relevant!$E$2:$E$491,$C16,Exploded_Detail_Relevant!$F$2:$F$491,$D16)</f>
        <v>3</v>
      </c>
    </row>
    <row r="17" spans="1:6" x14ac:dyDescent="0.35">
      <c r="A17" t="s">
        <v>31</v>
      </c>
      <c r="B17" t="s">
        <v>45</v>
      </c>
      <c r="C17" t="s">
        <v>51</v>
      </c>
      <c r="D17" t="s">
        <v>81</v>
      </c>
      <c r="E17" s="5">
        <f>SUMIFS(Exploded_Detail_Relevant!$G$2:$G$491,Exploded_Detail_Relevant!$A$2:$A$491,$A17,Exploded_Detail_Relevant!$B$2:$B$491,$B17,Exploded_Detail_Relevant!$E$2:$E$491,$C17,Exploded_Detail_Relevant!$F$2:$F$491,$D17)</f>
        <v>2304203</v>
      </c>
      <c r="F17">
        <f>COUNTIFS(Exploded_Detail_Relevant!$A$2:$A$491,$A17,Exploded_Detail_Relevant!$B$2:$B$491,$B17,Exploded_Detail_Relevant!$E$2:$E$491,$C17,Exploded_Detail_Relevant!$F$2:$F$491,$D17)</f>
        <v>2</v>
      </c>
    </row>
    <row r="18" spans="1:6" x14ac:dyDescent="0.35">
      <c r="A18" t="s">
        <v>31</v>
      </c>
      <c r="B18" t="s">
        <v>32</v>
      </c>
      <c r="C18" t="s">
        <v>35</v>
      </c>
      <c r="D18" t="s">
        <v>81</v>
      </c>
      <c r="E18" s="5">
        <f>SUMIFS(Exploded_Detail_Relevant!$G$2:$G$491,Exploded_Detail_Relevant!$A$2:$A$491,$A18,Exploded_Detail_Relevant!$B$2:$B$491,$B18,Exploded_Detail_Relevant!$E$2:$E$491,$C18,Exploded_Detail_Relevant!$F$2:$F$491,$D18)</f>
        <v>8097880</v>
      </c>
      <c r="F18">
        <f>COUNTIFS(Exploded_Detail_Relevant!$A$2:$A$491,$A18,Exploded_Detail_Relevant!$B$2:$B$491,$B18,Exploded_Detail_Relevant!$E$2:$E$491,$C18,Exploded_Detail_Relevant!$F$2:$F$491,$D18)</f>
        <v>2</v>
      </c>
    </row>
    <row r="19" spans="1:6" x14ac:dyDescent="0.35">
      <c r="A19" t="s">
        <v>31</v>
      </c>
      <c r="B19" t="s">
        <v>45</v>
      </c>
      <c r="C19" t="s">
        <v>35</v>
      </c>
      <c r="D19" t="s">
        <v>81</v>
      </c>
      <c r="E19" s="5">
        <f>SUMIFS(Exploded_Detail_Relevant!$G$2:$G$491,Exploded_Detail_Relevant!$A$2:$A$491,$A19,Exploded_Detail_Relevant!$B$2:$B$491,$B19,Exploded_Detail_Relevant!$E$2:$E$491,$C19,Exploded_Detail_Relevant!$F$2:$F$491,$D19)</f>
        <v>16154169</v>
      </c>
      <c r="F19">
        <f>COUNTIFS(Exploded_Detail_Relevant!$A$2:$A$491,$A19,Exploded_Detail_Relevant!$B$2:$B$491,$B19,Exploded_Detail_Relevant!$E$2:$E$491,$C19,Exploded_Detail_Relevant!$F$2:$F$491,$D19)</f>
        <v>2</v>
      </c>
    </row>
    <row r="20" spans="1:6" x14ac:dyDescent="0.35">
      <c r="A20" t="s">
        <v>31</v>
      </c>
      <c r="B20" t="s">
        <v>32</v>
      </c>
      <c r="C20" t="s">
        <v>90</v>
      </c>
      <c r="D20" t="s">
        <v>81</v>
      </c>
      <c r="E20" s="5">
        <f>SUMIFS(Exploded_Detail_Relevant!$G$2:$G$491,Exploded_Detail_Relevant!$A$2:$A$491,$A20,Exploded_Detail_Relevant!$B$2:$B$491,$B20,Exploded_Detail_Relevant!$E$2:$E$491,$C20,Exploded_Detail_Relevant!$F$2:$F$491,$D20)</f>
        <v>254520</v>
      </c>
      <c r="F20">
        <f>COUNTIFS(Exploded_Detail_Relevant!$A$2:$A$491,$A20,Exploded_Detail_Relevant!$B$2:$B$491,$B20,Exploded_Detail_Relevant!$E$2:$E$491,$C20,Exploded_Detail_Relevant!$F$2:$F$491,$D20)</f>
        <v>1</v>
      </c>
    </row>
    <row r="21" spans="1:6" x14ac:dyDescent="0.35">
      <c r="A21" t="s">
        <v>31</v>
      </c>
      <c r="B21" t="s">
        <v>32</v>
      </c>
      <c r="C21" t="s">
        <v>43</v>
      </c>
      <c r="D21" t="s">
        <v>93</v>
      </c>
      <c r="E21" s="5">
        <f>SUMIFS(Exploded_Detail_Relevant!$G$2:$G$491,Exploded_Detail_Relevant!$A$2:$A$491,$A21,Exploded_Detail_Relevant!$B$2:$B$491,$B21,Exploded_Detail_Relevant!$E$2:$E$491,$C21,Exploded_Detail_Relevant!$F$2:$F$491,$D21)</f>
        <v>766440</v>
      </c>
      <c r="F21">
        <f>COUNTIFS(Exploded_Detail_Relevant!$A$2:$A$491,$A21,Exploded_Detail_Relevant!$B$2:$B$491,$B21,Exploded_Detail_Relevant!$E$2:$E$491,$C21,Exploded_Detail_Relevant!$F$2:$F$491,$D21)</f>
        <v>1</v>
      </c>
    </row>
    <row r="22" spans="1:6" x14ac:dyDescent="0.35">
      <c r="A22" t="s">
        <v>31</v>
      </c>
      <c r="B22" t="s">
        <v>32</v>
      </c>
      <c r="C22" t="s">
        <v>35</v>
      </c>
      <c r="D22" t="s">
        <v>93</v>
      </c>
      <c r="E22" s="5">
        <f>SUMIFS(Exploded_Detail_Relevant!$G$2:$G$491,Exploded_Detail_Relevant!$A$2:$A$491,$A22,Exploded_Detail_Relevant!$B$2:$B$491,$B22,Exploded_Detail_Relevant!$E$2:$E$491,$C22,Exploded_Detail_Relevant!$F$2:$F$491,$D22)</f>
        <v>105383</v>
      </c>
      <c r="F22">
        <f>COUNTIFS(Exploded_Detail_Relevant!$A$2:$A$491,$A22,Exploded_Detail_Relevant!$B$2:$B$491,$B22,Exploded_Detail_Relevant!$E$2:$E$491,$C22,Exploded_Detail_Relevant!$F$2:$F$491,$D22)</f>
        <v>1</v>
      </c>
    </row>
    <row r="23" spans="1:6" x14ac:dyDescent="0.35">
      <c r="A23" t="s">
        <v>31</v>
      </c>
      <c r="B23" t="s">
        <v>45</v>
      </c>
      <c r="C23" t="s">
        <v>35</v>
      </c>
      <c r="D23" t="s">
        <v>93</v>
      </c>
      <c r="E23" s="5">
        <f>SUMIFS(Exploded_Detail_Relevant!$G$2:$G$491,Exploded_Detail_Relevant!$A$2:$A$491,$A23,Exploded_Detail_Relevant!$B$2:$B$491,$B23,Exploded_Detail_Relevant!$E$2:$E$491,$C23,Exploded_Detail_Relevant!$F$2:$F$491,$D23)</f>
        <v>854618</v>
      </c>
      <c r="F23">
        <f>COUNTIFS(Exploded_Detail_Relevant!$A$2:$A$491,$A23,Exploded_Detail_Relevant!$B$2:$B$491,$B23,Exploded_Detail_Relevant!$E$2:$E$491,$C23,Exploded_Detail_Relevant!$F$2:$F$491,$D23)</f>
        <v>2</v>
      </c>
    </row>
    <row r="24" spans="1:6" x14ac:dyDescent="0.35">
      <c r="A24" t="s">
        <v>31</v>
      </c>
      <c r="B24" t="s">
        <v>45</v>
      </c>
      <c r="C24" t="s">
        <v>98</v>
      </c>
      <c r="D24" t="s">
        <v>99</v>
      </c>
      <c r="E24" s="5">
        <f>SUMIFS(Exploded_Detail_Relevant!$G$2:$G$491,Exploded_Detail_Relevant!$A$2:$A$491,$A24,Exploded_Detail_Relevant!$B$2:$B$491,$B24,Exploded_Detail_Relevant!$E$2:$E$491,$C24,Exploded_Detail_Relevant!$F$2:$F$491,$D24)</f>
        <v>1968382</v>
      </c>
      <c r="F24">
        <f>COUNTIFS(Exploded_Detail_Relevant!$A$2:$A$491,$A24,Exploded_Detail_Relevant!$B$2:$B$491,$B24,Exploded_Detail_Relevant!$E$2:$E$491,$C24,Exploded_Detail_Relevant!$F$2:$F$491,$D24)</f>
        <v>1</v>
      </c>
    </row>
    <row r="25" spans="1:6" x14ac:dyDescent="0.35">
      <c r="A25" t="s">
        <v>31</v>
      </c>
      <c r="B25" t="s">
        <v>45</v>
      </c>
      <c r="C25" t="s">
        <v>43</v>
      </c>
      <c r="D25" t="s">
        <v>102</v>
      </c>
      <c r="E25" s="5">
        <f>SUMIFS(Exploded_Detail_Relevant!$G$2:$G$491,Exploded_Detail_Relevant!$A$2:$A$491,$A25,Exploded_Detail_Relevant!$B$2:$B$491,$B25,Exploded_Detail_Relevant!$E$2:$E$491,$C25,Exploded_Detail_Relevant!$F$2:$F$491,$D25)</f>
        <v>234884</v>
      </c>
      <c r="F25">
        <f>COUNTIFS(Exploded_Detail_Relevant!$A$2:$A$491,$A25,Exploded_Detail_Relevant!$B$2:$B$491,$B25,Exploded_Detail_Relevant!$E$2:$E$491,$C25,Exploded_Detail_Relevant!$F$2:$F$491,$D25)</f>
        <v>1</v>
      </c>
    </row>
    <row r="26" spans="1:6" x14ac:dyDescent="0.35">
      <c r="A26" t="s">
        <v>31</v>
      </c>
      <c r="B26" t="s">
        <v>32</v>
      </c>
      <c r="C26" t="s">
        <v>48</v>
      </c>
      <c r="D26" t="s">
        <v>102</v>
      </c>
      <c r="E26" s="5">
        <f>SUMIFS(Exploded_Detail_Relevant!$G$2:$G$491,Exploded_Detail_Relevant!$A$2:$A$491,$A26,Exploded_Detail_Relevant!$B$2:$B$491,$B26,Exploded_Detail_Relevant!$E$2:$E$491,$C26,Exploded_Detail_Relevant!$F$2:$F$491,$D26)</f>
        <v>3011200</v>
      </c>
      <c r="F26">
        <f>COUNTIFS(Exploded_Detail_Relevant!$A$2:$A$491,$A26,Exploded_Detail_Relevant!$B$2:$B$491,$B26,Exploded_Detail_Relevant!$E$2:$E$491,$C26,Exploded_Detail_Relevant!$F$2:$F$491,$D26)</f>
        <v>2</v>
      </c>
    </row>
    <row r="27" spans="1:6" x14ac:dyDescent="0.35">
      <c r="A27" t="s">
        <v>31</v>
      </c>
      <c r="B27" t="s">
        <v>45</v>
      </c>
      <c r="C27" t="s">
        <v>48</v>
      </c>
      <c r="D27" t="s">
        <v>102</v>
      </c>
      <c r="E27" s="5">
        <f>SUMIFS(Exploded_Detail_Relevant!$G$2:$G$491,Exploded_Detail_Relevant!$A$2:$A$491,$A27,Exploded_Detail_Relevant!$B$2:$B$491,$B27,Exploded_Detail_Relevant!$E$2:$E$491,$C27,Exploded_Detail_Relevant!$F$2:$F$491,$D27)</f>
        <v>136000</v>
      </c>
      <c r="F27">
        <f>COUNTIFS(Exploded_Detail_Relevant!$A$2:$A$491,$A27,Exploded_Detail_Relevant!$B$2:$B$491,$B27,Exploded_Detail_Relevant!$E$2:$E$491,$C27,Exploded_Detail_Relevant!$F$2:$F$491,$D27)</f>
        <v>1</v>
      </c>
    </row>
    <row r="28" spans="1:6" x14ac:dyDescent="0.35">
      <c r="A28" t="s">
        <v>31</v>
      </c>
      <c r="B28" t="s">
        <v>45</v>
      </c>
      <c r="C28" t="s">
        <v>74</v>
      </c>
      <c r="D28" t="s">
        <v>102</v>
      </c>
      <c r="E28" s="5">
        <f>SUMIFS(Exploded_Detail_Relevant!$G$2:$G$491,Exploded_Detail_Relevant!$A$2:$A$491,$A28,Exploded_Detail_Relevant!$B$2:$B$491,$B28,Exploded_Detail_Relevant!$E$2:$E$491,$C28,Exploded_Detail_Relevant!$F$2:$F$491,$D28)</f>
        <v>1369555</v>
      </c>
      <c r="F28">
        <f>COUNTIFS(Exploded_Detail_Relevant!$A$2:$A$491,$A28,Exploded_Detail_Relevant!$B$2:$B$491,$B28,Exploded_Detail_Relevant!$E$2:$E$491,$C28,Exploded_Detail_Relevant!$F$2:$F$491,$D28)</f>
        <v>2</v>
      </c>
    </row>
    <row r="29" spans="1:6" x14ac:dyDescent="0.35">
      <c r="A29" t="s">
        <v>31</v>
      </c>
      <c r="B29" t="s">
        <v>32</v>
      </c>
      <c r="C29" t="s">
        <v>35</v>
      </c>
      <c r="D29" t="s">
        <v>102</v>
      </c>
      <c r="E29" s="5">
        <f>SUMIFS(Exploded_Detail_Relevant!$G$2:$G$491,Exploded_Detail_Relevant!$A$2:$A$491,$A29,Exploded_Detail_Relevant!$B$2:$B$491,$B29,Exploded_Detail_Relevant!$E$2:$E$491,$C29,Exploded_Detail_Relevant!$F$2:$F$491,$D29)</f>
        <v>5313880</v>
      </c>
      <c r="F29">
        <f>COUNTIFS(Exploded_Detail_Relevant!$A$2:$A$491,$A29,Exploded_Detail_Relevant!$B$2:$B$491,$B29,Exploded_Detail_Relevant!$E$2:$E$491,$C29,Exploded_Detail_Relevant!$F$2:$F$491,$D29)</f>
        <v>2</v>
      </c>
    </row>
    <row r="30" spans="1:6" x14ac:dyDescent="0.35">
      <c r="A30" t="s">
        <v>31</v>
      </c>
      <c r="B30" t="s">
        <v>45</v>
      </c>
      <c r="C30" t="s">
        <v>35</v>
      </c>
      <c r="D30" t="s">
        <v>102</v>
      </c>
      <c r="E30" s="5">
        <f>SUMIFS(Exploded_Detail_Relevant!$G$2:$G$491,Exploded_Detail_Relevant!$A$2:$A$491,$A30,Exploded_Detail_Relevant!$B$2:$B$491,$B30,Exploded_Detail_Relevant!$E$2:$E$491,$C30,Exploded_Detail_Relevant!$F$2:$F$491,$D30)</f>
        <v>16154169</v>
      </c>
      <c r="F30">
        <f>COUNTIFS(Exploded_Detail_Relevant!$A$2:$A$491,$A30,Exploded_Detail_Relevant!$B$2:$B$491,$B30,Exploded_Detail_Relevant!$E$2:$E$491,$C30,Exploded_Detail_Relevant!$F$2:$F$491,$D30)</f>
        <v>2</v>
      </c>
    </row>
    <row r="31" spans="1:6" x14ac:dyDescent="0.35">
      <c r="A31" t="s">
        <v>31</v>
      </c>
      <c r="B31" t="s">
        <v>45</v>
      </c>
      <c r="C31" t="s">
        <v>98</v>
      </c>
      <c r="D31" t="s">
        <v>102</v>
      </c>
      <c r="E31" s="5">
        <f>SUMIFS(Exploded_Detail_Relevant!$G$2:$G$491,Exploded_Detail_Relevant!$A$2:$A$491,$A31,Exploded_Detail_Relevant!$B$2:$B$491,$B31,Exploded_Detail_Relevant!$E$2:$E$491,$C31,Exploded_Detail_Relevant!$F$2:$F$491,$D31)</f>
        <v>1968382</v>
      </c>
      <c r="F31">
        <f>COUNTIFS(Exploded_Detail_Relevant!$A$2:$A$491,$A31,Exploded_Detail_Relevant!$B$2:$B$491,$B31,Exploded_Detail_Relevant!$E$2:$E$491,$C31,Exploded_Detail_Relevant!$F$2:$F$491,$D31)</f>
        <v>1</v>
      </c>
    </row>
    <row r="32" spans="1:6" x14ac:dyDescent="0.35">
      <c r="A32" t="s">
        <v>31</v>
      </c>
      <c r="B32" t="s">
        <v>32</v>
      </c>
      <c r="C32" t="s">
        <v>35</v>
      </c>
      <c r="D32" t="s">
        <v>111</v>
      </c>
      <c r="E32" s="5">
        <f>SUMIFS(Exploded_Detail_Relevant!$G$2:$G$491,Exploded_Detail_Relevant!$A$2:$A$491,$A32,Exploded_Detail_Relevant!$B$2:$B$491,$B32,Exploded_Detail_Relevant!$E$2:$E$491,$C32,Exploded_Detail_Relevant!$F$2:$F$491,$D32)</f>
        <v>2236931</v>
      </c>
      <c r="F32">
        <f>COUNTIFS(Exploded_Detail_Relevant!$A$2:$A$491,$A32,Exploded_Detail_Relevant!$B$2:$B$491,$B32,Exploded_Detail_Relevant!$E$2:$E$491,$C32,Exploded_Detail_Relevant!$F$2:$F$491,$D32)</f>
        <v>1</v>
      </c>
    </row>
    <row r="33" spans="1:6" x14ac:dyDescent="0.35">
      <c r="A33" t="s">
        <v>31</v>
      </c>
      <c r="B33" t="s">
        <v>45</v>
      </c>
      <c r="C33" t="s">
        <v>35</v>
      </c>
      <c r="D33" t="s">
        <v>111</v>
      </c>
      <c r="E33" s="5">
        <f>SUMIFS(Exploded_Detail_Relevant!$G$2:$G$491,Exploded_Detail_Relevant!$A$2:$A$491,$A33,Exploded_Detail_Relevant!$B$2:$B$491,$B33,Exploded_Detail_Relevant!$E$2:$E$491,$C33,Exploded_Detail_Relevant!$F$2:$F$491,$D33)</f>
        <v>4062640</v>
      </c>
      <c r="F33">
        <f>COUNTIFS(Exploded_Detail_Relevant!$A$2:$A$491,$A33,Exploded_Detail_Relevant!$B$2:$B$491,$B33,Exploded_Detail_Relevant!$E$2:$E$491,$C33,Exploded_Detail_Relevant!$F$2:$F$491,$D33)</f>
        <v>1</v>
      </c>
    </row>
    <row r="34" spans="1:6" x14ac:dyDescent="0.35">
      <c r="A34" t="s">
        <v>31</v>
      </c>
      <c r="B34" t="s">
        <v>32</v>
      </c>
      <c r="C34" t="s">
        <v>116</v>
      </c>
      <c r="D34" t="s">
        <v>117</v>
      </c>
      <c r="E34" s="5">
        <f>SUMIFS(Exploded_Detail_Relevant!$G$2:$G$491,Exploded_Detail_Relevant!$A$2:$A$491,$A34,Exploded_Detail_Relevant!$B$2:$B$491,$B34,Exploded_Detail_Relevant!$E$2:$E$491,$C34,Exploded_Detail_Relevant!$F$2:$F$491,$D34)</f>
        <v>50850000</v>
      </c>
      <c r="F34">
        <f>COUNTIFS(Exploded_Detail_Relevant!$A$2:$A$491,$A34,Exploded_Detail_Relevant!$B$2:$B$491,$B34,Exploded_Detail_Relevant!$E$2:$E$491,$C34,Exploded_Detail_Relevant!$F$2:$F$491,$D34)</f>
        <v>2</v>
      </c>
    </row>
    <row r="35" spans="1:6" x14ac:dyDescent="0.35">
      <c r="A35" t="s">
        <v>31</v>
      </c>
      <c r="B35" t="s">
        <v>45</v>
      </c>
      <c r="C35" t="s">
        <v>116</v>
      </c>
      <c r="D35" t="s">
        <v>117</v>
      </c>
      <c r="E35" s="5">
        <f>SUMIFS(Exploded_Detail_Relevant!$G$2:$G$491,Exploded_Detail_Relevant!$A$2:$A$491,$A35,Exploded_Detail_Relevant!$B$2:$B$491,$B35,Exploded_Detail_Relevant!$E$2:$E$491,$C35,Exploded_Detail_Relevant!$F$2:$F$491,$D35)</f>
        <v>28384424</v>
      </c>
      <c r="F35">
        <f>COUNTIFS(Exploded_Detail_Relevant!$A$2:$A$491,$A35,Exploded_Detail_Relevant!$B$2:$B$491,$B35,Exploded_Detail_Relevant!$E$2:$E$491,$C35,Exploded_Detail_Relevant!$F$2:$F$491,$D35)</f>
        <v>4</v>
      </c>
    </row>
    <row r="36" spans="1:6" x14ac:dyDescent="0.35">
      <c r="A36" t="s">
        <v>31</v>
      </c>
      <c r="B36" t="s">
        <v>45</v>
      </c>
      <c r="C36" t="s">
        <v>116</v>
      </c>
      <c r="D36" t="s">
        <v>120</v>
      </c>
      <c r="E36" s="5">
        <f>SUMIFS(Exploded_Detail_Relevant!$G$2:$G$491,Exploded_Detail_Relevant!$A$2:$A$491,$A36,Exploded_Detail_Relevant!$B$2:$B$491,$B36,Exploded_Detail_Relevant!$E$2:$E$491,$C36,Exploded_Detail_Relevant!$F$2:$F$491,$D36)</f>
        <v>1468466</v>
      </c>
      <c r="F36">
        <f>COUNTIFS(Exploded_Detail_Relevant!$A$2:$A$491,$A36,Exploded_Detail_Relevant!$B$2:$B$491,$B36,Exploded_Detail_Relevant!$E$2:$E$491,$C36,Exploded_Detail_Relevant!$F$2:$F$491,$D36)</f>
        <v>1</v>
      </c>
    </row>
    <row r="37" spans="1:6" x14ac:dyDescent="0.35">
      <c r="A37" t="s">
        <v>31</v>
      </c>
      <c r="B37" t="s">
        <v>45</v>
      </c>
      <c r="C37" t="s">
        <v>43</v>
      </c>
      <c r="D37" t="s">
        <v>123</v>
      </c>
      <c r="E37" s="5">
        <f>SUMIFS(Exploded_Detail_Relevant!$G$2:$G$491,Exploded_Detail_Relevant!$A$2:$A$491,$A37,Exploded_Detail_Relevant!$B$2:$B$491,$B37,Exploded_Detail_Relevant!$E$2:$E$491,$C37,Exploded_Detail_Relevant!$F$2:$F$491,$D37)</f>
        <v>5006849</v>
      </c>
      <c r="F37">
        <f>COUNTIFS(Exploded_Detail_Relevant!$A$2:$A$491,$A37,Exploded_Detail_Relevant!$B$2:$B$491,$B37,Exploded_Detail_Relevant!$E$2:$E$491,$C37,Exploded_Detail_Relevant!$F$2:$F$491,$D37)</f>
        <v>6</v>
      </c>
    </row>
    <row r="38" spans="1:6" x14ac:dyDescent="0.35">
      <c r="A38" t="s">
        <v>31</v>
      </c>
      <c r="B38" t="s">
        <v>32</v>
      </c>
      <c r="C38" t="s">
        <v>48</v>
      </c>
      <c r="D38" t="s">
        <v>123</v>
      </c>
      <c r="E38" s="5">
        <f>SUMIFS(Exploded_Detail_Relevant!$G$2:$G$491,Exploded_Detail_Relevant!$A$2:$A$491,$A38,Exploded_Detail_Relevant!$B$2:$B$491,$B38,Exploded_Detail_Relevant!$E$2:$E$491,$C38,Exploded_Detail_Relevant!$F$2:$F$491,$D38)</f>
        <v>40795329</v>
      </c>
      <c r="F38">
        <f>COUNTIFS(Exploded_Detail_Relevant!$A$2:$A$491,$A38,Exploded_Detail_Relevant!$B$2:$B$491,$B38,Exploded_Detail_Relevant!$E$2:$E$491,$C38,Exploded_Detail_Relevant!$F$2:$F$491,$D38)</f>
        <v>7</v>
      </c>
    </row>
    <row r="39" spans="1:6" x14ac:dyDescent="0.35">
      <c r="A39" t="s">
        <v>31</v>
      </c>
      <c r="B39" t="s">
        <v>45</v>
      </c>
      <c r="C39" t="s">
        <v>48</v>
      </c>
      <c r="D39" t="s">
        <v>123</v>
      </c>
      <c r="E39" s="5">
        <f>SUMIFS(Exploded_Detail_Relevant!$G$2:$G$491,Exploded_Detail_Relevant!$A$2:$A$491,$A39,Exploded_Detail_Relevant!$B$2:$B$491,$B39,Exploded_Detail_Relevant!$E$2:$E$491,$C39,Exploded_Detail_Relevant!$F$2:$F$491,$D39)</f>
        <v>39456702</v>
      </c>
      <c r="F39">
        <f>COUNTIFS(Exploded_Detail_Relevant!$A$2:$A$491,$A39,Exploded_Detail_Relevant!$B$2:$B$491,$B39,Exploded_Detail_Relevant!$E$2:$E$491,$C39,Exploded_Detail_Relevant!$F$2:$F$491,$D39)</f>
        <v>4</v>
      </c>
    </row>
    <row r="40" spans="1:6" x14ac:dyDescent="0.35">
      <c r="A40" t="s">
        <v>31</v>
      </c>
      <c r="B40" t="s">
        <v>32</v>
      </c>
      <c r="C40" t="s">
        <v>116</v>
      </c>
      <c r="D40" t="s">
        <v>123</v>
      </c>
      <c r="E40" s="5">
        <f>SUMIFS(Exploded_Detail_Relevant!$G$2:$G$491,Exploded_Detail_Relevant!$A$2:$A$491,$A40,Exploded_Detail_Relevant!$B$2:$B$491,$B40,Exploded_Detail_Relevant!$E$2:$E$491,$C40,Exploded_Detail_Relevant!$F$2:$F$491,$D40)</f>
        <v>51810000</v>
      </c>
      <c r="F40">
        <f>COUNTIFS(Exploded_Detail_Relevant!$A$2:$A$491,$A40,Exploded_Detail_Relevant!$B$2:$B$491,$B40,Exploded_Detail_Relevant!$E$2:$E$491,$C40,Exploded_Detail_Relevant!$F$2:$F$491,$D40)</f>
        <v>3</v>
      </c>
    </row>
    <row r="41" spans="1:6" x14ac:dyDescent="0.35">
      <c r="A41" t="s">
        <v>31</v>
      </c>
      <c r="B41" t="s">
        <v>45</v>
      </c>
      <c r="C41" t="s">
        <v>116</v>
      </c>
      <c r="D41" t="s">
        <v>123</v>
      </c>
      <c r="E41" s="5">
        <f>SUMIFS(Exploded_Detail_Relevant!$G$2:$G$491,Exploded_Detail_Relevant!$A$2:$A$491,$A41,Exploded_Detail_Relevant!$B$2:$B$491,$B41,Exploded_Detail_Relevant!$E$2:$E$491,$C41,Exploded_Detail_Relevant!$F$2:$F$491,$D41)</f>
        <v>32649987</v>
      </c>
      <c r="F41">
        <f>COUNTIFS(Exploded_Detail_Relevant!$A$2:$A$491,$A41,Exploded_Detail_Relevant!$B$2:$B$491,$B41,Exploded_Detail_Relevant!$E$2:$E$491,$C41,Exploded_Detail_Relevant!$F$2:$F$491,$D41)</f>
        <v>9</v>
      </c>
    </row>
    <row r="42" spans="1:6" x14ac:dyDescent="0.35">
      <c r="A42" t="s">
        <v>31</v>
      </c>
      <c r="B42" t="s">
        <v>32</v>
      </c>
      <c r="C42" t="s">
        <v>70</v>
      </c>
      <c r="D42" t="s">
        <v>123</v>
      </c>
      <c r="E42" s="5">
        <f>SUMIFS(Exploded_Detail_Relevant!$G$2:$G$491,Exploded_Detail_Relevant!$A$2:$A$491,$A42,Exploded_Detail_Relevant!$B$2:$B$491,$B42,Exploded_Detail_Relevant!$E$2:$E$491,$C42,Exploded_Detail_Relevant!$F$2:$F$491,$D42)</f>
        <v>14000291</v>
      </c>
      <c r="F42">
        <f>COUNTIFS(Exploded_Detail_Relevant!$A$2:$A$491,$A42,Exploded_Detail_Relevant!$B$2:$B$491,$B42,Exploded_Detail_Relevant!$E$2:$E$491,$C42,Exploded_Detail_Relevant!$F$2:$F$491,$D42)</f>
        <v>5</v>
      </c>
    </row>
    <row r="43" spans="1:6" x14ac:dyDescent="0.35">
      <c r="A43" t="s">
        <v>31</v>
      </c>
      <c r="B43" t="s">
        <v>45</v>
      </c>
      <c r="C43" t="s">
        <v>70</v>
      </c>
      <c r="D43" t="s">
        <v>123</v>
      </c>
      <c r="E43" s="5">
        <f>SUMIFS(Exploded_Detail_Relevant!$G$2:$G$491,Exploded_Detail_Relevant!$A$2:$A$491,$A43,Exploded_Detail_Relevant!$B$2:$B$491,$B43,Exploded_Detail_Relevant!$E$2:$E$491,$C43,Exploded_Detail_Relevant!$F$2:$F$491,$D43)</f>
        <v>70958001</v>
      </c>
      <c r="F43">
        <f>COUNTIFS(Exploded_Detail_Relevant!$A$2:$A$491,$A43,Exploded_Detail_Relevant!$B$2:$B$491,$B43,Exploded_Detail_Relevant!$E$2:$E$491,$C43,Exploded_Detail_Relevant!$F$2:$F$491,$D43)</f>
        <v>2</v>
      </c>
    </row>
    <row r="44" spans="1:6" x14ac:dyDescent="0.35">
      <c r="A44" t="s">
        <v>31</v>
      </c>
      <c r="B44" t="s">
        <v>45</v>
      </c>
      <c r="C44" t="s">
        <v>160</v>
      </c>
      <c r="D44" t="s">
        <v>123</v>
      </c>
      <c r="E44" s="5">
        <f>SUMIFS(Exploded_Detail_Relevant!$G$2:$G$491,Exploded_Detail_Relevant!$A$2:$A$491,$A44,Exploded_Detail_Relevant!$B$2:$B$491,$B44,Exploded_Detail_Relevant!$E$2:$E$491,$C44,Exploded_Detail_Relevant!$F$2:$F$491,$D44)</f>
        <v>2102187</v>
      </c>
      <c r="F44">
        <f>COUNTIFS(Exploded_Detail_Relevant!$A$2:$A$491,$A44,Exploded_Detail_Relevant!$B$2:$B$491,$B44,Exploded_Detail_Relevant!$E$2:$E$491,$C44,Exploded_Detail_Relevant!$F$2:$F$491,$D44)</f>
        <v>2</v>
      </c>
    </row>
    <row r="45" spans="1:6" x14ac:dyDescent="0.35">
      <c r="A45" t="s">
        <v>31</v>
      </c>
      <c r="B45" t="s">
        <v>45</v>
      </c>
      <c r="C45" t="s">
        <v>51</v>
      </c>
      <c r="D45" t="s">
        <v>123</v>
      </c>
      <c r="E45" s="5">
        <f>SUMIFS(Exploded_Detail_Relevant!$G$2:$G$491,Exploded_Detail_Relevant!$A$2:$A$491,$A45,Exploded_Detail_Relevant!$B$2:$B$491,$B45,Exploded_Detail_Relevant!$E$2:$E$491,$C45,Exploded_Detail_Relevant!$F$2:$F$491,$D45)</f>
        <v>2227441</v>
      </c>
      <c r="F45">
        <f>COUNTIFS(Exploded_Detail_Relevant!$A$2:$A$491,$A45,Exploded_Detail_Relevant!$B$2:$B$491,$B45,Exploded_Detail_Relevant!$E$2:$E$491,$C45,Exploded_Detail_Relevant!$F$2:$F$491,$D45)</f>
        <v>1</v>
      </c>
    </row>
    <row r="46" spans="1:6" x14ac:dyDescent="0.35">
      <c r="A46" t="s">
        <v>31</v>
      </c>
      <c r="B46" t="s">
        <v>32</v>
      </c>
      <c r="C46" t="s">
        <v>60</v>
      </c>
      <c r="D46" t="s">
        <v>123</v>
      </c>
      <c r="E46" s="5">
        <f>SUMIFS(Exploded_Detail_Relevant!$G$2:$G$491,Exploded_Detail_Relevant!$A$2:$A$491,$A46,Exploded_Detail_Relevant!$B$2:$B$491,$B46,Exploded_Detail_Relevant!$E$2:$E$491,$C46,Exploded_Detail_Relevant!$F$2:$F$491,$D46)</f>
        <v>10742000</v>
      </c>
      <c r="F46">
        <f>COUNTIFS(Exploded_Detail_Relevant!$A$2:$A$491,$A46,Exploded_Detail_Relevant!$B$2:$B$491,$B46,Exploded_Detail_Relevant!$E$2:$E$491,$C46,Exploded_Detail_Relevant!$F$2:$F$491,$D46)</f>
        <v>2</v>
      </c>
    </row>
    <row r="47" spans="1:6" x14ac:dyDescent="0.35">
      <c r="A47" t="s">
        <v>31</v>
      </c>
      <c r="B47" t="s">
        <v>45</v>
      </c>
      <c r="C47" t="s">
        <v>60</v>
      </c>
      <c r="D47" t="s">
        <v>123</v>
      </c>
      <c r="E47" s="5">
        <f>SUMIFS(Exploded_Detail_Relevant!$G$2:$G$491,Exploded_Detail_Relevant!$A$2:$A$491,$A47,Exploded_Detail_Relevant!$B$2:$B$491,$B47,Exploded_Detail_Relevant!$E$2:$E$491,$C47,Exploded_Detail_Relevant!$F$2:$F$491,$D47)</f>
        <v>43410189</v>
      </c>
      <c r="F47">
        <f>COUNTIFS(Exploded_Detail_Relevant!$A$2:$A$491,$A47,Exploded_Detail_Relevant!$B$2:$B$491,$B47,Exploded_Detail_Relevant!$E$2:$E$491,$C47,Exploded_Detail_Relevant!$F$2:$F$491,$D47)</f>
        <v>2</v>
      </c>
    </row>
    <row r="48" spans="1:6" x14ac:dyDescent="0.35">
      <c r="A48" t="s">
        <v>31</v>
      </c>
      <c r="B48" t="s">
        <v>45</v>
      </c>
      <c r="C48" t="s">
        <v>74</v>
      </c>
      <c r="D48" t="s">
        <v>123</v>
      </c>
      <c r="E48" s="5">
        <f>SUMIFS(Exploded_Detail_Relevant!$G$2:$G$491,Exploded_Detail_Relevant!$A$2:$A$491,$A48,Exploded_Detail_Relevant!$B$2:$B$491,$B48,Exploded_Detail_Relevant!$E$2:$E$491,$C48,Exploded_Detail_Relevant!$F$2:$F$491,$D48)</f>
        <v>1369555</v>
      </c>
      <c r="F48">
        <f>COUNTIFS(Exploded_Detail_Relevant!$A$2:$A$491,$A48,Exploded_Detail_Relevant!$B$2:$B$491,$B48,Exploded_Detail_Relevant!$E$2:$E$491,$C48,Exploded_Detail_Relevant!$F$2:$F$491,$D48)</f>
        <v>2</v>
      </c>
    </row>
    <row r="49" spans="1:6" x14ac:dyDescent="0.35">
      <c r="A49" t="s">
        <v>31</v>
      </c>
      <c r="B49" t="s">
        <v>32</v>
      </c>
      <c r="C49" t="s">
        <v>35</v>
      </c>
      <c r="D49" t="s">
        <v>123</v>
      </c>
      <c r="E49" s="5">
        <f>SUMIFS(Exploded_Detail_Relevant!$G$2:$G$491,Exploded_Detail_Relevant!$A$2:$A$491,$A49,Exploded_Detail_Relevant!$B$2:$B$491,$B49,Exploded_Detail_Relevant!$E$2:$E$491,$C49,Exploded_Detail_Relevant!$F$2:$F$491,$D49)</f>
        <v>11435261</v>
      </c>
      <c r="F49">
        <f>COUNTIFS(Exploded_Detail_Relevant!$A$2:$A$491,$A49,Exploded_Detail_Relevant!$B$2:$B$491,$B49,Exploded_Detail_Relevant!$E$2:$E$491,$C49,Exploded_Detail_Relevant!$F$2:$F$491,$D49)</f>
        <v>4</v>
      </c>
    </row>
    <row r="50" spans="1:6" x14ac:dyDescent="0.35">
      <c r="A50" t="s">
        <v>31</v>
      </c>
      <c r="B50" t="s">
        <v>45</v>
      </c>
      <c r="C50" t="s">
        <v>35</v>
      </c>
      <c r="D50" t="s">
        <v>123</v>
      </c>
      <c r="E50" s="5">
        <f>SUMIFS(Exploded_Detail_Relevant!$G$2:$G$491,Exploded_Detail_Relevant!$A$2:$A$491,$A50,Exploded_Detail_Relevant!$B$2:$B$491,$B50,Exploded_Detail_Relevant!$E$2:$E$491,$C50,Exploded_Detail_Relevant!$F$2:$F$491,$D50)</f>
        <v>19126169</v>
      </c>
      <c r="F50">
        <f>COUNTIFS(Exploded_Detail_Relevant!$A$2:$A$491,$A50,Exploded_Detail_Relevant!$B$2:$B$491,$B50,Exploded_Detail_Relevant!$E$2:$E$491,$C50,Exploded_Detail_Relevant!$F$2:$F$491,$D50)</f>
        <v>4</v>
      </c>
    </row>
    <row r="51" spans="1:6" x14ac:dyDescent="0.35">
      <c r="A51" t="s">
        <v>31</v>
      </c>
      <c r="B51" t="s">
        <v>45</v>
      </c>
      <c r="C51" t="s">
        <v>175</v>
      </c>
      <c r="D51" t="s">
        <v>123</v>
      </c>
      <c r="E51" s="5">
        <f>SUMIFS(Exploded_Detail_Relevant!$G$2:$G$491,Exploded_Detail_Relevant!$A$2:$A$491,$A51,Exploded_Detail_Relevant!$B$2:$B$491,$B51,Exploded_Detail_Relevant!$E$2:$E$491,$C51,Exploded_Detail_Relevant!$F$2:$F$491,$D51)</f>
        <v>9188952</v>
      </c>
      <c r="F51">
        <f>COUNTIFS(Exploded_Detail_Relevant!$A$2:$A$491,$A51,Exploded_Detail_Relevant!$B$2:$B$491,$B51,Exploded_Detail_Relevant!$E$2:$E$491,$C51,Exploded_Detail_Relevant!$F$2:$F$491,$D51)</f>
        <v>1</v>
      </c>
    </row>
    <row r="52" spans="1:6" x14ac:dyDescent="0.35">
      <c r="A52" t="s">
        <v>31</v>
      </c>
      <c r="B52" t="s">
        <v>45</v>
      </c>
      <c r="C52" t="s">
        <v>98</v>
      </c>
      <c r="D52" t="s">
        <v>123</v>
      </c>
      <c r="E52" s="5">
        <f>SUMIFS(Exploded_Detail_Relevant!$G$2:$G$491,Exploded_Detail_Relevant!$A$2:$A$491,$A52,Exploded_Detail_Relevant!$B$2:$B$491,$B52,Exploded_Detail_Relevant!$E$2:$E$491,$C52,Exploded_Detail_Relevant!$F$2:$F$491,$D52)</f>
        <v>4032000</v>
      </c>
      <c r="F52">
        <f>COUNTIFS(Exploded_Detail_Relevant!$A$2:$A$491,$A52,Exploded_Detail_Relevant!$B$2:$B$491,$B52,Exploded_Detail_Relevant!$E$2:$E$491,$C52,Exploded_Detail_Relevant!$F$2:$F$491,$D52)</f>
        <v>1</v>
      </c>
    </row>
    <row r="53" spans="1:6" x14ac:dyDescent="0.35">
      <c r="A53" t="s">
        <v>31</v>
      </c>
      <c r="B53" t="s">
        <v>32</v>
      </c>
      <c r="C53" t="s">
        <v>116</v>
      </c>
      <c r="D53" t="s">
        <v>180</v>
      </c>
      <c r="E53" s="5">
        <f>SUMIFS(Exploded_Detail_Relevant!$G$2:$G$491,Exploded_Detail_Relevant!$A$2:$A$491,$A53,Exploded_Detail_Relevant!$B$2:$B$491,$B53,Exploded_Detail_Relevant!$E$2:$E$491,$C53,Exploded_Detail_Relevant!$F$2:$F$491,$D53)</f>
        <v>960000</v>
      </c>
      <c r="F53">
        <f>COUNTIFS(Exploded_Detail_Relevant!$A$2:$A$491,$A53,Exploded_Detail_Relevant!$B$2:$B$491,$B53,Exploded_Detail_Relevant!$E$2:$E$491,$C53,Exploded_Detail_Relevant!$F$2:$F$491,$D53)</f>
        <v>1</v>
      </c>
    </row>
    <row r="54" spans="1:6" x14ac:dyDescent="0.35">
      <c r="A54" t="s">
        <v>31</v>
      </c>
      <c r="B54" t="s">
        <v>32</v>
      </c>
      <c r="C54" t="s">
        <v>51</v>
      </c>
      <c r="D54" t="s">
        <v>180</v>
      </c>
      <c r="E54" s="5">
        <f>SUMIFS(Exploded_Detail_Relevant!$G$2:$G$491,Exploded_Detail_Relevant!$A$2:$A$491,$A54,Exploded_Detail_Relevant!$B$2:$B$491,$B54,Exploded_Detail_Relevant!$E$2:$E$491,$C54,Exploded_Detail_Relevant!$F$2:$F$491,$D54)</f>
        <v>2250000</v>
      </c>
      <c r="F54">
        <f>COUNTIFS(Exploded_Detail_Relevant!$A$2:$A$491,$A54,Exploded_Detail_Relevant!$B$2:$B$491,$B54,Exploded_Detail_Relevant!$E$2:$E$491,$C54,Exploded_Detail_Relevant!$F$2:$F$491,$D54)</f>
        <v>1</v>
      </c>
    </row>
    <row r="55" spans="1:6" x14ac:dyDescent="0.35">
      <c r="A55" t="s">
        <v>31</v>
      </c>
      <c r="B55" t="s">
        <v>32</v>
      </c>
      <c r="C55" t="s">
        <v>70</v>
      </c>
      <c r="D55" t="s">
        <v>183</v>
      </c>
      <c r="E55" s="5">
        <f>SUMIFS(Exploded_Detail_Relevant!$G$2:$G$491,Exploded_Detail_Relevant!$A$2:$A$491,$A55,Exploded_Detail_Relevant!$B$2:$B$491,$B55,Exploded_Detail_Relevant!$E$2:$E$491,$C55,Exploded_Detail_Relevant!$F$2:$F$491,$D55)</f>
        <v>3780000</v>
      </c>
      <c r="F55">
        <f>COUNTIFS(Exploded_Detail_Relevant!$A$2:$A$491,$A55,Exploded_Detail_Relevant!$B$2:$B$491,$B55,Exploded_Detail_Relevant!$E$2:$E$491,$C55,Exploded_Detail_Relevant!$F$2:$F$491,$D55)</f>
        <v>2</v>
      </c>
    </row>
    <row r="56" spans="1:6" x14ac:dyDescent="0.35">
      <c r="A56" t="s">
        <v>31</v>
      </c>
      <c r="B56" t="s">
        <v>32</v>
      </c>
      <c r="C56" t="s">
        <v>35</v>
      </c>
      <c r="D56" t="s">
        <v>184</v>
      </c>
      <c r="E56" s="5">
        <f>SUMIFS(Exploded_Detail_Relevant!$G$2:$G$491,Exploded_Detail_Relevant!$A$2:$A$491,$A56,Exploded_Detail_Relevant!$B$2:$B$491,$B56,Exploded_Detail_Relevant!$E$2:$E$491,$C56,Exploded_Detail_Relevant!$F$2:$F$491,$D56)</f>
        <v>8097880</v>
      </c>
      <c r="F56">
        <f>COUNTIFS(Exploded_Detail_Relevant!$A$2:$A$491,$A56,Exploded_Detail_Relevant!$B$2:$B$491,$B56,Exploded_Detail_Relevant!$E$2:$E$491,$C56,Exploded_Detail_Relevant!$F$2:$F$491,$D56)</f>
        <v>2</v>
      </c>
    </row>
    <row r="57" spans="1:6" x14ac:dyDescent="0.35">
      <c r="A57" t="s">
        <v>31</v>
      </c>
      <c r="B57" t="s">
        <v>45</v>
      </c>
      <c r="C57" t="s">
        <v>35</v>
      </c>
      <c r="D57" t="s">
        <v>184</v>
      </c>
      <c r="E57" s="5">
        <f>SUMIFS(Exploded_Detail_Relevant!$G$2:$G$491,Exploded_Detail_Relevant!$A$2:$A$491,$A57,Exploded_Detail_Relevant!$B$2:$B$491,$B57,Exploded_Detail_Relevant!$E$2:$E$491,$C57,Exploded_Detail_Relevant!$F$2:$F$491,$D57)</f>
        <v>16154169</v>
      </c>
      <c r="F57">
        <f>COUNTIFS(Exploded_Detail_Relevant!$A$2:$A$491,$A57,Exploded_Detail_Relevant!$B$2:$B$491,$B57,Exploded_Detail_Relevant!$E$2:$E$491,$C57,Exploded_Detail_Relevant!$F$2:$F$491,$D57)</f>
        <v>2</v>
      </c>
    </row>
    <row r="58" spans="1:6" x14ac:dyDescent="0.35">
      <c r="A58" t="s">
        <v>31</v>
      </c>
      <c r="B58" t="s">
        <v>32</v>
      </c>
      <c r="C58" t="s">
        <v>51</v>
      </c>
      <c r="D58" t="s">
        <v>187</v>
      </c>
      <c r="E58" s="5">
        <f>SUMIFS(Exploded_Detail_Relevant!$G$2:$G$491,Exploded_Detail_Relevant!$A$2:$A$491,$A58,Exploded_Detail_Relevant!$B$2:$B$491,$B58,Exploded_Detail_Relevant!$E$2:$E$491,$C58,Exploded_Detail_Relevant!$F$2:$F$491,$D58)</f>
        <v>1740000</v>
      </c>
      <c r="F58">
        <f>COUNTIFS(Exploded_Detail_Relevant!$A$2:$A$491,$A58,Exploded_Detail_Relevant!$B$2:$B$491,$B58,Exploded_Detail_Relevant!$E$2:$E$491,$C58,Exploded_Detail_Relevant!$F$2:$F$491,$D58)</f>
        <v>1</v>
      </c>
    </row>
    <row r="59" spans="1:6" x14ac:dyDescent="0.35">
      <c r="A59" t="s">
        <v>31</v>
      </c>
      <c r="B59" t="s">
        <v>32</v>
      </c>
      <c r="C59" t="s">
        <v>35</v>
      </c>
      <c r="D59" t="s">
        <v>187</v>
      </c>
      <c r="E59" s="5">
        <f>SUMIFS(Exploded_Detail_Relevant!$G$2:$G$491,Exploded_Detail_Relevant!$A$2:$A$491,$A59,Exploded_Detail_Relevant!$B$2:$B$491,$B59,Exploded_Detail_Relevant!$E$2:$E$491,$C59,Exploded_Detail_Relevant!$F$2:$F$491,$D59)</f>
        <v>6625976</v>
      </c>
      <c r="F59">
        <f>COUNTIFS(Exploded_Detail_Relevant!$A$2:$A$491,$A59,Exploded_Detail_Relevant!$B$2:$B$491,$B59,Exploded_Detail_Relevant!$E$2:$E$491,$C59,Exploded_Detail_Relevant!$F$2:$F$491,$D59)</f>
        <v>1</v>
      </c>
    </row>
    <row r="60" spans="1:6" x14ac:dyDescent="0.35">
      <c r="A60" t="s">
        <v>31</v>
      </c>
      <c r="B60" t="s">
        <v>45</v>
      </c>
      <c r="C60" t="s">
        <v>35</v>
      </c>
      <c r="D60" t="s">
        <v>187</v>
      </c>
      <c r="E60" s="5">
        <f>SUMIFS(Exploded_Detail_Relevant!$G$2:$G$491,Exploded_Detail_Relevant!$A$2:$A$491,$A60,Exploded_Detail_Relevant!$B$2:$B$491,$B60,Exploded_Detail_Relevant!$E$2:$E$491,$C60,Exploded_Detail_Relevant!$F$2:$F$491,$D60)</f>
        <v>6452835</v>
      </c>
      <c r="F60">
        <f>COUNTIFS(Exploded_Detail_Relevant!$A$2:$A$491,$A60,Exploded_Detail_Relevant!$B$2:$B$491,$B60,Exploded_Detail_Relevant!$E$2:$E$491,$C60,Exploded_Detail_Relevant!$F$2:$F$491,$D60)</f>
        <v>1</v>
      </c>
    </row>
    <row r="61" spans="1:6" x14ac:dyDescent="0.35">
      <c r="A61" t="s">
        <v>31</v>
      </c>
      <c r="B61" t="s">
        <v>32</v>
      </c>
      <c r="C61" t="s">
        <v>74</v>
      </c>
      <c r="D61" t="s">
        <v>192</v>
      </c>
      <c r="E61" s="5">
        <f>SUMIFS(Exploded_Detail_Relevant!$G$2:$G$491,Exploded_Detail_Relevant!$A$2:$A$491,$A61,Exploded_Detail_Relevant!$B$2:$B$491,$B61,Exploded_Detail_Relevant!$E$2:$E$491,$C61,Exploded_Detail_Relevant!$F$2:$F$491,$D61)</f>
        <v>34739000</v>
      </c>
      <c r="F61">
        <f>COUNTIFS(Exploded_Detail_Relevant!$A$2:$A$491,$A61,Exploded_Detail_Relevant!$B$2:$B$491,$B61,Exploded_Detail_Relevant!$E$2:$E$491,$C61,Exploded_Detail_Relevant!$F$2:$F$491,$D61)</f>
        <v>2</v>
      </c>
    </row>
    <row r="62" spans="1:6" x14ac:dyDescent="0.35">
      <c r="A62" t="s">
        <v>31</v>
      </c>
      <c r="B62" t="s">
        <v>45</v>
      </c>
      <c r="C62" t="s">
        <v>74</v>
      </c>
      <c r="D62" t="s">
        <v>192</v>
      </c>
      <c r="E62" s="5">
        <f>SUMIFS(Exploded_Detail_Relevant!$G$2:$G$491,Exploded_Detail_Relevant!$A$2:$A$491,$A62,Exploded_Detail_Relevant!$B$2:$B$491,$B62,Exploded_Detail_Relevant!$E$2:$E$491,$C62,Exploded_Detail_Relevant!$F$2:$F$491,$D62)</f>
        <v>12444063</v>
      </c>
      <c r="F62">
        <f>COUNTIFS(Exploded_Detail_Relevant!$A$2:$A$491,$A62,Exploded_Detail_Relevant!$B$2:$B$491,$B62,Exploded_Detail_Relevant!$E$2:$E$491,$C62,Exploded_Detail_Relevant!$F$2:$F$491,$D62)</f>
        <v>2</v>
      </c>
    </row>
    <row r="63" spans="1:6" x14ac:dyDescent="0.35">
      <c r="A63" t="s">
        <v>31</v>
      </c>
      <c r="B63" t="s">
        <v>32</v>
      </c>
      <c r="C63" t="s">
        <v>195</v>
      </c>
      <c r="D63" t="s">
        <v>192</v>
      </c>
      <c r="E63" s="5">
        <f>SUMIFS(Exploded_Detail_Relevant!$G$2:$G$491,Exploded_Detail_Relevant!$A$2:$A$491,$A63,Exploded_Detail_Relevant!$B$2:$B$491,$B63,Exploded_Detail_Relevant!$E$2:$E$491,$C63,Exploded_Detail_Relevant!$F$2:$F$491,$D63)</f>
        <v>19729143</v>
      </c>
      <c r="F63">
        <f>COUNTIFS(Exploded_Detail_Relevant!$A$2:$A$491,$A63,Exploded_Detail_Relevant!$B$2:$B$491,$B63,Exploded_Detail_Relevant!$E$2:$E$491,$C63,Exploded_Detail_Relevant!$F$2:$F$491,$D63)</f>
        <v>2</v>
      </c>
    </row>
    <row r="64" spans="1:6" x14ac:dyDescent="0.35">
      <c r="A64" t="s">
        <v>31</v>
      </c>
      <c r="B64" t="s">
        <v>45</v>
      </c>
      <c r="C64" t="s">
        <v>195</v>
      </c>
      <c r="D64" t="s">
        <v>192</v>
      </c>
      <c r="E64" s="5">
        <f>SUMIFS(Exploded_Detail_Relevant!$G$2:$G$491,Exploded_Detail_Relevant!$A$2:$A$491,$A64,Exploded_Detail_Relevant!$B$2:$B$491,$B64,Exploded_Detail_Relevant!$E$2:$E$491,$C64,Exploded_Detail_Relevant!$F$2:$F$491,$D64)</f>
        <v>18332127</v>
      </c>
      <c r="F64">
        <f>COUNTIFS(Exploded_Detail_Relevant!$A$2:$A$491,$A64,Exploded_Detail_Relevant!$B$2:$B$491,$B64,Exploded_Detail_Relevant!$E$2:$E$491,$C64,Exploded_Detail_Relevant!$F$2:$F$491,$D64)</f>
        <v>7</v>
      </c>
    </row>
    <row r="65" spans="1:6" x14ac:dyDescent="0.35">
      <c r="A65" t="s">
        <v>31</v>
      </c>
      <c r="B65" t="s">
        <v>32</v>
      </c>
      <c r="C65" t="s">
        <v>43</v>
      </c>
      <c r="D65" t="s">
        <v>196</v>
      </c>
      <c r="E65" s="5">
        <f>SUMIFS(Exploded_Detail_Relevant!$G$2:$G$491,Exploded_Detail_Relevant!$A$2:$A$491,$A65,Exploded_Detail_Relevant!$B$2:$B$491,$B65,Exploded_Detail_Relevant!$E$2:$E$491,$C65,Exploded_Detail_Relevant!$F$2:$F$491,$D65)</f>
        <v>766440</v>
      </c>
      <c r="F65">
        <f>COUNTIFS(Exploded_Detail_Relevant!$A$2:$A$491,$A65,Exploded_Detail_Relevant!$B$2:$B$491,$B65,Exploded_Detail_Relevant!$E$2:$E$491,$C65,Exploded_Detail_Relevant!$F$2:$F$491,$D65)</f>
        <v>1</v>
      </c>
    </row>
    <row r="66" spans="1:6" x14ac:dyDescent="0.35">
      <c r="A66" t="s">
        <v>31</v>
      </c>
      <c r="B66" t="s">
        <v>32</v>
      </c>
      <c r="C66" t="s">
        <v>51</v>
      </c>
      <c r="D66" t="s">
        <v>196</v>
      </c>
      <c r="E66" s="5">
        <f>SUMIFS(Exploded_Detail_Relevant!$G$2:$G$491,Exploded_Detail_Relevant!$A$2:$A$491,$A66,Exploded_Detail_Relevant!$B$2:$B$491,$B66,Exploded_Detail_Relevant!$E$2:$E$491,$C66,Exploded_Detail_Relevant!$F$2:$F$491,$D66)</f>
        <v>3150000</v>
      </c>
      <c r="F66">
        <f>COUNTIFS(Exploded_Detail_Relevant!$A$2:$A$491,$A66,Exploded_Detail_Relevant!$B$2:$B$491,$B66,Exploded_Detail_Relevant!$E$2:$E$491,$C66,Exploded_Detail_Relevant!$F$2:$F$491,$D66)</f>
        <v>1</v>
      </c>
    </row>
    <row r="67" spans="1:6" x14ac:dyDescent="0.35">
      <c r="A67" t="s">
        <v>31</v>
      </c>
      <c r="B67" t="s">
        <v>45</v>
      </c>
      <c r="C67" t="s">
        <v>43</v>
      </c>
      <c r="D67" t="s">
        <v>199</v>
      </c>
      <c r="E67" s="5">
        <f>SUMIFS(Exploded_Detail_Relevant!$G$2:$G$491,Exploded_Detail_Relevant!$A$2:$A$491,$A67,Exploded_Detail_Relevant!$B$2:$B$491,$B67,Exploded_Detail_Relevant!$E$2:$E$491,$C67,Exploded_Detail_Relevant!$F$2:$F$491,$D67)</f>
        <v>2945600</v>
      </c>
      <c r="F67">
        <f>COUNTIFS(Exploded_Detail_Relevant!$A$2:$A$491,$A67,Exploded_Detail_Relevant!$B$2:$B$491,$B67,Exploded_Detail_Relevant!$E$2:$E$491,$C67,Exploded_Detail_Relevant!$F$2:$F$491,$D67)</f>
        <v>3</v>
      </c>
    </row>
    <row r="68" spans="1:6" x14ac:dyDescent="0.35">
      <c r="A68" t="s">
        <v>31</v>
      </c>
      <c r="B68" t="s">
        <v>32</v>
      </c>
      <c r="C68" t="s">
        <v>51</v>
      </c>
      <c r="D68" t="s">
        <v>199</v>
      </c>
      <c r="E68" s="5">
        <f>SUMIFS(Exploded_Detail_Relevant!$G$2:$G$491,Exploded_Detail_Relevant!$A$2:$A$491,$A68,Exploded_Detail_Relevant!$B$2:$B$491,$B68,Exploded_Detail_Relevant!$E$2:$E$491,$C68,Exploded_Detail_Relevant!$F$2:$F$491,$D68)</f>
        <v>2475000</v>
      </c>
      <c r="F68">
        <f>COUNTIFS(Exploded_Detail_Relevant!$A$2:$A$491,$A68,Exploded_Detail_Relevant!$B$2:$B$491,$B68,Exploded_Detail_Relevant!$E$2:$E$491,$C68,Exploded_Detail_Relevant!$F$2:$F$491,$D68)</f>
        <v>1</v>
      </c>
    </row>
    <row r="69" spans="1:6" x14ac:dyDescent="0.35">
      <c r="A69" t="s">
        <v>31</v>
      </c>
      <c r="B69" t="s">
        <v>45</v>
      </c>
      <c r="C69" t="s">
        <v>51</v>
      </c>
      <c r="D69" t="s">
        <v>199</v>
      </c>
      <c r="E69" s="5">
        <f>SUMIFS(Exploded_Detail_Relevant!$G$2:$G$491,Exploded_Detail_Relevant!$A$2:$A$491,$A69,Exploded_Detail_Relevant!$B$2:$B$491,$B69,Exploded_Detail_Relevant!$E$2:$E$491,$C69,Exploded_Detail_Relevant!$F$2:$F$491,$D69)</f>
        <v>908846</v>
      </c>
      <c r="F69">
        <f>COUNTIFS(Exploded_Detail_Relevant!$A$2:$A$491,$A69,Exploded_Detail_Relevant!$B$2:$B$491,$B69,Exploded_Detail_Relevant!$E$2:$E$491,$C69,Exploded_Detail_Relevant!$F$2:$F$491,$D69)</f>
        <v>2</v>
      </c>
    </row>
    <row r="70" spans="1:6" x14ac:dyDescent="0.35">
      <c r="A70" t="s">
        <v>31</v>
      </c>
      <c r="B70" t="s">
        <v>32</v>
      </c>
      <c r="C70" t="s">
        <v>35</v>
      </c>
      <c r="D70" t="s">
        <v>199</v>
      </c>
      <c r="E70" s="5">
        <f>SUMIFS(Exploded_Detail_Relevant!$G$2:$G$491,Exploded_Detail_Relevant!$A$2:$A$491,$A70,Exploded_Detail_Relevant!$B$2:$B$491,$B70,Exploded_Detail_Relevant!$E$2:$E$491,$C70,Exploded_Detail_Relevant!$F$2:$F$491,$D70)</f>
        <v>7600000</v>
      </c>
      <c r="F70">
        <f>COUNTIFS(Exploded_Detail_Relevant!$A$2:$A$491,$A70,Exploded_Detail_Relevant!$B$2:$B$491,$B70,Exploded_Detail_Relevant!$E$2:$E$491,$C70,Exploded_Detail_Relevant!$F$2:$F$491,$D70)</f>
        <v>2</v>
      </c>
    </row>
    <row r="71" spans="1:6" x14ac:dyDescent="0.35">
      <c r="A71" t="s">
        <v>31</v>
      </c>
      <c r="B71" t="s">
        <v>45</v>
      </c>
      <c r="C71" t="s">
        <v>35</v>
      </c>
      <c r="D71" t="s">
        <v>199</v>
      </c>
      <c r="E71" s="5">
        <f>SUMIFS(Exploded_Detail_Relevant!$G$2:$G$491,Exploded_Detail_Relevant!$A$2:$A$491,$A71,Exploded_Detail_Relevant!$B$2:$B$491,$B71,Exploded_Detail_Relevant!$E$2:$E$491,$C71,Exploded_Detail_Relevant!$F$2:$F$491,$D71)</f>
        <v>7767225</v>
      </c>
      <c r="F71">
        <f>COUNTIFS(Exploded_Detail_Relevant!$A$2:$A$491,$A71,Exploded_Detail_Relevant!$B$2:$B$491,$B71,Exploded_Detail_Relevant!$E$2:$E$491,$C71,Exploded_Detail_Relevant!$F$2:$F$491,$D71)</f>
        <v>3</v>
      </c>
    </row>
    <row r="72" spans="1:6" x14ac:dyDescent="0.35">
      <c r="A72" t="s">
        <v>31</v>
      </c>
      <c r="B72" t="s">
        <v>32</v>
      </c>
      <c r="C72" t="s">
        <v>35</v>
      </c>
      <c r="D72" t="s">
        <v>208</v>
      </c>
      <c r="E72" s="5">
        <f>SUMIFS(Exploded_Detail_Relevant!$G$2:$G$491,Exploded_Detail_Relevant!$A$2:$A$491,$A72,Exploded_Detail_Relevant!$B$2:$B$491,$B72,Exploded_Detail_Relevant!$E$2:$E$491,$C72,Exploded_Detail_Relevant!$F$2:$F$491,$D72)</f>
        <v>105383</v>
      </c>
      <c r="F72">
        <f>COUNTIFS(Exploded_Detail_Relevant!$A$2:$A$491,$A72,Exploded_Detail_Relevant!$B$2:$B$491,$B72,Exploded_Detail_Relevant!$E$2:$E$491,$C72,Exploded_Detail_Relevant!$F$2:$F$491,$D72)</f>
        <v>1</v>
      </c>
    </row>
    <row r="73" spans="1:6" x14ac:dyDescent="0.35">
      <c r="A73" t="s">
        <v>31</v>
      </c>
      <c r="B73" t="s">
        <v>45</v>
      </c>
      <c r="C73" t="s">
        <v>35</v>
      </c>
      <c r="D73" t="s">
        <v>208</v>
      </c>
      <c r="E73" s="5">
        <f>SUMIFS(Exploded_Detail_Relevant!$G$2:$G$491,Exploded_Detail_Relevant!$A$2:$A$491,$A73,Exploded_Detail_Relevant!$B$2:$B$491,$B73,Exploded_Detail_Relevant!$E$2:$E$491,$C73,Exploded_Detail_Relevant!$F$2:$F$491,$D73)</f>
        <v>854618</v>
      </c>
      <c r="F73">
        <f>COUNTIFS(Exploded_Detail_Relevant!$A$2:$A$491,$A73,Exploded_Detail_Relevant!$B$2:$B$491,$B73,Exploded_Detail_Relevant!$E$2:$E$491,$C73,Exploded_Detail_Relevant!$F$2:$F$491,$D73)</f>
        <v>2</v>
      </c>
    </row>
    <row r="74" spans="1:6" x14ac:dyDescent="0.35">
      <c r="A74" t="s">
        <v>31</v>
      </c>
      <c r="B74" t="s">
        <v>32</v>
      </c>
      <c r="C74" t="s">
        <v>116</v>
      </c>
      <c r="D74" t="s">
        <v>209</v>
      </c>
      <c r="E74" s="5">
        <f>SUMIFS(Exploded_Detail_Relevant!$G$2:$G$491,Exploded_Detail_Relevant!$A$2:$A$491,$A74,Exploded_Detail_Relevant!$B$2:$B$491,$B74,Exploded_Detail_Relevant!$E$2:$E$491,$C74,Exploded_Detail_Relevant!$F$2:$F$491,$D74)</f>
        <v>50850000</v>
      </c>
      <c r="F74">
        <f>COUNTIFS(Exploded_Detail_Relevant!$A$2:$A$491,$A74,Exploded_Detail_Relevant!$B$2:$B$491,$B74,Exploded_Detail_Relevant!$E$2:$E$491,$C74,Exploded_Detail_Relevant!$F$2:$F$491,$D74)</f>
        <v>2</v>
      </c>
    </row>
    <row r="75" spans="1:6" x14ac:dyDescent="0.35">
      <c r="A75" t="s">
        <v>31</v>
      </c>
      <c r="B75" t="s">
        <v>45</v>
      </c>
      <c r="C75" t="s">
        <v>116</v>
      </c>
      <c r="D75" t="s">
        <v>209</v>
      </c>
      <c r="E75" s="5">
        <f>SUMIFS(Exploded_Detail_Relevant!$G$2:$G$491,Exploded_Detail_Relevant!$A$2:$A$491,$A75,Exploded_Detail_Relevant!$B$2:$B$491,$B75,Exploded_Detail_Relevant!$E$2:$E$491,$C75,Exploded_Detail_Relevant!$F$2:$F$491,$D75)</f>
        <v>28384424</v>
      </c>
      <c r="F75">
        <f>COUNTIFS(Exploded_Detail_Relevant!$A$2:$A$491,$A75,Exploded_Detail_Relevant!$B$2:$B$491,$B75,Exploded_Detail_Relevant!$E$2:$E$491,$C75,Exploded_Detail_Relevant!$F$2:$F$491,$D75)</f>
        <v>4</v>
      </c>
    </row>
    <row r="76" spans="1:6" x14ac:dyDescent="0.35">
      <c r="A76" t="s">
        <v>31</v>
      </c>
      <c r="B76" t="s">
        <v>32</v>
      </c>
      <c r="C76" t="s">
        <v>35</v>
      </c>
      <c r="D76" t="s">
        <v>209</v>
      </c>
      <c r="E76" s="5">
        <f>SUMIFS(Exploded_Detail_Relevant!$G$2:$G$491,Exploded_Detail_Relevant!$A$2:$A$491,$A76,Exploded_Detail_Relevant!$B$2:$B$491,$B76,Exploded_Detail_Relevant!$E$2:$E$491,$C76,Exploded_Detail_Relevant!$F$2:$F$491,$D76)</f>
        <v>2640000</v>
      </c>
      <c r="F76">
        <f>COUNTIFS(Exploded_Detail_Relevant!$A$2:$A$491,$A76,Exploded_Detail_Relevant!$B$2:$B$491,$B76,Exploded_Detail_Relevant!$E$2:$E$491,$C76,Exploded_Detail_Relevant!$F$2:$F$491,$D76)</f>
        <v>2</v>
      </c>
    </row>
    <row r="77" spans="1:6" x14ac:dyDescent="0.35">
      <c r="A77" t="s">
        <v>31</v>
      </c>
      <c r="B77" t="s">
        <v>32</v>
      </c>
      <c r="C77" t="s">
        <v>90</v>
      </c>
      <c r="D77" t="s">
        <v>214</v>
      </c>
      <c r="E77" s="5">
        <f>SUMIFS(Exploded_Detail_Relevant!$G$2:$G$491,Exploded_Detail_Relevant!$A$2:$A$491,$A77,Exploded_Detail_Relevant!$B$2:$B$491,$B77,Exploded_Detail_Relevant!$E$2:$E$491,$C77,Exploded_Detail_Relevant!$F$2:$F$491,$D77)</f>
        <v>411848</v>
      </c>
      <c r="F77">
        <f>COUNTIFS(Exploded_Detail_Relevant!$A$2:$A$491,$A77,Exploded_Detail_Relevant!$B$2:$B$491,$B77,Exploded_Detail_Relevant!$E$2:$E$491,$C77,Exploded_Detail_Relevant!$F$2:$F$491,$D77)</f>
        <v>1</v>
      </c>
    </row>
    <row r="78" spans="1:6" x14ac:dyDescent="0.35">
      <c r="A78" t="s">
        <v>31</v>
      </c>
      <c r="B78" t="s">
        <v>45</v>
      </c>
      <c r="C78" t="s">
        <v>90</v>
      </c>
      <c r="D78" t="s">
        <v>214</v>
      </c>
      <c r="E78" s="5">
        <f>SUMIFS(Exploded_Detail_Relevant!$G$2:$G$491,Exploded_Detail_Relevant!$A$2:$A$491,$A78,Exploded_Detail_Relevant!$B$2:$B$491,$B78,Exploded_Detail_Relevant!$E$2:$E$491,$C78,Exploded_Detail_Relevant!$F$2:$F$491,$D78)</f>
        <v>518152</v>
      </c>
      <c r="F78">
        <f>COUNTIFS(Exploded_Detail_Relevant!$A$2:$A$491,$A78,Exploded_Detail_Relevant!$B$2:$B$491,$B78,Exploded_Detail_Relevant!$E$2:$E$491,$C78,Exploded_Detail_Relevant!$F$2:$F$491,$D78)</f>
        <v>1</v>
      </c>
    </row>
    <row r="79" spans="1:6" x14ac:dyDescent="0.35">
      <c r="A79" t="s">
        <v>31</v>
      </c>
      <c r="B79" t="s">
        <v>45</v>
      </c>
      <c r="C79" t="s">
        <v>48</v>
      </c>
      <c r="D79" t="s">
        <v>217</v>
      </c>
      <c r="E79" s="5">
        <f>SUMIFS(Exploded_Detail_Relevant!$G$2:$G$491,Exploded_Detail_Relevant!$A$2:$A$491,$A79,Exploded_Detail_Relevant!$B$2:$B$491,$B79,Exploded_Detail_Relevant!$E$2:$E$491,$C79,Exploded_Detail_Relevant!$F$2:$F$491,$D79)</f>
        <v>3277766</v>
      </c>
      <c r="F79">
        <f>COUNTIFS(Exploded_Detail_Relevant!$A$2:$A$491,$A79,Exploded_Detail_Relevant!$B$2:$B$491,$B79,Exploded_Detail_Relevant!$E$2:$E$491,$C79,Exploded_Detail_Relevant!$F$2:$F$491,$D79)</f>
        <v>3</v>
      </c>
    </row>
    <row r="80" spans="1:6" x14ac:dyDescent="0.35">
      <c r="A80" t="s">
        <v>31</v>
      </c>
      <c r="B80" t="s">
        <v>32</v>
      </c>
      <c r="C80" t="s">
        <v>35</v>
      </c>
      <c r="D80" t="s">
        <v>217</v>
      </c>
      <c r="E80" s="5">
        <f>SUMIFS(Exploded_Detail_Relevant!$G$2:$G$491,Exploded_Detail_Relevant!$A$2:$A$491,$A80,Exploded_Detail_Relevant!$B$2:$B$491,$B80,Exploded_Detail_Relevant!$E$2:$E$491,$C80,Exploded_Detail_Relevant!$F$2:$F$491,$D80)</f>
        <v>8724831</v>
      </c>
      <c r="F80">
        <f>COUNTIFS(Exploded_Detail_Relevant!$A$2:$A$491,$A80,Exploded_Detail_Relevant!$B$2:$B$491,$B80,Exploded_Detail_Relevant!$E$2:$E$491,$C80,Exploded_Detail_Relevant!$F$2:$F$491,$D80)</f>
        <v>3</v>
      </c>
    </row>
    <row r="81" spans="1:6" x14ac:dyDescent="0.35">
      <c r="A81" t="s">
        <v>31</v>
      </c>
      <c r="B81" t="s">
        <v>45</v>
      </c>
      <c r="C81" t="s">
        <v>35</v>
      </c>
      <c r="D81" t="s">
        <v>217</v>
      </c>
      <c r="E81" s="5">
        <f>SUMIFS(Exploded_Detail_Relevant!$G$2:$G$491,Exploded_Detail_Relevant!$A$2:$A$491,$A81,Exploded_Detail_Relevant!$B$2:$B$491,$B81,Exploded_Detail_Relevant!$E$2:$E$491,$C81,Exploded_Detail_Relevant!$F$2:$F$491,$D81)</f>
        <v>650817</v>
      </c>
      <c r="F81">
        <f>COUNTIFS(Exploded_Detail_Relevant!$A$2:$A$491,$A81,Exploded_Detail_Relevant!$B$2:$B$491,$B81,Exploded_Detail_Relevant!$E$2:$E$491,$C81,Exploded_Detail_Relevant!$F$2:$F$491,$D81)</f>
        <v>1</v>
      </c>
    </row>
    <row r="82" spans="1:6" x14ac:dyDescent="0.35">
      <c r="A82" t="s">
        <v>31</v>
      </c>
      <c r="B82" t="s">
        <v>32</v>
      </c>
      <c r="C82" t="s">
        <v>90</v>
      </c>
      <c r="D82" t="s">
        <v>217</v>
      </c>
      <c r="E82" s="5">
        <f>SUMIFS(Exploded_Detail_Relevant!$G$2:$G$491,Exploded_Detail_Relevant!$A$2:$A$491,$A82,Exploded_Detail_Relevant!$B$2:$B$491,$B82,Exploded_Detail_Relevant!$E$2:$E$491,$C82,Exploded_Detail_Relevant!$F$2:$F$491,$D82)</f>
        <v>7353184</v>
      </c>
      <c r="F82">
        <f>COUNTIFS(Exploded_Detail_Relevant!$A$2:$A$491,$A82,Exploded_Detail_Relevant!$B$2:$B$491,$B82,Exploded_Detail_Relevant!$E$2:$E$491,$C82,Exploded_Detail_Relevant!$F$2:$F$491,$D82)</f>
        <v>5</v>
      </c>
    </row>
    <row r="83" spans="1:6" x14ac:dyDescent="0.35">
      <c r="A83" t="s">
        <v>31</v>
      </c>
      <c r="B83" t="s">
        <v>45</v>
      </c>
      <c r="C83" t="s">
        <v>90</v>
      </c>
      <c r="D83" t="s">
        <v>217</v>
      </c>
      <c r="E83" s="5">
        <f>SUMIFS(Exploded_Detail_Relevant!$G$2:$G$491,Exploded_Detail_Relevant!$A$2:$A$491,$A83,Exploded_Detail_Relevant!$B$2:$B$491,$B83,Exploded_Detail_Relevant!$E$2:$E$491,$C83,Exploded_Detail_Relevant!$F$2:$F$491,$D83)</f>
        <v>2163132</v>
      </c>
      <c r="F83">
        <f>COUNTIFS(Exploded_Detail_Relevant!$A$2:$A$491,$A83,Exploded_Detail_Relevant!$B$2:$B$491,$B83,Exploded_Detail_Relevant!$E$2:$E$491,$C83,Exploded_Detail_Relevant!$F$2:$F$491,$D83)</f>
        <v>3</v>
      </c>
    </row>
    <row r="84" spans="1:6" x14ac:dyDescent="0.35">
      <c r="A84" t="s">
        <v>31</v>
      </c>
      <c r="B84" t="s">
        <v>45</v>
      </c>
      <c r="C84" t="s">
        <v>43</v>
      </c>
      <c r="D84" t="s">
        <v>226</v>
      </c>
      <c r="E84" s="5">
        <f>SUMIFS(Exploded_Detail_Relevant!$G$2:$G$491,Exploded_Detail_Relevant!$A$2:$A$491,$A84,Exploded_Detail_Relevant!$B$2:$B$491,$B84,Exploded_Detail_Relevant!$E$2:$E$491,$C84,Exploded_Detail_Relevant!$F$2:$F$491,$D84)</f>
        <v>2945600</v>
      </c>
      <c r="F84">
        <f>COUNTIFS(Exploded_Detail_Relevant!$A$2:$A$491,$A84,Exploded_Detail_Relevant!$B$2:$B$491,$B84,Exploded_Detail_Relevant!$E$2:$E$491,$C84,Exploded_Detail_Relevant!$F$2:$F$491,$D84)</f>
        <v>3</v>
      </c>
    </row>
    <row r="85" spans="1:6" x14ac:dyDescent="0.35">
      <c r="A85" t="s">
        <v>31</v>
      </c>
      <c r="B85" t="s">
        <v>45</v>
      </c>
      <c r="C85" t="s">
        <v>60</v>
      </c>
      <c r="D85" t="s">
        <v>226</v>
      </c>
      <c r="E85" s="5">
        <f>SUMIFS(Exploded_Detail_Relevant!$G$2:$G$491,Exploded_Detail_Relevant!$A$2:$A$491,$A85,Exploded_Detail_Relevant!$B$2:$B$491,$B85,Exploded_Detail_Relevant!$E$2:$E$491,$C85,Exploded_Detail_Relevant!$F$2:$F$491,$D85)</f>
        <v>795899</v>
      </c>
      <c r="F85">
        <f>COUNTIFS(Exploded_Detail_Relevant!$A$2:$A$491,$A85,Exploded_Detail_Relevant!$B$2:$B$491,$B85,Exploded_Detail_Relevant!$E$2:$E$491,$C85,Exploded_Detail_Relevant!$F$2:$F$491,$D85)</f>
        <v>1</v>
      </c>
    </row>
    <row r="86" spans="1:6" x14ac:dyDescent="0.35">
      <c r="A86" t="s">
        <v>31</v>
      </c>
      <c r="B86" t="s">
        <v>32</v>
      </c>
      <c r="C86" t="s">
        <v>35</v>
      </c>
      <c r="D86" t="s">
        <v>226</v>
      </c>
      <c r="E86" s="5">
        <f>SUMIFS(Exploded_Detail_Relevant!$G$2:$G$491,Exploded_Detail_Relevant!$A$2:$A$491,$A86,Exploded_Detail_Relevant!$B$2:$B$491,$B86,Exploded_Detail_Relevant!$E$2:$E$491,$C86,Exploded_Detail_Relevant!$F$2:$F$491,$D86)</f>
        <v>18715880</v>
      </c>
      <c r="F86">
        <f>COUNTIFS(Exploded_Detail_Relevant!$A$2:$A$491,$A86,Exploded_Detail_Relevant!$B$2:$B$491,$B86,Exploded_Detail_Relevant!$E$2:$E$491,$C86,Exploded_Detail_Relevant!$F$2:$F$491,$D86)</f>
        <v>4</v>
      </c>
    </row>
    <row r="87" spans="1:6" x14ac:dyDescent="0.35">
      <c r="A87" t="s">
        <v>31</v>
      </c>
      <c r="B87" t="s">
        <v>45</v>
      </c>
      <c r="C87" t="s">
        <v>35</v>
      </c>
      <c r="D87" t="s">
        <v>226</v>
      </c>
      <c r="E87" s="5">
        <f>SUMIFS(Exploded_Detail_Relevant!$G$2:$G$491,Exploded_Detail_Relevant!$A$2:$A$491,$A87,Exploded_Detail_Relevant!$B$2:$B$491,$B87,Exploded_Detail_Relevant!$E$2:$E$491,$C87,Exploded_Detail_Relevant!$F$2:$F$491,$D87)</f>
        <v>17514169</v>
      </c>
      <c r="F87">
        <f>COUNTIFS(Exploded_Detail_Relevant!$A$2:$A$491,$A87,Exploded_Detail_Relevant!$B$2:$B$491,$B87,Exploded_Detail_Relevant!$E$2:$E$491,$C87,Exploded_Detail_Relevant!$F$2:$F$491,$D87)</f>
        <v>3</v>
      </c>
    </row>
    <row r="88" spans="1:6" x14ac:dyDescent="0.35">
      <c r="A88" t="s">
        <v>31</v>
      </c>
      <c r="B88" t="s">
        <v>45</v>
      </c>
      <c r="C88" t="s">
        <v>98</v>
      </c>
      <c r="D88" t="s">
        <v>226</v>
      </c>
      <c r="E88" s="5">
        <f>SUMIFS(Exploded_Detail_Relevant!$G$2:$G$491,Exploded_Detail_Relevant!$A$2:$A$491,$A88,Exploded_Detail_Relevant!$B$2:$B$491,$B88,Exploded_Detail_Relevant!$E$2:$E$491,$C88,Exploded_Detail_Relevant!$F$2:$F$491,$D88)</f>
        <v>996761</v>
      </c>
      <c r="F88">
        <f>COUNTIFS(Exploded_Detail_Relevant!$A$2:$A$491,$A88,Exploded_Detail_Relevant!$B$2:$B$491,$B88,Exploded_Detail_Relevant!$E$2:$E$491,$C88,Exploded_Detail_Relevant!$F$2:$F$491,$D88)</f>
        <v>1</v>
      </c>
    </row>
    <row r="89" spans="1:6" x14ac:dyDescent="0.35">
      <c r="A89" t="s">
        <v>31</v>
      </c>
      <c r="B89" t="s">
        <v>32</v>
      </c>
      <c r="C89" t="s">
        <v>48</v>
      </c>
      <c r="D89" t="s">
        <v>235</v>
      </c>
      <c r="E89" s="5">
        <f>SUMIFS(Exploded_Detail_Relevant!$G$2:$G$491,Exploded_Detail_Relevant!$A$2:$A$491,$A89,Exploded_Detail_Relevant!$B$2:$B$491,$B89,Exploded_Detail_Relevant!$E$2:$E$491,$C89,Exploded_Detail_Relevant!$F$2:$F$491,$D89)</f>
        <v>548972</v>
      </c>
      <c r="F89">
        <f>COUNTIFS(Exploded_Detail_Relevant!$A$2:$A$491,$A89,Exploded_Detail_Relevant!$B$2:$B$491,$B89,Exploded_Detail_Relevant!$E$2:$E$491,$C89,Exploded_Detail_Relevant!$F$2:$F$491,$D89)</f>
        <v>1</v>
      </c>
    </row>
    <row r="90" spans="1:6" x14ac:dyDescent="0.35">
      <c r="A90" t="s">
        <v>31</v>
      </c>
      <c r="B90" t="s">
        <v>32</v>
      </c>
      <c r="C90" t="s">
        <v>51</v>
      </c>
      <c r="D90" t="s">
        <v>235</v>
      </c>
      <c r="E90" s="5">
        <f>SUMIFS(Exploded_Detail_Relevant!$G$2:$G$491,Exploded_Detail_Relevant!$A$2:$A$491,$A90,Exploded_Detail_Relevant!$B$2:$B$491,$B90,Exploded_Detail_Relevant!$E$2:$E$491,$C90,Exploded_Detail_Relevant!$F$2:$F$491,$D90)</f>
        <v>2475000</v>
      </c>
      <c r="F90">
        <f>COUNTIFS(Exploded_Detail_Relevant!$A$2:$A$491,$A90,Exploded_Detail_Relevant!$B$2:$B$491,$B90,Exploded_Detail_Relevant!$E$2:$E$491,$C90,Exploded_Detail_Relevant!$F$2:$F$491,$D90)</f>
        <v>1</v>
      </c>
    </row>
    <row r="91" spans="1:6" x14ac:dyDescent="0.35">
      <c r="A91" t="s">
        <v>31</v>
      </c>
      <c r="B91" t="s">
        <v>45</v>
      </c>
      <c r="C91" t="s">
        <v>90</v>
      </c>
      <c r="D91" t="s">
        <v>235</v>
      </c>
      <c r="E91" s="5">
        <f>SUMIFS(Exploded_Detail_Relevant!$G$2:$G$491,Exploded_Detail_Relevant!$A$2:$A$491,$A91,Exploded_Detail_Relevant!$B$2:$B$491,$B91,Exploded_Detail_Relevant!$E$2:$E$491,$C91,Exploded_Detail_Relevant!$F$2:$F$491,$D91)</f>
        <v>4911772</v>
      </c>
      <c r="F91">
        <f>COUNTIFS(Exploded_Detail_Relevant!$A$2:$A$491,$A91,Exploded_Detail_Relevant!$B$2:$B$491,$B91,Exploded_Detail_Relevant!$E$2:$E$491,$C91,Exploded_Detail_Relevant!$F$2:$F$491,$D91)</f>
        <v>2</v>
      </c>
    </row>
    <row r="92" spans="1:6" x14ac:dyDescent="0.35">
      <c r="A92" t="s">
        <v>31</v>
      </c>
      <c r="B92" t="s">
        <v>32</v>
      </c>
      <c r="C92" t="s">
        <v>64</v>
      </c>
      <c r="D92" t="s">
        <v>235</v>
      </c>
      <c r="E92" s="5">
        <f>SUMIFS(Exploded_Detail_Relevant!$G$2:$G$491,Exploded_Detail_Relevant!$A$2:$A$491,$A92,Exploded_Detail_Relevant!$B$2:$B$491,$B92,Exploded_Detail_Relevant!$E$2:$E$491,$C92,Exploded_Detail_Relevant!$F$2:$F$491,$D92)</f>
        <v>249951</v>
      </c>
      <c r="F92">
        <f>COUNTIFS(Exploded_Detail_Relevant!$A$2:$A$491,$A92,Exploded_Detail_Relevant!$B$2:$B$491,$B92,Exploded_Detail_Relevant!$E$2:$E$491,$C92,Exploded_Detail_Relevant!$F$2:$F$491,$D92)</f>
        <v>1</v>
      </c>
    </row>
    <row r="93" spans="1:6" x14ac:dyDescent="0.35">
      <c r="A93" t="s">
        <v>31</v>
      </c>
      <c r="B93" t="s">
        <v>45</v>
      </c>
      <c r="C93" t="s">
        <v>64</v>
      </c>
      <c r="D93" t="s">
        <v>235</v>
      </c>
      <c r="E93" s="5">
        <f>SUMIFS(Exploded_Detail_Relevant!$G$2:$G$491,Exploded_Detail_Relevant!$A$2:$A$491,$A93,Exploded_Detail_Relevant!$B$2:$B$491,$B93,Exploded_Detail_Relevant!$E$2:$E$491,$C93,Exploded_Detail_Relevant!$F$2:$F$491,$D93)</f>
        <v>249951</v>
      </c>
      <c r="F93">
        <f>COUNTIFS(Exploded_Detail_Relevant!$A$2:$A$491,$A93,Exploded_Detail_Relevant!$B$2:$B$491,$B93,Exploded_Detail_Relevant!$E$2:$E$491,$C93,Exploded_Detail_Relevant!$F$2:$F$491,$D93)</f>
        <v>1</v>
      </c>
    </row>
    <row r="94" spans="1:6" x14ac:dyDescent="0.35">
      <c r="A94" t="s">
        <v>31</v>
      </c>
      <c r="B94" t="s">
        <v>45</v>
      </c>
      <c r="C94" t="s">
        <v>43</v>
      </c>
      <c r="D94" t="s">
        <v>244</v>
      </c>
      <c r="E94" s="5">
        <f>SUMIFS(Exploded_Detail_Relevant!$G$2:$G$491,Exploded_Detail_Relevant!$A$2:$A$491,$A94,Exploded_Detail_Relevant!$B$2:$B$491,$B94,Exploded_Detail_Relevant!$E$2:$E$491,$C94,Exploded_Detail_Relevant!$F$2:$F$491,$D94)</f>
        <v>116725</v>
      </c>
      <c r="F94">
        <f>COUNTIFS(Exploded_Detail_Relevant!$A$2:$A$491,$A94,Exploded_Detail_Relevant!$B$2:$B$491,$B94,Exploded_Detail_Relevant!$E$2:$E$491,$C94,Exploded_Detail_Relevant!$F$2:$F$491,$D94)</f>
        <v>2</v>
      </c>
    </row>
    <row r="95" spans="1:6" x14ac:dyDescent="0.35">
      <c r="A95" t="s">
        <v>31</v>
      </c>
      <c r="B95" t="s">
        <v>45</v>
      </c>
      <c r="C95" t="s">
        <v>43</v>
      </c>
      <c r="D95" t="s">
        <v>247</v>
      </c>
      <c r="E95" s="5">
        <f>SUMIFS(Exploded_Detail_Relevant!$G$2:$G$491,Exploded_Detail_Relevant!$A$2:$A$491,$A95,Exploded_Detail_Relevant!$B$2:$B$491,$B95,Exploded_Detail_Relevant!$E$2:$E$491,$C95,Exploded_Detail_Relevant!$F$2:$F$491,$D95)</f>
        <v>1184456</v>
      </c>
      <c r="F95">
        <f>COUNTIFS(Exploded_Detail_Relevant!$A$2:$A$491,$A95,Exploded_Detail_Relevant!$B$2:$B$491,$B95,Exploded_Detail_Relevant!$E$2:$E$491,$C95,Exploded_Detail_Relevant!$F$2:$F$491,$D95)</f>
        <v>2</v>
      </c>
    </row>
    <row r="96" spans="1:6" x14ac:dyDescent="0.35">
      <c r="A96" t="s">
        <v>31</v>
      </c>
      <c r="B96" t="s">
        <v>45</v>
      </c>
      <c r="C96" t="s">
        <v>74</v>
      </c>
      <c r="D96" t="s">
        <v>248</v>
      </c>
      <c r="E96" s="5">
        <f>SUMIFS(Exploded_Detail_Relevant!$G$2:$G$491,Exploded_Detail_Relevant!$A$2:$A$491,$A96,Exploded_Detail_Relevant!$B$2:$B$491,$B96,Exploded_Detail_Relevant!$E$2:$E$491,$C96,Exploded_Detail_Relevant!$F$2:$F$491,$D96)</f>
        <v>1369555</v>
      </c>
      <c r="F96">
        <f>COUNTIFS(Exploded_Detail_Relevant!$A$2:$A$491,$A96,Exploded_Detail_Relevant!$B$2:$B$491,$B96,Exploded_Detail_Relevant!$E$2:$E$491,$C96,Exploded_Detail_Relevant!$F$2:$F$491,$D96)</f>
        <v>2</v>
      </c>
    </row>
    <row r="97" spans="1:6" x14ac:dyDescent="0.35">
      <c r="A97" t="s">
        <v>31</v>
      </c>
      <c r="B97" t="s">
        <v>45</v>
      </c>
      <c r="C97" t="s">
        <v>35</v>
      </c>
      <c r="D97" t="s">
        <v>251</v>
      </c>
      <c r="E97" s="5">
        <f>SUMIFS(Exploded_Detail_Relevant!$G$2:$G$491,Exploded_Detail_Relevant!$A$2:$A$491,$A97,Exploded_Detail_Relevant!$B$2:$B$491,$B97,Exploded_Detail_Relevant!$E$2:$E$491,$C97,Exploded_Detail_Relevant!$F$2:$F$491,$D97)</f>
        <v>680000</v>
      </c>
      <c r="F97">
        <f>COUNTIFS(Exploded_Detail_Relevant!$A$2:$A$491,$A97,Exploded_Detail_Relevant!$B$2:$B$491,$B97,Exploded_Detail_Relevant!$E$2:$E$491,$C97,Exploded_Detail_Relevant!$F$2:$F$491,$D97)</f>
        <v>1</v>
      </c>
    </row>
    <row r="98" spans="1:6" x14ac:dyDescent="0.35">
      <c r="A98" t="s">
        <v>31</v>
      </c>
      <c r="B98" t="s">
        <v>45</v>
      </c>
      <c r="C98" t="s">
        <v>43</v>
      </c>
      <c r="D98" t="s">
        <v>252</v>
      </c>
      <c r="E98" s="5">
        <f>SUMIFS(Exploded_Detail_Relevant!$G$2:$G$491,Exploded_Detail_Relevant!$A$2:$A$491,$A98,Exploded_Detail_Relevant!$B$2:$B$491,$B98,Exploded_Detail_Relevant!$E$2:$E$491,$C98,Exploded_Detail_Relevant!$F$2:$F$491,$D98)</f>
        <v>2945600</v>
      </c>
      <c r="F98">
        <f>COUNTIFS(Exploded_Detail_Relevant!$A$2:$A$491,$A98,Exploded_Detail_Relevant!$B$2:$B$491,$B98,Exploded_Detail_Relevant!$E$2:$E$491,$C98,Exploded_Detail_Relevant!$F$2:$F$491,$D98)</f>
        <v>3</v>
      </c>
    </row>
    <row r="99" spans="1:6" x14ac:dyDescent="0.35">
      <c r="A99" t="s">
        <v>31</v>
      </c>
      <c r="B99" t="s">
        <v>32</v>
      </c>
      <c r="C99" t="s">
        <v>255</v>
      </c>
      <c r="D99" t="s">
        <v>252</v>
      </c>
      <c r="E99" s="5">
        <f>SUMIFS(Exploded_Detail_Relevant!$G$2:$G$491,Exploded_Detail_Relevant!$A$2:$A$491,$A99,Exploded_Detail_Relevant!$B$2:$B$491,$B99,Exploded_Detail_Relevant!$E$2:$E$491,$C99,Exploded_Detail_Relevant!$F$2:$F$491,$D99)</f>
        <v>96000</v>
      </c>
      <c r="F99">
        <f>COUNTIFS(Exploded_Detail_Relevant!$A$2:$A$491,$A99,Exploded_Detail_Relevant!$B$2:$B$491,$B99,Exploded_Detail_Relevant!$E$2:$E$491,$C99,Exploded_Detail_Relevant!$F$2:$F$491,$D99)</f>
        <v>1</v>
      </c>
    </row>
    <row r="100" spans="1:6" x14ac:dyDescent="0.35">
      <c r="A100" t="s">
        <v>31</v>
      </c>
      <c r="B100" t="s">
        <v>45</v>
      </c>
      <c r="C100" t="s">
        <v>255</v>
      </c>
      <c r="D100" t="s">
        <v>252</v>
      </c>
      <c r="E100" s="5">
        <f>SUMIFS(Exploded_Detail_Relevant!$G$2:$G$491,Exploded_Detail_Relevant!$A$2:$A$491,$A100,Exploded_Detail_Relevant!$B$2:$B$491,$B100,Exploded_Detail_Relevant!$E$2:$E$491,$C100,Exploded_Detail_Relevant!$F$2:$F$491,$D100)</f>
        <v>96000</v>
      </c>
      <c r="F100">
        <f>COUNTIFS(Exploded_Detail_Relevant!$A$2:$A$491,$A100,Exploded_Detail_Relevant!$B$2:$B$491,$B100,Exploded_Detail_Relevant!$E$2:$E$491,$C100,Exploded_Detail_Relevant!$F$2:$F$491,$D100)</f>
        <v>1</v>
      </c>
    </row>
    <row r="101" spans="1:6" x14ac:dyDescent="0.35">
      <c r="A101" t="s">
        <v>31</v>
      </c>
      <c r="B101" t="s">
        <v>32</v>
      </c>
      <c r="C101" t="s">
        <v>35</v>
      </c>
      <c r="D101" t="s">
        <v>258</v>
      </c>
      <c r="E101" s="5">
        <f>SUMIFS(Exploded_Detail_Relevant!$G$2:$G$491,Exploded_Detail_Relevant!$A$2:$A$491,$A101,Exploded_Detail_Relevant!$B$2:$B$491,$B101,Exploded_Detail_Relevant!$E$2:$E$491,$C101,Exploded_Detail_Relevant!$F$2:$F$491,$D101)</f>
        <v>4580000</v>
      </c>
      <c r="F101">
        <f>COUNTIFS(Exploded_Detail_Relevant!$A$2:$A$491,$A101,Exploded_Detail_Relevant!$B$2:$B$491,$B101,Exploded_Detail_Relevant!$E$2:$E$491,$C101,Exploded_Detail_Relevant!$F$2:$F$491,$D101)</f>
        <v>1</v>
      </c>
    </row>
    <row r="102" spans="1:6" x14ac:dyDescent="0.35">
      <c r="A102" t="s">
        <v>31</v>
      </c>
      <c r="B102" t="s">
        <v>32</v>
      </c>
      <c r="C102" t="s">
        <v>51</v>
      </c>
      <c r="D102" t="s">
        <v>261</v>
      </c>
      <c r="E102" s="5">
        <f>SUMIFS(Exploded_Detail_Relevant!$G$2:$G$491,Exploded_Detail_Relevant!$A$2:$A$491,$A102,Exploded_Detail_Relevant!$B$2:$B$491,$B102,Exploded_Detail_Relevant!$E$2:$E$491,$C102,Exploded_Detail_Relevant!$F$2:$F$491,$D102)</f>
        <v>168000</v>
      </c>
      <c r="F102">
        <f>COUNTIFS(Exploded_Detail_Relevant!$A$2:$A$491,$A102,Exploded_Detail_Relevant!$B$2:$B$491,$B102,Exploded_Detail_Relevant!$E$2:$E$491,$C102,Exploded_Detail_Relevant!$F$2:$F$491,$D102)</f>
        <v>1</v>
      </c>
    </row>
    <row r="103" spans="1:6" x14ac:dyDescent="0.35">
      <c r="A103" t="s">
        <v>31</v>
      </c>
      <c r="B103" t="s">
        <v>45</v>
      </c>
      <c r="C103" t="s">
        <v>51</v>
      </c>
      <c r="D103" t="s">
        <v>261</v>
      </c>
      <c r="E103" s="5">
        <f>SUMIFS(Exploded_Detail_Relevant!$G$2:$G$491,Exploded_Detail_Relevant!$A$2:$A$491,$A103,Exploded_Detail_Relevant!$B$2:$B$491,$B103,Exploded_Detail_Relevant!$E$2:$E$491,$C103,Exploded_Detail_Relevant!$F$2:$F$491,$D103)</f>
        <v>347939</v>
      </c>
      <c r="F103">
        <f>COUNTIFS(Exploded_Detail_Relevant!$A$2:$A$491,$A103,Exploded_Detail_Relevant!$B$2:$B$491,$B103,Exploded_Detail_Relevant!$E$2:$E$491,$C103,Exploded_Detail_Relevant!$F$2:$F$491,$D103)</f>
        <v>1</v>
      </c>
    </row>
    <row r="104" spans="1:6" x14ac:dyDescent="0.35">
      <c r="A104" t="s">
        <v>31</v>
      </c>
      <c r="B104" t="s">
        <v>32</v>
      </c>
      <c r="C104" t="s">
        <v>35</v>
      </c>
      <c r="D104" t="s">
        <v>261</v>
      </c>
      <c r="E104" s="5">
        <f>SUMIFS(Exploded_Detail_Relevant!$G$2:$G$491,Exploded_Detail_Relevant!$A$2:$A$491,$A104,Exploded_Detail_Relevant!$B$2:$B$491,$B104,Exploded_Detail_Relevant!$E$2:$E$491,$C104,Exploded_Detail_Relevant!$F$2:$F$491,$D104)</f>
        <v>4747600</v>
      </c>
      <c r="F104">
        <f>COUNTIFS(Exploded_Detail_Relevant!$A$2:$A$491,$A104,Exploded_Detail_Relevant!$B$2:$B$491,$B104,Exploded_Detail_Relevant!$E$2:$E$491,$C104,Exploded_Detail_Relevant!$F$2:$F$491,$D104)</f>
        <v>4</v>
      </c>
    </row>
    <row r="105" spans="1:6" x14ac:dyDescent="0.35">
      <c r="A105" t="s">
        <v>31</v>
      </c>
      <c r="B105" t="s">
        <v>32</v>
      </c>
      <c r="C105" t="s">
        <v>35</v>
      </c>
      <c r="D105" t="s">
        <v>268</v>
      </c>
      <c r="E105" s="5">
        <f>SUMIFS(Exploded_Detail_Relevant!$G$2:$G$491,Exploded_Detail_Relevant!$A$2:$A$491,$A105,Exploded_Detail_Relevant!$B$2:$B$491,$B105,Exploded_Detail_Relevant!$E$2:$E$491,$C105,Exploded_Detail_Relevant!$F$2:$F$491,$D105)</f>
        <v>1360000</v>
      </c>
      <c r="F105">
        <f>COUNTIFS(Exploded_Detail_Relevant!$A$2:$A$491,$A105,Exploded_Detail_Relevant!$B$2:$B$491,$B105,Exploded_Detail_Relevant!$E$2:$E$491,$C105,Exploded_Detail_Relevant!$F$2:$F$491,$D105)</f>
        <v>1</v>
      </c>
    </row>
    <row r="106" spans="1:6" x14ac:dyDescent="0.35">
      <c r="A106" t="s">
        <v>31</v>
      </c>
      <c r="B106" t="s">
        <v>45</v>
      </c>
      <c r="C106" t="s">
        <v>35</v>
      </c>
      <c r="D106" t="s">
        <v>271</v>
      </c>
      <c r="E106" s="5">
        <f>SUMIFS(Exploded_Detail_Relevant!$G$2:$G$491,Exploded_Detail_Relevant!$A$2:$A$491,$A106,Exploded_Detail_Relevant!$B$2:$B$491,$B106,Exploded_Detail_Relevant!$E$2:$E$491,$C106,Exploded_Detail_Relevant!$F$2:$F$491,$D106)</f>
        <v>1959842</v>
      </c>
      <c r="F106">
        <f>COUNTIFS(Exploded_Detail_Relevant!$A$2:$A$491,$A106,Exploded_Detail_Relevant!$B$2:$B$491,$B106,Exploded_Detail_Relevant!$E$2:$E$491,$C106,Exploded_Detail_Relevant!$F$2:$F$491,$D106)</f>
        <v>2</v>
      </c>
    </row>
    <row r="107" spans="1:6" x14ac:dyDescent="0.35">
      <c r="A107" t="s">
        <v>31</v>
      </c>
      <c r="B107" t="s">
        <v>32</v>
      </c>
      <c r="C107" t="s">
        <v>51</v>
      </c>
      <c r="D107" t="s">
        <v>272</v>
      </c>
      <c r="E107" s="5">
        <f>SUMIFS(Exploded_Detail_Relevant!$G$2:$G$491,Exploded_Detail_Relevant!$A$2:$A$491,$A107,Exploded_Detail_Relevant!$B$2:$B$491,$B107,Exploded_Detail_Relevant!$E$2:$E$491,$C107,Exploded_Detail_Relevant!$F$2:$F$491,$D107)</f>
        <v>2250000</v>
      </c>
      <c r="F107">
        <f>COUNTIFS(Exploded_Detail_Relevant!$A$2:$A$491,$A107,Exploded_Detail_Relevant!$B$2:$B$491,$B107,Exploded_Detail_Relevant!$E$2:$E$491,$C107,Exploded_Detail_Relevant!$F$2:$F$491,$D107)</f>
        <v>1</v>
      </c>
    </row>
    <row r="108" spans="1:6" x14ac:dyDescent="0.35">
      <c r="A108" t="s">
        <v>31</v>
      </c>
      <c r="B108" t="s">
        <v>45</v>
      </c>
      <c r="C108" t="s">
        <v>35</v>
      </c>
      <c r="D108" t="s">
        <v>272</v>
      </c>
      <c r="E108" s="5">
        <f>SUMIFS(Exploded_Detail_Relevant!$G$2:$G$491,Exploded_Detail_Relevant!$A$2:$A$491,$A108,Exploded_Detail_Relevant!$B$2:$B$491,$B108,Exploded_Detail_Relevant!$E$2:$E$491,$C108,Exploded_Detail_Relevant!$F$2:$F$491,$D108)</f>
        <v>294400</v>
      </c>
      <c r="F108">
        <f>COUNTIFS(Exploded_Detail_Relevant!$A$2:$A$491,$A108,Exploded_Detail_Relevant!$B$2:$B$491,$B108,Exploded_Detail_Relevant!$E$2:$E$491,$C108,Exploded_Detail_Relevant!$F$2:$F$491,$D108)</f>
        <v>1</v>
      </c>
    </row>
    <row r="109" spans="1:6" x14ac:dyDescent="0.35">
      <c r="A109" t="s">
        <v>31</v>
      </c>
      <c r="B109" t="s">
        <v>32</v>
      </c>
      <c r="C109" t="s">
        <v>51</v>
      </c>
      <c r="D109" t="s">
        <v>277</v>
      </c>
      <c r="E109" s="5">
        <f>SUMIFS(Exploded_Detail_Relevant!$G$2:$G$491,Exploded_Detail_Relevant!$A$2:$A$491,$A109,Exploded_Detail_Relevant!$B$2:$B$491,$B109,Exploded_Detail_Relevant!$E$2:$E$491,$C109,Exploded_Detail_Relevant!$F$2:$F$491,$D109)</f>
        <v>2700000</v>
      </c>
      <c r="F109">
        <f>COUNTIFS(Exploded_Detail_Relevant!$A$2:$A$491,$A109,Exploded_Detail_Relevant!$B$2:$B$491,$B109,Exploded_Detail_Relevant!$E$2:$E$491,$C109,Exploded_Detail_Relevant!$F$2:$F$491,$D109)</f>
        <v>1</v>
      </c>
    </row>
    <row r="110" spans="1:6" x14ac:dyDescent="0.35">
      <c r="A110" t="s">
        <v>31</v>
      </c>
      <c r="B110" t="s">
        <v>45</v>
      </c>
      <c r="C110" t="s">
        <v>74</v>
      </c>
      <c r="D110" t="s">
        <v>277</v>
      </c>
      <c r="E110" s="5">
        <f>SUMIFS(Exploded_Detail_Relevant!$G$2:$G$491,Exploded_Detail_Relevant!$A$2:$A$491,$A110,Exploded_Detail_Relevant!$B$2:$B$491,$B110,Exploded_Detail_Relevant!$E$2:$E$491,$C110,Exploded_Detail_Relevant!$F$2:$F$491,$D110)</f>
        <v>1369555</v>
      </c>
      <c r="F110">
        <f>COUNTIFS(Exploded_Detail_Relevant!$A$2:$A$491,$A110,Exploded_Detail_Relevant!$B$2:$B$491,$B110,Exploded_Detail_Relevant!$E$2:$E$491,$C110,Exploded_Detail_Relevant!$F$2:$F$491,$D110)</f>
        <v>2</v>
      </c>
    </row>
    <row r="111" spans="1:6" x14ac:dyDescent="0.35">
      <c r="A111" t="s">
        <v>31</v>
      </c>
      <c r="B111" t="s">
        <v>45</v>
      </c>
      <c r="C111" t="s">
        <v>43</v>
      </c>
      <c r="D111" t="s">
        <v>280</v>
      </c>
      <c r="E111" s="5">
        <f>SUMIFS(Exploded_Detail_Relevant!$G$2:$G$491,Exploded_Detail_Relevant!$A$2:$A$491,$A111,Exploded_Detail_Relevant!$B$2:$B$491,$B111,Exploded_Detail_Relevant!$E$2:$E$491,$C111,Exploded_Detail_Relevant!$F$2:$F$491,$D111)</f>
        <v>53800</v>
      </c>
      <c r="F111">
        <f>COUNTIFS(Exploded_Detail_Relevant!$A$2:$A$491,$A111,Exploded_Detail_Relevant!$B$2:$B$491,$B111,Exploded_Detail_Relevant!$E$2:$E$491,$C111,Exploded_Detail_Relevant!$F$2:$F$491,$D111)</f>
        <v>1</v>
      </c>
    </row>
    <row r="112" spans="1:6" x14ac:dyDescent="0.35">
      <c r="A112" t="s">
        <v>31</v>
      </c>
      <c r="B112" t="s">
        <v>32</v>
      </c>
      <c r="C112" t="s">
        <v>35</v>
      </c>
      <c r="D112" t="s">
        <v>280</v>
      </c>
      <c r="E112" s="5">
        <f>SUMIFS(Exploded_Detail_Relevant!$G$2:$G$491,Exploded_Detail_Relevant!$A$2:$A$491,$A112,Exploded_Detail_Relevant!$B$2:$B$491,$B112,Exploded_Detail_Relevant!$E$2:$E$491,$C112,Exploded_Detail_Relevant!$F$2:$F$491,$D112)</f>
        <v>2448000</v>
      </c>
      <c r="F112">
        <f>COUNTIFS(Exploded_Detail_Relevant!$A$2:$A$491,$A112,Exploded_Detail_Relevant!$B$2:$B$491,$B112,Exploded_Detail_Relevant!$E$2:$E$491,$C112,Exploded_Detail_Relevant!$F$2:$F$491,$D112)</f>
        <v>1</v>
      </c>
    </row>
    <row r="113" spans="1:6" x14ac:dyDescent="0.35">
      <c r="A113" t="s">
        <v>31</v>
      </c>
      <c r="B113" t="s">
        <v>45</v>
      </c>
      <c r="C113" t="s">
        <v>35</v>
      </c>
      <c r="D113" t="s">
        <v>280</v>
      </c>
      <c r="E113" s="5">
        <f>SUMIFS(Exploded_Detail_Relevant!$G$2:$G$491,Exploded_Detail_Relevant!$A$2:$A$491,$A113,Exploded_Detail_Relevant!$B$2:$B$491,$B113,Exploded_Detail_Relevant!$E$2:$E$491,$C113,Exploded_Detail_Relevant!$F$2:$F$491,$D113)</f>
        <v>926000</v>
      </c>
      <c r="F113">
        <f>COUNTIFS(Exploded_Detail_Relevant!$A$2:$A$491,$A113,Exploded_Detail_Relevant!$B$2:$B$491,$B113,Exploded_Detail_Relevant!$E$2:$E$491,$C113,Exploded_Detail_Relevant!$F$2:$F$491,$D113)</f>
        <v>2</v>
      </c>
    </row>
    <row r="114" spans="1:6" x14ac:dyDescent="0.35">
      <c r="A114" t="s">
        <v>31</v>
      </c>
      <c r="B114" t="s">
        <v>45</v>
      </c>
      <c r="C114" t="s">
        <v>90</v>
      </c>
      <c r="D114" t="s">
        <v>280</v>
      </c>
      <c r="E114" s="5">
        <f>SUMIFS(Exploded_Detail_Relevant!$G$2:$G$491,Exploded_Detail_Relevant!$A$2:$A$491,$A114,Exploded_Detail_Relevant!$B$2:$B$491,$B114,Exploded_Detail_Relevant!$E$2:$E$491,$C114,Exploded_Detail_Relevant!$F$2:$F$491,$D114)</f>
        <v>6402565</v>
      </c>
      <c r="F114">
        <f>COUNTIFS(Exploded_Detail_Relevant!$A$2:$A$491,$A114,Exploded_Detail_Relevant!$B$2:$B$491,$B114,Exploded_Detail_Relevant!$E$2:$E$491,$C114,Exploded_Detail_Relevant!$F$2:$F$491,$D114)</f>
        <v>4</v>
      </c>
    </row>
    <row r="115" spans="1:6" x14ac:dyDescent="0.35">
      <c r="A115" t="s">
        <v>31</v>
      </c>
      <c r="B115" t="s">
        <v>32</v>
      </c>
      <c r="C115" t="s">
        <v>51</v>
      </c>
      <c r="D115" t="s">
        <v>287</v>
      </c>
      <c r="E115" s="5">
        <f>SUMIFS(Exploded_Detail_Relevant!$G$2:$G$491,Exploded_Detail_Relevant!$A$2:$A$491,$A115,Exploded_Detail_Relevant!$B$2:$B$491,$B115,Exploded_Detail_Relevant!$E$2:$E$491,$C115,Exploded_Detail_Relevant!$F$2:$F$491,$D115)</f>
        <v>2250000</v>
      </c>
      <c r="F115">
        <f>COUNTIFS(Exploded_Detail_Relevant!$A$2:$A$491,$A115,Exploded_Detail_Relevant!$B$2:$B$491,$B115,Exploded_Detail_Relevant!$E$2:$E$491,$C115,Exploded_Detail_Relevant!$F$2:$F$491,$D115)</f>
        <v>1</v>
      </c>
    </row>
    <row r="116" spans="1:6" x14ac:dyDescent="0.35">
      <c r="A116" t="s">
        <v>31</v>
      </c>
      <c r="B116" t="s">
        <v>32</v>
      </c>
      <c r="C116" t="s">
        <v>35</v>
      </c>
      <c r="D116" t="s">
        <v>287</v>
      </c>
      <c r="E116" s="5">
        <f>SUMIFS(Exploded_Detail_Relevant!$G$2:$G$491,Exploded_Detail_Relevant!$A$2:$A$491,$A116,Exploded_Detail_Relevant!$B$2:$B$491,$B116,Exploded_Detail_Relevant!$E$2:$E$491,$C116,Exploded_Detail_Relevant!$F$2:$F$491,$D116)</f>
        <v>1360000</v>
      </c>
      <c r="F116">
        <f>COUNTIFS(Exploded_Detail_Relevant!$A$2:$A$491,$A116,Exploded_Detail_Relevant!$B$2:$B$491,$B116,Exploded_Detail_Relevant!$E$2:$E$491,$C116,Exploded_Detail_Relevant!$F$2:$F$491,$D116)</f>
        <v>1</v>
      </c>
    </row>
    <row r="117" spans="1:6" x14ac:dyDescent="0.35">
      <c r="A117" t="s">
        <v>31</v>
      </c>
      <c r="B117" t="s">
        <v>45</v>
      </c>
      <c r="C117" t="s">
        <v>35</v>
      </c>
      <c r="D117" t="s">
        <v>290</v>
      </c>
      <c r="E117" s="5">
        <f>SUMIFS(Exploded_Detail_Relevant!$G$2:$G$491,Exploded_Detail_Relevant!$A$2:$A$491,$A117,Exploded_Detail_Relevant!$B$2:$B$491,$B117,Exploded_Detail_Relevant!$E$2:$E$491,$C117,Exploded_Detail_Relevant!$F$2:$F$491,$D117)</f>
        <v>85024</v>
      </c>
      <c r="F117">
        <f>COUNTIFS(Exploded_Detail_Relevant!$A$2:$A$491,$A117,Exploded_Detail_Relevant!$B$2:$B$491,$B117,Exploded_Detail_Relevant!$E$2:$E$491,$C117,Exploded_Detail_Relevant!$F$2:$F$491,$D117)</f>
        <v>1</v>
      </c>
    </row>
    <row r="118" spans="1:6" x14ac:dyDescent="0.35">
      <c r="A118" t="s">
        <v>31</v>
      </c>
      <c r="B118" t="s">
        <v>45</v>
      </c>
      <c r="C118" t="s">
        <v>293</v>
      </c>
      <c r="D118" t="s">
        <v>294</v>
      </c>
      <c r="E118" s="5">
        <f>SUMIFS(Exploded_Detail_Relevant!$G$2:$G$491,Exploded_Detail_Relevant!$A$2:$A$491,$A118,Exploded_Detail_Relevant!$B$2:$B$491,$B118,Exploded_Detail_Relevant!$E$2:$E$491,$C118,Exploded_Detail_Relevant!$F$2:$F$491,$D118)</f>
        <v>13443680</v>
      </c>
      <c r="F118">
        <f>COUNTIFS(Exploded_Detail_Relevant!$A$2:$A$491,$A118,Exploded_Detail_Relevant!$B$2:$B$491,$B118,Exploded_Detail_Relevant!$E$2:$E$491,$C118,Exploded_Detail_Relevant!$F$2:$F$491,$D118)</f>
        <v>1</v>
      </c>
    </row>
    <row r="119" spans="1:6" x14ac:dyDescent="0.35">
      <c r="A119" t="s">
        <v>31</v>
      </c>
      <c r="B119" t="s">
        <v>32</v>
      </c>
      <c r="C119" t="s">
        <v>35</v>
      </c>
      <c r="D119" t="s">
        <v>295</v>
      </c>
      <c r="E119" s="5">
        <f>SUMIFS(Exploded_Detail_Relevant!$G$2:$G$491,Exploded_Detail_Relevant!$A$2:$A$491,$A119,Exploded_Detail_Relevant!$B$2:$B$491,$B119,Exploded_Detail_Relevant!$E$2:$E$491,$C119,Exploded_Detail_Relevant!$F$2:$F$491,$D119)</f>
        <v>4580000</v>
      </c>
      <c r="F119">
        <f>COUNTIFS(Exploded_Detail_Relevant!$A$2:$A$491,$A119,Exploded_Detail_Relevant!$B$2:$B$491,$B119,Exploded_Detail_Relevant!$E$2:$E$491,$C119,Exploded_Detail_Relevant!$F$2:$F$491,$D119)</f>
        <v>1</v>
      </c>
    </row>
    <row r="120" spans="1:6" x14ac:dyDescent="0.35">
      <c r="A120" t="s">
        <v>31</v>
      </c>
      <c r="B120" t="s">
        <v>45</v>
      </c>
      <c r="C120" t="s">
        <v>48</v>
      </c>
      <c r="D120" t="s">
        <v>298</v>
      </c>
      <c r="E120" s="5">
        <f>SUMIFS(Exploded_Detail_Relevant!$G$2:$G$491,Exploded_Detail_Relevant!$A$2:$A$491,$A120,Exploded_Detail_Relevant!$B$2:$B$491,$B120,Exploded_Detail_Relevant!$E$2:$E$491,$C120,Exploded_Detail_Relevant!$F$2:$F$491,$D120)</f>
        <v>1706491</v>
      </c>
      <c r="F120">
        <f>COUNTIFS(Exploded_Detail_Relevant!$A$2:$A$491,$A120,Exploded_Detail_Relevant!$B$2:$B$491,$B120,Exploded_Detail_Relevant!$E$2:$E$491,$C120,Exploded_Detail_Relevant!$F$2:$F$491,$D120)</f>
        <v>1</v>
      </c>
    </row>
    <row r="121" spans="1:6" x14ac:dyDescent="0.35">
      <c r="A121" t="s">
        <v>31</v>
      </c>
      <c r="B121" t="s">
        <v>32</v>
      </c>
      <c r="C121" t="s">
        <v>35</v>
      </c>
      <c r="D121" t="s">
        <v>301</v>
      </c>
      <c r="E121" s="5">
        <f>SUMIFS(Exploded_Detail_Relevant!$G$2:$G$491,Exploded_Detail_Relevant!$A$2:$A$491,$A121,Exploded_Detail_Relevant!$B$2:$B$491,$B121,Exploded_Detail_Relevant!$E$2:$E$491,$C121,Exploded_Detail_Relevant!$F$2:$F$491,$D121)</f>
        <v>265547</v>
      </c>
      <c r="F121">
        <f>COUNTIFS(Exploded_Detail_Relevant!$A$2:$A$491,$A121,Exploded_Detail_Relevant!$B$2:$B$491,$B121,Exploded_Detail_Relevant!$E$2:$E$491,$C121,Exploded_Detail_Relevant!$F$2:$F$491,$D121)</f>
        <v>1</v>
      </c>
    </row>
    <row r="122" spans="1:6" x14ac:dyDescent="0.35">
      <c r="A122" t="s">
        <v>31</v>
      </c>
      <c r="B122" t="s">
        <v>45</v>
      </c>
      <c r="C122" t="s">
        <v>35</v>
      </c>
      <c r="D122" t="s">
        <v>301</v>
      </c>
      <c r="E122" s="5">
        <f>SUMIFS(Exploded_Detail_Relevant!$G$2:$G$491,Exploded_Detail_Relevant!$A$2:$A$491,$A122,Exploded_Detail_Relevant!$B$2:$B$491,$B122,Exploded_Detail_Relevant!$E$2:$E$491,$C122,Exploded_Detail_Relevant!$F$2:$F$491,$D122)</f>
        <v>339254</v>
      </c>
      <c r="F122">
        <f>COUNTIFS(Exploded_Detail_Relevant!$A$2:$A$491,$A122,Exploded_Detail_Relevant!$B$2:$B$491,$B122,Exploded_Detail_Relevant!$E$2:$E$491,$C122,Exploded_Detail_Relevant!$F$2:$F$491,$D122)</f>
        <v>2</v>
      </c>
    </row>
    <row r="123" spans="1:6" x14ac:dyDescent="0.35">
      <c r="A123" t="s">
        <v>31</v>
      </c>
      <c r="B123" t="s">
        <v>32</v>
      </c>
      <c r="C123" t="s">
        <v>35</v>
      </c>
      <c r="D123" t="s">
        <v>304</v>
      </c>
      <c r="E123" s="5">
        <f>SUMIFS(Exploded_Detail_Relevant!$G$2:$G$491,Exploded_Detail_Relevant!$A$2:$A$491,$A123,Exploded_Detail_Relevant!$B$2:$B$491,$B123,Exploded_Detail_Relevant!$E$2:$E$491,$C123,Exploded_Detail_Relevant!$F$2:$F$491,$D123)</f>
        <v>967200</v>
      </c>
      <c r="F123">
        <f>COUNTIFS(Exploded_Detail_Relevant!$A$2:$A$491,$A123,Exploded_Detail_Relevant!$B$2:$B$491,$B123,Exploded_Detail_Relevant!$E$2:$E$491,$C123,Exploded_Detail_Relevant!$F$2:$F$491,$D123)</f>
        <v>2</v>
      </c>
    </row>
    <row r="124" spans="1:6" x14ac:dyDescent="0.35">
      <c r="A124" t="s">
        <v>31</v>
      </c>
      <c r="B124" t="s">
        <v>45</v>
      </c>
      <c r="C124" t="s">
        <v>160</v>
      </c>
      <c r="D124" t="s">
        <v>305</v>
      </c>
      <c r="E124" s="5">
        <f>SUMIFS(Exploded_Detail_Relevant!$G$2:$G$491,Exploded_Detail_Relevant!$A$2:$A$491,$A124,Exploded_Detail_Relevant!$B$2:$B$491,$B124,Exploded_Detail_Relevant!$E$2:$E$491,$C124,Exploded_Detail_Relevant!$F$2:$F$491,$D124)</f>
        <v>2102187</v>
      </c>
      <c r="F124">
        <f>COUNTIFS(Exploded_Detail_Relevant!$A$2:$A$491,$A124,Exploded_Detail_Relevant!$B$2:$B$491,$B124,Exploded_Detail_Relevant!$E$2:$E$491,$C124,Exploded_Detail_Relevant!$F$2:$F$491,$D124)</f>
        <v>2</v>
      </c>
    </row>
    <row r="125" spans="1:6" x14ac:dyDescent="0.35">
      <c r="A125" t="s">
        <v>31</v>
      </c>
      <c r="B125" t="s">
        <v>32</v>
      </c>
      <c r="C125" t="s">
        <v>35</v>
      </c>
      <c r="D125" t="s">
        <v>305</v>
      </c>
      <c r="E125" s="5">
        <f>SUMIFS(Exploded_Detail_Relevant!$G$2:$G$491,Exploded_Detail_Relevant!$A$2:$A$491,$A125,Exploded_Detail_Relevant!$B$2:$B$491,$B125,Exploded_Detail_Relevant!$E$2:$E$491,$C125,Exploded_Detail_Relevant!$F$2:$F$491,$D125)</f>
        <v>3040000</v>
      </c>
      <c r="F125">
        <f>COUNTIFS(Exploded_Detail_Relevant!$A$2:$A$491,$A125,Exploded_Detail_Relevant!$B$2:$B$491,$B125,Exploded_Detail_Relevant!$E$2:$E$491,$C125,Exploded_Detail_Relevant!$F$2:$F$491,$D125)</f>
        <v>1</v>
      </c>
    </row>
    <row r="126" spans="1:6" x14ac:dyDescent="0.35">
      <c r="A126" t="s">
        <v>31</v>
      </c>
      <c r="B126" t="s">
        <v>32</v>
      </c>
      <c r="C126" t="s">
        <v>90</v>
      </c>
      <c r="D126" t="s">
        <v>305</v>
      </c>
      <c r="E126" s="5">
        <f>SUMIFS(Exploded_Detail_Relevant!$G$2:$G$491,Exploded_Detail_Relevant!$A$2:$A$491,$A126,Exploded_Detail_Relevant!$B$2:$B$491,$B126,Exploded_Detail_Relevant!$E$2:$E$491,$C126,Exploded_Detail_Relevant!$F$2:$F$491,$D126)</f>
        <v>5015879</v>
      </c>
      <c r="F126">
        <f>COUNTIFS(Exploded_Detail_Relevant!$A$2:$A$491,$A126,Exploded_Detail_Relevant!$B$2:$B$491,$B126,Exploded_Detail_Relevant!$E$2:$E$491,$C126,Exploded_Detail_Relevant!$F$2:$F$491,$D126)</f>
        <v>2</v>
      </c>
    </row>
    <row r="127" spans="1:6" x14ac:dyDescent="0.35">
      <c r="A127" t="s">
        <v>31</v>
      </c>
      <c r="B127" t="s">
        <v>45</v>
      </c>
      <c r="C127" t="s">
        <v>175</v>
      </c>
      <c r="D127" t="s">
        <v>305</v>
      </c>
      <c r="E127" s="5">
        <f>SUMIFS(Exploded_Detail_Relevant!$G$2:$G$491,Exploded_Detail_Relevant!$A$2:$A$491,$A127,Exploded_Detail_Relevant!$B$2:$B$491,$B127,Exploded_Detail_Relevant!$E$2:$E$491,$C127,Exploded_Detail_Relevant!$F$2:$F$491,$D127)</f>
        <v>9188952</v>
      </c>
      <c r="F127">
        <f>COUNTIFS(Exploded_Detail_Relevant!$A$2:$A$491,$A127,Exploded_Detail_Relevant!$B$2:$B$491,$B127,Exploded_Detail_Relevant!$E$2:$E$491,$C127,Exploded_Detail_Relevant!$F$2:$F$491,$D127)</f>
        <v>1</v>
      </c>
    </row>
    <row r="128" spans="1:6" x14ac:dyDescent="0.35">
      <c r="A128" t="s">
        <v>31</v>
      </c>
      <c r="B128" t="s">
        <v>45</v>
      </c>
      <c r="C128" t="s">
        <v>98</v>
      </c>
      <c r="D128" t="s">
        <v>305</v>
      </c>
      <c r="E128" s="5">
        <f>SUMIFS(Exploded_Detail_Relevant!$G$2:$G$491,Exploded_Detail_Relevant!$A$2:$A$491,$A128,Exploded_Detail_Relevant!$B$2:$B$491,$B128,Exploded_Detail_Relevant!$E$2:$E$491,$C128,Exploded_Detail_Relevant!$F$2:$F$491,$D128)</f>
        <v>996761</v>
      </c>
      <c r="F128">
        <f>COUNTIFS(Exploded_Detail_Relevant!$A$2:$A$491,$A128,Exploded_Detail_Relevant!$B$2:$B$491,$B128,Exploded_Detail_Relevant!$E$2:$E$491,$C128,Exploded_Detail_Relevant!$F$2:$F$491,$D128)</f>
        <v>1</v>
      </c>
    </row>
    <row r="129" spans="1:6" x14ac:dyDescent="0.35">
      <c r="A129" t="s">
        <v>31</v>
      </c>
      <c r="B129" t="s">
        <v>32</v>
      </c>
      <c r="C129" t="s">
        <v>51</v>
      </c>
      <c r="D129" t="s">
        <v>312</v>
      </c>
      <c r="E129" s="5">
        <f>SUMIFS(Exploded_Detail_Relevant!$G$2:$G$491,Exploded_Detail_Relevant!$A$2:$A$491,$A129,Exploded_Detail_Relevant!$B$2:$B$491,$B129,Exploded_Detail_Relevant!$E$2:$E$491,$C129,Exploded_Detail_Relevant!$F$2:$F$491,$D129)</f>
        <v>3150000</v>
      </c>
      <c r="F129">
        <f>COUNTIFS(Exploded_Detail_Relevant!$A$2:$A$491,$A129,Exploded_Detail_Relevant!$B$2:$B$491,$B129,Exploded_Detail_Relevant!$E$2:$E$491,$C129,Exploded_Detail_Relevant!$F$2:$F$491,$D129)</f>
        <v>1</v>
      </c>
    </row>
    <row r="130" spans="1:6" x14ac:dyDescent="0.35">
      <c r="A130" t="s">
        <v>31</v>
      </c>
      <c r="B130" t="s">
        <v>32</v>
      </c>
      <c r="C130" t="s">
        <v>35</v>
      </c>
      <c r="D130" t="s">
        <v>313</v>
      </c>
      <c r="E130" s="5">
        <f>SUMIFS(Exploded_Detail_Relevant!$G$2:$G$491,Exploded_Detail_Relevant!$A$2:$A$491,$A130,Exploded_Detail_Relevant!$B$2:$B$491,$B130,Exploded_Detail_Relevant!$E$2:$E$491,$C130,Exploded_Detail_Relevant!$F$2:$F$491,$D130)</f>
        <v>7545381</v>
      </c>
      <c r="F130">
        <f>COUNTIFS(Exploded_Detail_Relevant!$A$2:$A$491,$A130,Exploded_Detail_Relevant!$B$2:$B$491,$B130,Exploded_Detail_Relevant!$E$2:$E$491,$C130,Exploded_Detail_Relevant!$F$2:$F$491,$D130)</f>
        <v>2</v>
      </c>
    </row>
    <row r="131" spans="1:6" x14ac:dyDescent="0.35">
      <c r="A131" t="s">
        <v>31</v>
      </c>
      <c r="B131" t="s">
        <v>45</v>
      </c>
      <c r="C131" t="s">
        <v>35</v>
      </c>
      <c r="D131" t="s">
        <v>313</v>
      </c>
      <c r="E131" s="5">
        <f>SUMIFS(Exploded_Detail_Relevant!$G$2:$G$491,Exploded_Detail_Relevant!$A$2:$A$491,$A131,Exploded_Detail_Relevant!$B$2:$B$491,$B131,Exploded_Detail_Relevant!$E$2:$E$491,$C131,Exploded_Detail_Relevant!$F$2:$F$491,$D131)</f>
        <v>2400000</v>
      </c>
      <c r="F131">
        <f>COUNTIFS(Exploded_Detail_Relevant!$A$2:$A$491,$A131,Exploded_Detail_Relevant!$B$2:$B$491,$B131,Exploded_Detail_Relevant!$E$2:$E$491,$C131,Exploded_Detail_Relevant!$F$2:$F$491,$D131)</f>
        <v>1</v>
      </c>
    </row>
    <row r="132" spans="1:6" x14ac:dyDescent="0.35">
      <c r="A132" t="s">
        <v>31</v>
      </c>
      <c r="B132" t="s">
        <v>45</v>
      </c>
      <c r="C132" t="s">
        <v>35</v>
      </c>
      <c r="D132" t="s">
        <v>316</v>
      </c>
      <c r="E132" s="5">
        <f>SUMIFS(Exploded_Detail_Relevant!$G$2:$G$491,Exploded_Detail_Relevant!$A$2:$A$491,$A132,Exploded_Detail_Relevant!$B$2:$B$491,$B132,Exploded_Detail_Relevant!$E$2:$E$491,$C132,Exploded_Detail_Relevant!$F$2:$F$491,$D132)</f>
        <v>1746800</v>
      </c>
      <c r="F132">
        <f>COUNTIFS(Exploded_Detail_Relevant!$A$2:$A$491,$A132,Exploded_Detail_Relevant!$B$2:$B$491,$B132,Exploded_Detail_Relevant!$E$2:$E$491,$C132,Exploded_Detail_Relevant!$F$2:$F$491,$D132)</f>
        <v>2</v>
      </c>
    </row>
    <row r="133" spans="1:6" x14ac:dyDescent="0.35">
      <c r="A133" t="s">
        <v>31</v>
      </c>
      <c r="B133" t="s">
        <v>32</v>
      </c>
      <c r="C133" t="s">
        <v>43</v>
      </c>
      <c r="D133" t="s">
        <v>321</v>
      </c>
      <c r="E133" s="5">
        <f>SUMIFS(Exploded_Detail_Relevant!$G$2:$G$491,Exploded_Detail_Relevant!$A$2:$A$491,$A133,Exploded_Detail_Relevant!$B$2:$B$491,$B133,Exploded_Detail_Relevant!$E$2:$E$491,$C133,Exploded_Detail_Relevant!$F$2:$F$491,$D133)</f>
        <v>250000</v>
      </c>
      <c r="F133">
        <f>COUNTIFS(Exploded_Detail_Relevant!$A$2:$A$491,$A133,Exploded_Detail_Relevant!$B$2:$B$491,$B133,Exploded_Detail_Relevant!$E$2:$E$491,$C133,Exploded_Detail_Relevant!$F$2:$F$491,$D133)</f>
        <v>1</v>
      </c>
    </row>
    <row r="134" spans="1:6" x14ac:dyDescent="0.35">
      <c r="A134" t="s">
        <v>31</v>
      </c>
      <c r="B134" t="s">
        <v>45</v>
      </c>
      <c r="C134" t="s">
        <v>74</v>
      </c>
      <c r="D134" t="s">
        <v>321</v>
      </c>
      <c r="E134" s="5">
        <f>SUMIFS(Exploded_Detail_Relevant!$G$2:$G$491,Exploded_Detail_Relevant!$A$2:$A$491,$A134,Exploded_Detail_Relevant!$B$2:$B$491,$B134,Exploded_Detail_Relevant!$E$2:$E$491,$C134,Exploded_Detail_Relevant!$F$2:$F$491,$D134)</f>
        <v>1369555</v>
      </c>
      <c r="F134">
        <f>COUNTIFS(Exploded_Detail_Relevant!$A$2:$A$491,$A134,Exploded_Detail_Relevant!$B$2:$B$491,$B134,Exploded_Detail_Relevant!$E$2:$E$491,$C134,Exploded_Detail_Relevant!$F$2:$F$491,$D134)</f>
        <v>2</v>
      </c>
    </row>
    <row r="135" spans="1:6" x14ac:dyDescent="0.35">
      <c r="A135" t="s">
        <v>31</v>
      </c>
      <c r="B135" t="s">
        <v>32</v>
      </c>
      <c r="C135" t="s">
        <v>35</v>
      </c>
      <c r="D135" t="s">
        <v>321</v>
      </c>
      <c r="E135" s="5">
        <f>SUMIFS(Exploded_Detail_Relevant!$G$2:$G$491,Exploded_Detail_Relevant!$A$2:$A$491,$A135,Exploded_Detail_Relevant!$B$2:$B$491,$B135,Exploded_Detail_Relevant!$E$2:$E$491,$C135,Exploded_Detail_Relevant!$F$2:$F$491,$D135)</f>
        <v>2400000</v>
      </c>
      <c r="F135">
        <f>COUNTIFS(Exploded_Detail_Relevant!$A$2:$A$491,$A135,Exploded_Detail_Relevant!$B$2:$B$491,$B135,Exploded_Detail_Relevant!$E$2:$E$491,$C135,Exploded_Detail_Relevant!$F$2:$F$491,$D135)</f>
        <v>1</v>
      </c>
    </row>
    <row r="136" spans="1:6" x14ac:dyDescent="0.35">
      <c r="A136" t="s">
        <v>31</v>
      </c>
      <c r="B136" t="s">
        <v>45</v>
      </c>
      <c r="C136" t="s">
        <v>35</v>
      </c>
      <c r="D136" t="s">
        <v>321</v>
      </c>
      <c r="E136" s="5">
        <f>SUMIFS(Exploded_Detail_Relevant!$G$2:$G$491,Exploded_Detail_Relevant!$A$2:$A$491,$A136,Exploded_Detail_Relevant!$B$2:$B$491,$B136,Exploded_Detail_Relevant!$E$2:$E$491,$C136,Exploded_Detail_Relevant!$F$2:$F$491,$D136)</f>
        <v>2909000</v>
      </c>
      <c r="F136">
        <f>COUNTIFS(Exploded_Detail_Relevant!$A$2:$A$491,$A136,Exploded_Detail_Relevant!$B$2:$B$491,$B136,Exploded_Detail_Relevant!$E$2:$E$491,$C136,Exploded_Detail_Relevant!$F$2:$F$491,$D136)</f>
        <v>3</v>
      </c>
    </row>
    <row r="137" spans="1:6" x14ac:dyDescent="0.35">
      <c r="A137" t="s">
        <v>31</v>
      </c>
      <c r="B137" t="s">
        <v>32</v>
      </c>
      <c r="C137" t="s">
        <v>70</v>
      </c>
      <c r="D137" t="s">
        <v>326</v>
      </c>
      <c r="E137" s="5">
        <f>SUMIFS(Exploded_Detail_Relevant!$G$2:$G$491,Exploded_Detail_Relevant!$A$2:$A$491,$A137,Exploded_Detail_Relevant!$B$2:$B$491,$B137,Exploded_Detail_Relevant!$E$2:$E$491,$C137,Exploded_Detail_Relevant!$F$2:$F$491,$D137)</f>
        <v>10220291</v>
      </c>
      <c r="F137">
        <f>COUNTIFS(Exploded_Detail_Relevant!$A$2:$A$491,$A137,Exploded_Detail_Relevant!$B$2:$B$491,$B137,Exploded_Detail_Relevant!$E$2:$E$491,$C137,Exploded_Detail_Relevant!$F$2:$F$491,$D137)</f>
        <v>3</v>
      </c>
    </row>
    <row r="138" spans="1:6" x14ac:dyDescent="0.35">
      <c r="A138" t="s">
        <v>31</v>
      </c>
      <c r="B138" t="s">
        <v>32</v>
      </c>
      <c r="C138" t="s">
        <v>51</v>
      </c>
      <c r="D138" t="s">
        <v>326</v>
      </c>
      <c r="E138" s="5">
        <f>SUMIFS(Exploded_Detail_Relevant!$G$2:$G$491,Exploded_Detail_Relevant!$A$2:$A$491,$A138,Exploded_Detail_Relevant!$B$2:$B$491,$B138,Exploded_Detail_Relevant!$E$2:$E$491,$C138,Exploded_Detail_Relevant!$F$2:$F$491,$D138)</f>
        <v>2700000</v>
      </c>
      <c r="F138">
        <f>COUNTIFS(Exploded_Detail_Relevant!$A$2:$A$491,$A138,Exploded_Detail_Relevant!$B$2:$B$491,$B138,Exploded_Detail_Relevant!$E$2:$E$491,$C138,Exploded_Detail_Relevant!$F$2:$F$491,$D138)</f>
        <v>1</v>
      </c>
    </row>
    <row r="139" spans="1:6" x14ac:dyDescent="0.35">
      <c r="A139" t="s">
        <v>31</v>
      </c>
      <c r="B139" t="s">
        <v>32</v>
      </c>
      <c r="C139" t="s">
        <v>35</v>
      </c>
      <c r="D139" t="s">
        <v>326</v>
      </c>
      <c r="E139" s="5">
        <f>SUMIFS(Exploded_Detail_Relevant!$G$2:$G$491,Exploded_Detail_Relevant!$A$2:$A$491,$A139,Exploded_Detail_Relevant!$B$2:$B$491,$B139,Exploded_Detail_Relevant!$E$2:$E$491,$C139,Exploded_Detail_Relevant!$F$2:$F$491,$D139)</f>
        <v>2361381</v>
      </c>
      <c r="F139">
        <f>COUNTIFS(Exploded_Detail_Relevant!$A$2:$A$491,$A139,Exploded_Detail_Relevant!$B$2:$B$491,$B139,Exploded_Detail_Relevant!$E$2:$E$491,$C139,Exploded_Detail_Relevant!$F$2:$F$491,$D139)</f>
        <v>1</v>
      </c>
    </row>
    <row r="140" spans="1:6" x14ac:dyDescent="0.35">
      <c r="A140" t="s">
        <v>31</v>
      </c>
      <c r="B140" t="s">
        <v>45</v>
      </c>
      <c r="C140" t="s">
        <v>35</v>
      </c>
      <c r="D140" t="s">
        <v>326</v>
      </c>
      <c r="E140" s="5">
        <f>SUMIFS(Exploded_Detail_Relevant!$G$2:$G$491,Exploded_Detail_Relevant!$A$2:$A$491,$A140,Exploded_Detail_Relevant!$B$2:$B$491,$B140,Exploded_Detail_Relevant!$E$2:$E$491,$C140,Exploded_Detail_Relevant!$F$2:$F$491,$D140)</f>
        <v>2400000</v>
      </c>
      <c r="F140">
        <f>COUNTIFS(Exploded_Detail_Relevant!$A$2:$A$491,$A140,Exploded_Detail_Relevant!$B$2:$B$491,$B140,Exploded_Detail_Relevant!$E$2:$E$491,$C140,Exploded_Detail_Relevant!$F$2:$F$491,$D140)</f>
        <v>1</v>
      </c>
    </row>
    <row r="141" spans="1:6" x14ac:dyDescent="0.35">
      <c r="A141" t="s">
        <v>31</v>
      </c>
      <c r="B141" t="s">
        <v>45</v>
      </c>
      <c r="C141" t="s">
        <v>331</v>
      </c>
      <c r="D141" t="s">
        <v>326</v>
      </c>
      <c r="E141" s="5">
        <f>SUMIFS(Exploded_Detail_Relevant!$G$2:$G$491,Exploded_Detail_Relevant!$A$2:$A$491,$A141,Exploded_Detail_Relevant!$B$2:$B$491,$B141,Exploded_Detail_Relevant!$E$2:$E$491,$C141,Exploded_Detail_Relevant!$F$2:$F$491,$D141)</f>
        <v>2824192</v>
      </c>
      <c r="F141">
        <f>COUNTIFS(Exploded_Detail_Relevant!$A$2:$A$491,$A141,Exploded_Detail_Relevant!$B$2:$B$491,$B141,Exploded_Detail_Relevant!$E$2:$E$491,$C141,Exploded_Detail_Relevant!$F$2:$F$491,$D141)</f>
        <v>3</v>
      </c>
    </row>
    <row r="142" spans="1:6" x14ac:dyDescent="0.35">
      <c r="A142" t="s">
        <v>31</v>
      </c>
      <c r="B142" t="s">
        <v>45</v>
      </c>
      <c r="C142" t="s">
        <v>48</v>
      </c>
      <c r="D142" t="s">
        <v>334</v>
      </c>
      <c r="E142" s="5">
        <f>SUMIFS(Exploded_Detail_Relevant!$G$2:$G$491,Exploded_Detail_Relevant!$A$2:$A$491,$A142,Exploded_Detail_Relevant!$B$2:$B$491,$B142,Exploded_Detail_Relevant!$E$2:$E$491,$C142,Exploded_Detail_Relevant!$F$2:$F$491,$D142)</f>
        <v>212000</v>
      </c>
      <c r="F142">
        <f>COUNTIFS(Exploded_Detail_Relevant!$A$2:$A$491,$A142,Exploded_Detail_Relevant!$B$2:$B$491,$B142,Exploded_Detail_Relevant!$E$2:$E$491,$C142,Exploded_Detail_Relevant!$F$2:$F$491,$D142)</f>
        <v>1</v>
      </c>
    </row>
    <row r="143" spans="1:6" x14ac:dyDescent="0.35">
      <c r="A143" t="s">
        <v>31</v>
      </c>
      <c r="B143" t="s">
        <v>32</v>
      </c>
      <c r="C143" t="s">
        <v>35</v>
      </c>
      <c r="D143" t="s">
        <v>334</v>
      </c>
      <c r="E143" s="5">
        <f>SUMIFS(Exploded_Detail_Relevant!$G$2:$G$491,Exploded_Detail_Relevant!$A$2:$A$491,$A143,Exploded_Detail_Relevant!$B$2:$B$491,$B143,Exploded_Detail_Relevant!$E$2:$E$491,$C143,Exploded_Detail_Relevant!$F$2:$F$491,$D143)</f>
        <v>18715880</v>
      </c>
      <c r="F143">
        <f>COUNTIFS(Exploded_Detail_Relevant!$A$2:$A$491,$A143,Exploded_Detail_Relevant!$B$2:$B$491,$B143,Exploded_Detail_Relevant!$E$2:$E$491,$C143,Exploded_Detail_Relevant!$F$2:$F$491,$D143)</f>
        <v>4</v>
      </c>
    </row>
    <row r="144" spans="1:6" x14ac:dyDescent="0.35">
      <c r="A144" t="s">
        <v>31</v>
      </c>
      <c r="B144" t="s">
        <v>45</v>
      </c>
      <c r="C144" t="s">
        <v>35</v>
      </c>
      <c r="D144" t="s">
        <v>334</v>
      </c>
      <c r="E144" s="5">
        <f>SUMIFS(Exploded_Detail_Relevant!$G$2:$G$491,Exploded_Detail_Relevant!$A$2:$A$491,$A144,Exploded_Detail_Relevant!$B$2:$B$491,$B144,Exploded_Detail_Relevant!$E$2:$E$491,$C144,Exploded_Detail_Relevant!$F$2:$F$491,$D144)</f>
        <v>18349753</v>
      </c>
      <c r="F144">
        <f>COUNTIFS(Exploded_Detail_Relevant!$A$2:$A$491,$A144,Exploded_Detail_Relevant!$B$2:$B$491,$B144,Exploded_Detail_Relevant!$E$2:$E$491,$C144,Exploded_Detail_Relevant!$F$2:$F$491,$D144)</f>
        <v>7</v>
      </c>
    </row>
    <row r="145" spans="1:6" x14ac:dyDescent="0.35">
      <c r="A145" t="s">
        <v>31</v>
      </c>
      <c r="B145" t="s">
        <v>32</v>
      </c>
      <c r="C145" t="s">
        <v>43</v>
      </c>
      <c r="D145" t="s">
        <v>339</v>
      </c>
      <c r="E145" s="5">
        <f>SUMIFS(Exploded_Detail_Relevant!$G$2:$G$491,Exploded_Detail_Relevant!$A$2:$A$491,$A145,Exploded_Detail_Relevant!$B$2:$B$491,$B145,Exploded_Detail_Relevant!$E$2:$E$491,$C145,Exploded_Detail_Relevant!$F$2:$F$491,$D145)</f>
        <v>857640</v>
      </c>
      <c r="F145">
        <f>COUNTIFS(Exploded_Detail_Relevant!$A$2:$A$491,$A145,Exploded_Detail_Relevant!$B$2:$B$491,$B145,Exploded_Detail_Relevant!$E$2:$E$491,$C145,Exploded_Detail_Relevant!$F$2:$F$491,$D145)</f>
        <v>2</v>
      </c>
    </row>
    <row r="146" spans="1:6" x14ac:dyDescent="0.35">
      <c r="A146" t="s">
        <v>31</v>
      </c>
      <c r="B146" t="s">
        <v>45</v>
      </c>
      <c r="C146" t="s">
        <v>35</v>
      </c>
      <c r="D146" t="s">
        <v>339</v>
      </c>
      <c r="E146" s="5">
        <f>SUMIFS(Exploded_Detail_Relevant!$G$2:$G$491,Exploded_Detail_Relevant!$A$2:$A$491,$A146,Exploded_Detail_Relevant!$B$2:$B$491,$B146,Exploded_Detail_Relevant!$E$2:$E$491,$C146,Exploded_Detail_Relevant!$F$2:$F$491,$D146)</f>
        <v>1280000</v>
      </c>
      <c r="F146">
        <f>COUNTIFS(Exploded_Detail_Relevant!$A$2:$A$491,$A146,Exploded_Detail_Relevant!$B$2:$B$491,$B146,Exploded_Detail_Relevant!$E$2:$E$491,$C146,Exploded_Detail_Relevant!$F$2:$F$491,$D146)</f>
        <v>1</v>
      </c>
    </row>
    <row r="147" spans="1:6" x14ac:dyDescent="0.35">
      <c r="A147" t="s">
        <v>31</v>
      </c>
      <c r="B147" t="s">
        <v>45</v>
      </c>
      <c r="C147" t="s">
        <v>160</v>
      </c>
      <c r="D147" t="s">
        <v>342</v>
      </c>
      <c r="E147" s="5">
        <f>SUMIFS(Exploded_Detail_Relevant!$G$2:$G$491,Exploded_Detail_Relevant!$A$2:$A$491,$A147,Exploded_Detail_Relevant!$B$2:$B$491,$B147,Exploded_Detail_Relevant!$E$2:$E$491,$C147,Exploded_Detail_Relevant!$F$2:$F$491,$D147)</f>
        <v>2102187</v>
      </c>
      <c r="F147">
        <f>COUNTIFS(Exploded_Detail_Relevant!$A$2:$A$491,$A147,Exploded_Detail_Relevant!$B$2:$B$491,$B147,Exploded_Detail_Relevant!$E$2:$E$491,$C147,Exploded_Detail_Relevant!$F$2:$F$491,$D147)</f>
        <v>2</v>
      </c>
    </row>
    <row r="148" spans="1:6" x14ac:dyDescent="0.35">
      <c r="A148" t="s">
        <v>31</v>
      </c>
      <c r="B148" t="s">
        <v>32</v>
      </c>
      <c r="C148" t="s">
        <v>35</v>
      </c>
      <c r="D148" t="s">
        <v>342</v>
      </c>
      <c r="E148" s="5">
        <f>SUMIFS(Exploded_Detail_Relevant!$G$2:$G$491,Exploded_Detail_Relevant!$A$2:$A$491,$A148,Exploded_Detail_Relevant!$B$2:$B$491,$B148,Exploded_Detail_Relevant!$E$2:$E$491,$C148,Exploded_Detail_Relevant!$F$2:$F$491,$D148)</f>
        <v>4794921</v>
      </c>
      <c r="F148">
        <f>COUNTIFS(Exploded_Detail_Relevant!$A$2:$A$491,$A148,Exploded_Detail_Relevant!$B$2:$B$491,$B148,Exploded_Detail_Relevant!$E$2:$E$491,$C148,Exploded_Detail_Relevant!$F$2:$F$491,$D148)</f>
        <v>5</v>
      </c>
    </row>
    <row r="149" spans="1:6" x14ac:dyDescent="0.35">
      <c r="A149" t="s">
        <v>31</v>
      </c>
      <c r="B149" t="s">
        <v>45</v>
      </c>
      <c r="C149" t="s">
        <v>35</v>
      </c>
      <c r="D149" t="s">
        <v>342</v>
      </c>
      <c r="E149" s="5">
        <f>SUMIFS(Exploded_Detail_Relevant!$G$2:$G$491,Exploded_Detail_Relevant!$A$2:$A$491,$A149,Exploded_Detail_Relevant!$B$2:$B$491,$B149,Exploded_Detail_Relevant!$E$2:$E$491,$C149,Exploded_Detail_Relevant!$F$2:$F$491,$D149)</f>
        <v>44680</v>
      </c>
      <c r="F149">
        <f>COUNTIFS(Exploded_Detail_Relevant!$A$2:$A$491,$A149,Exploded_Detail_Relevant!$B$2:$B$491,$B149,Exploded_Detail_Relevant!$E$2:$E$491,$C149,Exploded_Detail_Relevant!$F$2:$F$491,$D149)</f>
        <v>1</v>
      </c>
    </row>
    <row r="150" spans="1:6" x14ac:dyDescent="0.35">
      <c r="A150" t="s">
        <v>31</v>
      </c>
      <c r="B150" t="s">
        <v>45</v>
      </c>
      <c r="C150" t="s">
        <v>175</v>
      </c>
      <c r="D150" t="s">
        <v>342</v>
      </c>
      <c r="E150" s="5">
        <f>SUMIFS(Exploded_Detail_Relevant!$G$2:$G$491,Exploded_Detail_Relevant!$A$2:$A$491,$A150,Exploded_Detail_Relevant!$B$2:$B$491,$B150,Exploded_Detail_Relevant!$E$2:$E$491,$C150,Exploded_Detail_Relevant!$F$2:$F$491,$D150)</f>
        <v>9188952</v>
      </c>
      <c r="F150">
        <f>COUNTIFS(Exploded_Detail_Relevant!$A$2:$A$491,$A150,Exploded_Detail_Relevant!$B$2:$B$491,$B150,Exploded_Detail_Relevant!$E$2:$E$491,$C150,Exploded_Detail_Relevant!$F$2:$F$491,$D150)</f>
        <v>1</v>
      </c>
    </row>
    <row r="151" spans="1:6" x14ac:dyDescent="0.35">
      <c r="A151" t="s">
        <v>31</v>
      </c>
      <c r="B151" t="s">
        <v>32</v>
      </c>
      <c r="C151" t="s">
        <v>43</v>
      </c>
      <c r="D151" t="s">
        <v>355</v>
      </c>
      <c r="E151" s="5">
        <f>SUMIFS(Exploded_Detail_Relevant!$G$2:$G$491,Exploded_Detail_Relevant!$A$2:$A$491,$A151,Exploded_Detail_Relevant!$B$2:$B$491,$B151,Exploded_Detail_Relevant!$E$2:$E$491,$C151,Exploded_Detail_Relevant!$F$2:$F$491,$D151)</f>
        <v>713870</v>
      </c>
      <c r="F151">
        <f>COUNTIFS(Exploded_Detail_Relevant!$A$2:$A$491,$A151,Exploded_Detail_Relevant!$B$2:$B$491,$B151,Exploded_Detail_Relevant!$E$2:$E$491,$C151,Exploded_Detail_Relevant!$F$2:$F$491,$D151)</f>
        <v>2</v>
      </c>
    </row>
    <row r="152" spans="1:6" x14ac:dyDescent="0.35">
      <c r="A152" t="s">
        <v>31</v>
      </c>
      <c r="B152" t="s">
        <v>45</v>
      </c>
      <c r="C152" t="s">
        <v>43</v>
      </c>
      <c r="D152" t="s">
        <v>355</v>
      </c>
      <c r="E152" s="5">
        <f>SUMIFS(Exploded_Detail_Relevant!$G$2:$G$491,Exploded_Detail_Relevant!$A$2:$A$491,$A152,Exploded_Detail_Relevant!$B$2:$B$491,$B152,Exploded_Detail_Relevant!$E$2:$E$491,$C152,Exploded_Detail_Relevant!$F$2:$F$491,$D152)</f>
        <v>517400</v>
      </c>
      <c r="F152">
        <f>COUNTIFS(Exploded_Detail_Relevant!$A$2:$A$491,$A152,Exploded_Detail_Relevant!$B$2:$B$491,$B152,Exploded_Detail_Relevant!$E$2:$E$491,$C152,Exploded_Detail_Relevant!$F$2:$F$491,$D152)</f>
        <v>1</v>
      </c>
    </row>
    <row r="153" spans="1:6" x14ac:dyDescent="0.35">
      <c r="A153" t="s">
        <v>31</v>
      </c>
      <c r="B153" t="s">
        <v>32</v>
      </c>
      <c r="C153" t="s">
        <v>51</v>
      </c>
      <c r="D153" t="s">
        <v>355</v>
      </c>
      <c r="E153" s="5">
        <f>SUMIFS(Exploded_Detail_Relevant!$G$2:$G$491,Exploded_Detail_Relevant!$A$2:$A$491,$A153,Exploded_Detail_Relevant!$B$2:$B$491,$B153,Exploded_Detail_Relevant!$E$2:$E$491,$C153,Exploded_Detail_Relevant!$F$2:$F$491,$D153)</f>
        <v>1800000</v>
      </c>
      <c r="F153">
        <f>COUNTIFS(Exploded_Detail_Relevant!$A$2:$A$491,$A153,Exploded_Detail_Relevant!$B$2:$B$491,$B153,Exploded_Detail_Relevant!$E$2:$E$491,$C153,Exploded_Detail_Relevant!$F$2:$F$491,$D153)</f>
        <v>2</v>
      </c>
    </row>
    <row r="154" spans="1:6" x14ac:dyDescent="0.35">
      <c r="A154" t="s">
        <v>31</v>
      </c>
      <c r="B154" t="s">
        <v>45</v>
      </c>
      <c r="C154" t="s">
        <v>51</v>
      </c>
      <c r="D154" t="s">
        <v>355</v>
      </c>
      <c r="E154" s="5">
        <f>SUMIFS(Exploded_Detail_Relevant!$G$2:$G$491,Exploded_Detail_Relevant!$A$2:$A$491,$A154,Exploded_Detail_Relevant!$B$2:$B$491,$B154,Exploded_Detail_Relevant!$E$2:$E$491,$C154,Exploded_Detail_Relevant!$F$2:$F$491,$D154)</f>
        <v>2696342</v>
      </c>
      <c r="F154">
        <f>COUNTIFS(Exploded_Detail_Relevant!$A$2:$A$491,$A154,Exploded_Detail_Relevant!$B$2:$B$491,$B154,Exploded_Detail_Relevant!$E$2:$E$491,$C154,Exploded_Detail_Relevant!$F$2:$F$491,$D154)</f>
        <v>3</v>
      </c>
    </row>
    <row r="155" spans="1:6" x14ac:dyDescent="0.35">
      <c r="A155" t="s">
        <v>31</v>
      </c>
      <c r="B155" t="s">
        <v>32</v>
      </c>
      <c r="C155" t="s">
        <v>35</v>
      </c>
      <c r="D155" t="s">
        <v>355</v>
      </c>
      <c r="E155" s="5">
        <f>SUMIFS(Exploded_Detail_Relevant!$G$2:$G$491,Exploded_Detail_Relevant!$A$2:$A$491,$A155,Exploded_Detail_Relevant!$B$2:$B$491,$B155,Exploded_Detail_Relevant!$E$2:$E$491,$C155,Exploded_Detail_Relevant!$F$2:$F$491,$D155)</f>
        <v>1478400</v>
      </c>
      <c r="F155">
        <f>COUNTIFS(Exploded_Detail_Relevant!$A$2:$A$491,$A155,Exploded_Detail_Relevant!$B$2:$B$491,$B155,Exploded_Detail_Relevant!$E$2:$E$491,$C155,Exploded_Detail_Relevant!$F$2:$F$491,$D155)</f>
        <v>1</v>
      </c>
    </row>
    <row r="156" spans="1:6" x14ac:dyDescent="0.35">
      <c r="A156" t="s">
        <v>31</v>
      </c>
      <c r="B156" t="s">
        <v>45</v>
      </c>
      <c r="C156" t="s">
        <v>35</v>
      </c>
      <c r="D156" t="s">
        <v>355</v>
      </c>
      <c r="E156" s="5">
        <f>SUMIFS(Exploded_Detail_Relevant!$G$2:$G$491,Exploded_Detail_Relevant!$A$2:$A$491,$A156,Exploded_Detail_Relevant!$B$2:$B$491,$B156,Exploded_Detail_Relevant!$E$2:$E$491,$C156,Exploded_Detail_Relevant!$F$2:$F$491,$D156)</f>
        <v>650817</v>
      </c>
      <c r="F156">
        <f>COUNTIFS(Exploded_Detail_Relevant!$A$2:$A$491,$A156,Exploded_Detail_Relevant!$B$2:$B$491,$B156,Exploded_Detail_Relevant!$E$2:$E$491,$C156,Exploded_Detail_Relevant!$F$2:$F$491,$D156)</f>
        <v>1</v>
      </c>
    </row>
    <row r="157" spans="1:6" x14ac:dyDescent="0.35">
      <c r="A157" t="s">
        <v>31</v>
      </c>
      <c r="B157" t="s">
        <v>45</v>
      </c>
      <c r="C157" t="s">
        <v>116</v>
      </c>
      <c r="D157" t="s">
        <v>366</v>
      </c>
      <c r="E157" s="5">
        <f>SUMIFS(Exploded_Detail_Relevant!$G$2:$G$491,Exploded_Detail_Relevant!$A$2:$A$491,$A157,Exploded_Detail_Relevant!$B$2:$B$491,$B157,Exploded_Detail_Relevant!$E$2:$E$491,$C157,Exploded_Detail_Relevant!$F$2:$F$491,$D157)</f>
        <v>1516633</v>
      </c>
      <c r="F157">
        <f>COUNTIFS(Exploded_Detail_Relevant!$A$2:$A$491,$A157,Exploded_Detail_Relevant!$B$2:$B$491,$B157,Exploded_Detail_Relevant!$E$2:$E$491,$C157,Exploded_Detail_Relevant!$F$2:$F$491,$D157)</f>
        <v>1</v>
      </c>
    </row>
    <row r="158" spans="1:6" x14ac:dyDescent="0.35">
      <c r="A158" t="s">
        <v>31</v>
      </c>
      <c r="B158" t="s">
        <v>45</v>
      </c>
      <c r="C158" t="s">
        <v>43</v>
      </c>
      <c r="D158" t="s">
        <v>367</v>
      </c>
      <c r="E158" s="5">
        <f>SUMIFS(Exploded_Detail_Relevant!$G$2:$G$491,Exploded_Detail_Relevant!$A$2:$A$491,$A158,Exploded_Detail_Relevant!$B$2:$B$491,$B158,Exploded_Detail_Relevant!$E$2:$E$491,$C158,Exploded_Detail_Relevant!$F$2:$F$491,$D158)</f>
        <v>2945600</v>
      </c>
      <c r="F158">
        <f>COUNTIFS(Exploded_Detail_Relevant!$A$2:$A$491,$A158,Exploded_Detail_Relevant!$B$2:$B$491,$B158,Exploded_Detail_Relevant!$E$2:$E$491,$C158,Exploded_Detail_Relevant!$F$2:$F$491,$D158)</f>
        <v>3</v>
      </c>
    </row>
    <row r="159" spans="1:6" x14ac:dyDescent="0.35">
      <c r="A159" t="s">
        <v>31</v>
      </c>
      <c r="B159" t="s">
        <v>45</v>
      </c>
      <c r="C159" t="s">
        <v>116</v>
      </c>
      <c r="D159" t="s">
        <v>370</v>
      </c>
      <c r="E159" s="5">
        <f>SUMIFS(Exploded_Detail_Relevant!$G$2:$G$491,Exploded_Detail_Relevant!$A$2:$A$491,$A159,Exploded_Detail_Relevant!$B$2:$B$491,$B159,Exploded_Detail_Relevant!$E$2:$E$491,$C159,Exploded_Detail_Relevant!$F$2:$F$491,$D159)</f>
        <v>905939</v>
      </c>
      <c r="F159">
        <f>COUNTIFS(Exploded_Detail_Relevant!$A$2:$A$491,$A159,Exploded_Detail_Relevant!$B$2:$B$491,$B159,Exploded_Detail_Relevant!$E$2:$E$491,$C159,Exploded_Detail_Relevant!$F$2:$F$491,$D159)</f>
        <v>1</v>
      </c>
    </row>
    <row r="160" spans="1:6" x14ac:dyDescent="0.35">
      <c r="A160" t="s">
        <v>31</v>
      </c>
      <c r="B160" t="s">
        <v>32</v>
      </c>
      <c r="C160" t="s">
        <v>35</v>
      </c>
      <c r="D160" t="s">
        <v>370</v>
      </c>
      <c r="E160" s="5">
        <f>SUMIFS(Exploded_Detail_Relevant!$G$2:$G$491,Exploded_Detail_Relevant!$A$2:$A$491,$A160,Exploded_Detail_Relevant!$B$2:$B$491,$B160,Exploded_Detail_Relevant!$E$2:$E$491,$C160,Exploded_Detail_Relevant!$F$2:$F$491,$D160)</f>
        <v>5313880</v>
      </c>
      <c r="F160">
        <f>COUNTIFS(Exploded_Detail_Relevant!$A$2:$A$491,$A160,Exploded_Detail_Relevant!$B$2:$B$491,$B160,Exploded_Detail_Relevant!$E$2:$E$491,$C160,Exploded_Detail_Relevant!$F$2:$F$491,$D160)</f>
        <v>2</v>
      </c>
    </row>
    <row r="161" spans="1:6" x14ac:dyDescent="0.35">
      <c r="A161" t="s">
        <v>31</v>
      </c>
      <c r="B161" t="s">
        <v>45</v>
      </c>
      <c r="C161" t="s">
        <v>35</v>
      </c>
      <c r="D161" t="s">
        <v>370</v>
      </c>
      <c r="E161" s="5">
        <f>SUMIFS(Exploded_Detail_Relevant!$G$2:$G$491,Exploded_Detail_Relevant!$A$2:$A$491,$A161,Exploded_Detail_Relevant!$B$2:$B$491,$B161,Exploded_Detail_Relevant!$E$2:$E$491,$C161,Exploded_Detail_Relevant!$F$2:$F$491,$D161)</f>
        <v>16154169</v>
      </c>
      <c r="F161">
        <f>COUNTIFS(Exploded_Detail_Relevant!$A$2:$A$491,$A161,Exploded_Detail_Relevant!$B$2:$B$491,$B161,Exploded_Detail_Relevant!$E$2:$E$491,$C161,Exploded_Detail_Relevant!$F$2:$F$491,$D161)</f>
        <v>2</v>
      </c>
    </row>
    <row r="162" spans="1:6" x14ac:dyDescent="0.35">
      <c r="A162" t="s">
        <v>31</v>
      </c>
      <c r="B162" t="s">
        <v>45</v>
      </c>
      <c r="C162" t="s">
        <v>373</v>
      </c>
      <c r="D162" t="s">
        <v>370</v>
      </c>
      <c r="E162" s="5">
        <f>SUMIFS(Exploded_Detail_Relevant!$G$2:$G$491,Exploded_Detail_Relevant!$A$2:$A$491,$A162,Exploded_Detail_Relevant!$B$2:$B$491,$B162,Exploded_Detail_Relevant!$E$2:$E$491,$C162,Exploded_Detail_Relevant!$F$2:$F$491,$D162)</f>
        <v>691619</v>
      </c>
      <c r="F162">
        <f>COUNTIFS(Exploded_Detail_Relevant!$A$2:$A$491,$A162,Exploded_Detail_Relevant!$B$2:$B$491,$B162,Exploded_Detail_Relevant!$E$2:$E$491,$C162,Exploded_Detail_Relevant!$F$2:$F$491,$D162)</f>
        <v>1</v>
      </c>
    </row>
    <row r="163" spans="1:6" x14ac:dyDescent="0.35">
      <c r="A163" t="s">
        <v>31</v>
      </c>
      <c r="B163" t="s">
        <v>45</v>
      </c>
      <c r="C163" t="s">
        <v>160</v>
      </c>
      <c r="D163" t="s">
        <v>374</v>
      </c>
      <c r="E163" s="5">
        <f>SUMIFS(Exploded_Detail_Relevant!$G$2:$G$491,Exploded_Detail_Relevant!$A$2:$A$491,$A163,Exploded_Detail_Relevant!$B$2:$B$491,$B163,Exploded_Detail_Relevant!$E$2:$E$491,$C163,Exploded_Detail_Relevant!$F$2:$F$491,$D163)</f>
        <v>2102187</v>
      </c>
      <c r="F163">
        <f>COUNTIFS(Exploded_Detail_Relevant!$A$2:$A$491,$A163,Exploded_Detail_Relevant!$B$2:$B$491,$B163,Exploded_Detail_Relevant!$E$2:$E$491,$C163,Exploded_Detail_Relevant!$F$2:$F$491,$D163)</f>
        <v>2</v>
      </c>
    </row>
    <row r="164" spans="1:6" x14ac:dyDescent="0.35">
      <c r="A164" t="s">
        <v>31</v>
      </c>
      <c r="B164" t="s">
        <v>45</v>
      </c>
      <c r="C164" t="s">
        <v>90</v>
      </c>
      <c r="D164" t="s">
        <v>374</v>
      </c>
      <c r="E164" s="5">
        <f>SUMIFS(Exploded_Detail_Relevant!$G$2:$G$491,Exploded_Detail_Relevant!$A$2:$A$491,$A164,Exploded_Detail_Relevant!$B$2:$B$491,$B164,Exploded_Detail_Relevant!$E$2:$E$491,$C164,Exploded_Detail_Relevant!$F$2:$F$491,$D164)</f>
        <v>3504200</v>
      </c>
      <c r="F164">
        <f>COUNTIFS(Exploded_Detail_Relevant!$A$2:$A$491,$A164,Exploded_Detail_Relevant!$B$2:$B$491,$B164,Exploded_Detail_Relevant!$E$2:$E$491,$C164,Exploded_Detail_Relevant!$F$2:$F$491,$D164)</f>
        <v>1</v>
      </c>
    </row>
    <row r="165" spans="1:6" x14ac:dyDescent="0.35">
      <c r="A165" t="s">
        <v>31</v>
      </c>
      <c r="B165" t="s">
        <v>45</v>
      </c>
      <c r="C165" t="s">
        <v>175</v>
      </c>
      <c r="D165" t="s">
        <v>374</v>
      </c>
      <c r="E165" s="5">
        <f>SUMIFS(Exploded_Detail_Relevant!$G$2:$G$491,Exploded_Detail_Relevant!$A$2:$A$491,$A165,Exploded_Detail_Relevant!$B$2:$B$491,$B165,Exploded_Detail_Relevant!$E$2:$E$491,$C165,Exploded_Detail_Relevant!$F$2:$F$491,$D165)</f>
        <v>9188952</v>
      </c>
      <c r="F165">
        <f>COUNTIFS(Exploded_Detail_Relevant!$A$2:$A$491,$A165,Exploded_Detail_Relevant!$B$2:$B$491,$B165,Exploded_Detail_Relevant!$E$2:$E$491,$C165,Exploded_Detail_Relevant!$F$2:$F$491,$D165)</f>
        <v>1</v>
      </c>
    </row>
    <row r="166" spans="1:6" x14ac:dyDescent="0.35">
      <c r="A166" t="s">
        <v>31</v>
      </c>
      <c r="B166" t="s">
        <v>45</v>
      </c>
      <c r="C166" t="s">
        <v>160</v>
      </c>
      <c r="D166" t="s">
        <v>377</v>
      </c>
      <c r="E166" s="5">
        <f>SUMIFS(Exploded_Detail_Relevant!$G$2:$G$491,Exploded_Detail_Relevant!$A$2:$A$491,$A166,Exploded_Detail_Relevant!$B$2:$B$491,$B166,Exploded_Detail_Relevant!$E$2:$E$491,$C166,Exploded_Detail_Relevant!$F$2:$F$491,$D166)</f>
        <v>2102187</v>
      </c>
      <c r="F166">
        <f>COUNTIFS(Exploded_Detail_Relevant!$A$2:$A$491,$A166,Exploded_Detail_Relevant!$B$2:$B$491,$B166,Exploded_Detail_Relevant!$E$2:$E$491,$C166,Exploded_Detail_Relevant!$F$2:$F$491,$D166)</f>
        <v>2</v>
      </c>
    </row>
    <row r="167" spans="1:6" x14ac:dyDescent="0.35">
      <c r="A167" t="s">
        <v>31</v>
      </c>
      <c r="B167" t="s">
        <v>45</v>
      </c>
      <c r="C167" t="s">
        <v>175</v>
      </c>
      <c r="D167" t="s">
        <v>377</v>
      </c>
      <c r="E167" s="5">
        <f>SUMIFS(Exploded_Detail_Relevant!$G$2:$G$491,Exploded_Detail_Relevant!$A$2:$A$491,$A167,Exploded_Detail_Relevant!$B$2:$B$491,$B167,Exploded_Detail_Relevant!$E$2:$E$491,$C167,Exploded_Detail_Relevant!$F$2:$F$491,$D167)</f>
        <v>9188952</v>
      </c>
      <c r="F167">
        <f>COUNTIFS(Exploded_Detail_Relevant!$A$2:$A$491,$A167,Exploded_Detail_Relevant!$B$2:$B$491,$B167,Exploded_Detail_Relevant!$E$2:$E$491,$C167,Exploded_Detail_Relevant!$F$2:$F$491,$D167)</f>
        <v>1</v>
      </c>
    </row>
    <row r="168" spans="1:6" x14ac:dyDescent="0.35">
      <c r="A168" t="s">
        <v>31</v>
      </c>
      <c r="B168" t="s">
        <v>45</v>
      </c>
      <c r="C168" t="s">
        <v>48</v>
      </c>
      <c r="D168" t="s">
        <v>380</v>
      </c>
      <c r="E168" s="5">
        <f>SUMIFS(Exploded_Detail_Relevant!$G$2:$G$491,Exploded_Detail_Relevant!$A$2:$A$491,$A168,Exploded_Detail_Relevant!$B$2:$B$491,$B168,Exploded_Detail_Relevant!$E$2:$E$491,$C168,Exploded_Detail_Relevant!$F$2:$F$491,$D168)</f>
        <v>545600</v>
      </c>
      <c r="F168">
        <f>COUNTIFS(Exploded_Detail_Relevant!$A$2:$A$491,$A168,Exploded_Detail_Relevant!$B$2:$B$491,$B168,Exploded_Detail_Relevant!$E$2:$E$491,$C168,Exploded_Detail_Relevant!$F$2:$F$491,$D168)</f>
        <v>3</v>
      </c>
    </row>
    <row r="169" spans="1:6" x14ac:dyDescent="0.35">
      <c r="A169" t="s">
        <v>31</v>
      </c>
      <c r="B169" t="s">
        <v>32</v>
      </c>
      <c r="C169" t="s">
        <v>35</v>
      </c>
      <c r="D169" t="s">
        <v>380</v>
      </c>
      <c r="E169" s="5">
        <f>SUMIFS(Exploded_Detail_Relevant!$G$2:$G$491,Exploded_Detail_Relevant!$A$2:$A$491,$A169,Exploded_Detail_Relevant!$B$2:$B$491,$B169,Exploded_Detail_Relevant!$E$2:$E$491,$C169,Exploded_Detail_Relevant!$F$2:$F$491,$D169)</f>
        <v>18715880</v>
      </c>
      <c r="F169">
        <f>COUNTIFS(Exploded_Detail_Relevant!$A$2:$A$491,$A169,Exploded_Detail_Relevant!$B$2:$B$491,$B169,Exploded_Detail_Relevant!$E$2:$E$491,$C169,Exploded_Detail_Relevant!$F$2:$F$491,$D169)</f>
        <v>4</v>
      </c>
    </row>
    <row r="170" spans="1:6" x14ac:dyDescent="0.35">
      <c r="A170" t="s">
        <v>31</v>
      </c>
      <c r="B170" t="s">
        <v>45</v>
      </c>
      <c r="C170" t="s">
        <v>35</v>
      </c>
      <c r="D170" t="s">
        <v>380</v>
      </c>
      <c r="E170" s="5">
        <f>SUMIFS(Exploded_Detail_Relevant!$G$2:$G$491,Exploded_Detail_Relevant!$A$2:$A$491,$A170,Exploded_Detail_Relevant!$B$2:$B$491,$B170,Exploded_Detail_Relevant!$E$2:$E$491,$C170,Exploded_Detail_Relevant!$F$2:$F$491,$D170)</f>
        <v>17514169</v>
      </c>
      <c r="F170">
        <f>COUNTIFS(Exploded_Detail_Relevant!$A$2:$A$491,$A170,Exploded_Detail_Relevant!$B$2:$B$491,$B170,Exploded_Detail_Relevant!$E$2:$E$491,$C170,Exploded_Detail_Relevant!$F$2:$F$491,$D170)</f>
        <v>3</v>
      </c>
    </row>
    <row r="171" spans="1:6" x14ac:dyDescent="0.35">
      <c r="A171" t="s">
        <v>31</v>
      </c>
      <c r="B171" t="s">
        <v>45</v>
      </c>
      <c r="C171" t="s">
        <v>90</v>
      </c>
      <c r="D171" t="s">
        <v>380</v>
      </c>
      <c r="E171" s="5">
        <f>SUMIFS(Exploded_Detail_Relevant!$G$2:$G$491,Exploded_Detail_Relevant!$A$2:$A$491,$A171,Exploded_Detail_Relevant!$B$2:$B$491,$B171,Exploded_Detail_Relevant!$E$2:$E$491,$C171,Exploded_Detail_Relevant!$F$2:$F$491,$D171)</f>
        <v>480832</v>
      </c>
      <c r="F171">
        <f>COUNTIFS(Exploded_Detail_Relevant!$A$2:$A$491,$A171,Exploded_Detail_Relevant!$B$2:$B$491,$B171,Exploded_Detail_Relevant!$E$2:$E$491,$C171,Exploded_Detail_Relevant!$F$2:$F$491,$D171)</f>
        <v>1</v>
      </c>
    </row>
    <row r="172" spans="1:6" x14ac:dyDescent="0.35">
      <c r="A172" t="s">
        <v>31</v>
      </c>
      <c r="B172" t="s">
        <v>32</v>
      </c>
      <c r="C172" t="s">
        <v>98</v>
      </c>
      <c r="D172" t="s">
        <v>380</v>
      </c>
      <c r="E172" s="5">
        <f>SUMIFS(Exploded_Detail_Relevant!$G$2:$G$491,Exploded_Detail_Relevant!$A$2:$A$491,$A172,Exploded_Detail_Relevant!$B$2:$B$491,$B172,Exploded_Detail_Relevant!$E$2:$E$491,$C172,Exploded_Detail_Relevant!$F$2:$F$491,$D172)</f>
        <v>198300</v>
      </c>
      <c r="F172">
        <f>COUNTIFS(Exploded_Detail_Relevant!$A$2:$A$491,$A172,Exploded_Detail_Relevant!$B$2:$B$491,$B172,Exploded_Detail_Relevant!$E$2:$E$491,$C172,Exploded_Detail_Relevant!$F$2:$F$491,$D172)</f>
        <v>1</v>
      </c>
    </row>
    <row r="173" spans="1:6" x14ac:dyDescent="0.35">
      <c r="A173" t="s">
        <v>31</v>
      </c>
      <c r="B173" t="s">
        <v>45</v>
      </c>
      <c r="C173" t="s">
        <v>98</v>
      </c>
      <c r="D173" t="s">
        <v>380</v>
      </c>
      <c r="E173" s="5">
        <f>SUMIFS(Exploded_Detail_Relevant!$G$2:$G$491,Exploded_Detail_Relevant!$A$2:$A$491,$A173,Exploded_Detail_Relevant!$B$2:$B$491,$B173,Exploded_Detail_Relevant!$E$2:$E$491,$C173,Exploded_Detail_Relevant!$F$2:$F$491,$D173)</f>
        <v>2217475</v>
      </c>
      <c r="F173">
        <f>COUNTIFS(Exploded_Detail_Relevant!$A$2:$A$491,$A173,Exploded_Detail_Relevant!$B$2:$B$491,$B173,Exploded_Detail_Relevant!$E$2:$E$491,$C173,Exploded_Detail_Relevant!$F$2:$F$491,$D173)</f>
        <v>3</v>
      </c>
    </row>
    <row r="174" spans="1:6" x14ac:dyDescent="0.35">
      <c r="A174" t="s">
        <v>31</v>
      </c>
      <c r="B174" t="s">
        <v>45</v>
      </c>
      <c r="C174" t="s">
        <v>35</v>
      </c>
      <c r="D174" t="s">
        <v>387</v>
      </c>
      <c r="E174" s="5">
        <f>SUMIFS(Exploded_Detail_Relevant!$G$2:$G$491,Exploded_Detail_Relevant!$A$2:$A$491,$A174,Exploded_Detail_Relevant!$B$2:$B$491,$B174,Exploded_Detail_Relevant!$E$2:$E$491,$C174,Exploded_Detail_Relevant!$F$2:$F$491,$D174)</f>
        <v>1280000</v>
      </c>
      <c r="F174">
        <f>COUNTIFS(Exploded_Detail_Relevant!$A$2:$A$491,$A174,Exploded_Detail_Relevant!$B$2:$B$491,$B174,Exploded_Detail_Relevant!$E$2:$E$491,$C174,Exploded_Detail_Relevant!$F$2:$F$491,$D174)</f>
        <v>1</v>
      </c>
    </row>
    <row r="175" spans="1:6" x14ac:dyDescent="0.35">
      <c r="A175" t="s">
        <v>31</v>
      </c>
      <c r="B175" t="s">
        <v>32</v>
      </c>
      <c r="C175" t="s">
        <v>35</v>
      </c>
      <c r="D175" t="s">
        <v>388</v>
      </c>
      <c r="E175" s="5">
        <f>SUMIFS(Exploded_Detail_Relevant!$G$2:$G$491,Exploded_Detail_Relevant!$A$2:$A$491,$A175,Exploded_Detail_Relevant!$B$2:$B$491,$B175,Exploded_Detail_Relevant!$E$2:$E$491,$C175,Exploded_Detail_Relevant!$F$2:$F$491,$D175)</f>
        <v>12400000</v>
      </c>
      <c r="F175">
        <f>COUNTIFS(Exploded_Detail_Relevant!$A$2:$A$491,$A175,Exploded_Detail_Relevant!$B$2:$B$491,$B175,Exploded_Detail_Relevant!$E$2:$E$491,$C175,Exploded_Detail_Relevant!$F$2:$F$491,$D175)</f>
        <v>2</v>
      </c>
    </row>
    <row r="176" spans="1:6" x14ac:dyDescent="0.35">
      <c r="A176" t="s">
        <v>31</v>
      </c>
      <c r="B176" t="s">
        <v>32</v>
      </c>
      <c r="C176" t="s">
        <v>48</v>
      </c>
      <c r="D176" t="s">
        <v>391</v>
      </c>
      <c r="E176" s="5">
        <f>SUMIFS(Exploded_Detail_Relevant!$G$2:$G$491,Exploded_Detail_Relevant!$A$2:$A$491,$A176,Exploded_Detail_Relevant!$B$2:$B$491,$B176,Exploded_Detail_Relevant!$E$2:$E$491,$C176,Exploded_Detail_Relevant!$F$2:$F$491,$D176)</f>
        <v>1449753</v>
      </c>
      <c r="F176">
        <f>COUNTIFS(Exploded_Detail_Relevant!$A$2:$A$491,$A176,Exploded_Detail_Relevant!$B$2:$B$491,$B176,Exploded_Detail_Relevant!$E$2:$E$491,$C176,Exploded_Detail_Relevant!$F$2:$F$491,$D176)</f>
        <v>1</v>
      </c>
    </row>
    <row r="177" spans="1:6" x14ac:dyDescent="0.35">
      <c r="A177" t="s">
        <v>31</v>
      </c>
      <c r="B177" t="s">
        <v>45</v>
      </c>
      <c r="C177" t="s">
        <v>74</v>
      </c>
      <c r="D177" t="s">
        <v>391</v>
      </c>
      <c r="E177" s="5">
        <f>SUMIFS(Exploded_Detail_Relevant!$G$2:$G$491,Exploded_Detail_Relevant!$A$2:$A$491,$A177,Exploded_Detail_Relevant!$B$2:$B$491,$B177,Exploded_Detail_Relevant!$E$2:$E$491,$C177,Exploded_Detail_Relevant!$F$2:$F$491,$D177)</f>
        <v>1369555</v>
      </c>
      <c r="F177">
        <f>COUNTIFS(Exploded_Detail_Relevant!$A$2:$A$491,$A177,Exploded_Detail_Relevant!$B$2:$B$491,$B177,Exploded_Detail_Relevant!$E$2:$E$491,$C177,Exploded_Detail_Relevant!$F$2:$F$491,$D177)</f>
        <v>2</v>
      </c>
    </row>
    <row r="178" spans="1:6" x14ac:dyDescent="0.35">
      <c r="A178" t="s">
        <v>31</v>
      </c>
      <c r="B178" t="s">
        <v>32</v>
      </c>
      <c r="C178" t="s">
        <v>35</v>
      </c>
      <c r="D178" t="s">
        <v>391</v>
      </c>
      <c r="E178" s="5">
        <f>SUMIFS(Exploded_Detail_Relevant!$G$2:$G$491,Exploded_Detail_Relevant!$A$2:$A$491,$A178,Exploded_Detail_Relevant!$B$2:$B$491,$B178,Exploded_Detail_Relevant!$E$2:$E$491,$C178,Exploded_Detail_Relevant!$F$2:$F$491,$D178)</f>
        <v>2913880</v>
      </c>
      <c r="F178">
        <f>COUNTIFS(Exploded_Detail_Relevant!$A$2:$A$491,$A178,Exploded_Detail_Relevant!$B$2:$B$491,$B178,Exploded_Detail_Relevant!$E$2:$E$491,$C178,Exploded_Detail_Relevant!$F$2:$F$491,$D178)</f>
        <v>1</v>
      </c>
    </row>
    <row r="179" spans="1:6" x14ac:dyDescent="0.35">
      <c r="A179" t="s">
        <v>31</v>
      </c>
      <c r="B179" t="s">
        <v>45</v>
      </c>
      <c r="C179" t="s">
        <v>35</v>
      </c>
      <c r="D179" t="s">
        <v>391</v>
      </c>
      <c r="E179" s="5">
        <f>SUMIFS(Exploded_Detail_Relevant!$G$2:$G$491,Exploded_Detail_Relevant!$A$2:$A$491,$A179,Exploded_Detail_Relevant!$B$2:$B$491,$B179,Exploded_Detail_Relevant!$E$2:$E$491,$C179,Exploded_Detail_Relevant!$F$2:$F$491,$D179)</f>
        <v>16154169</v>
      </c>
      <c r="F179">
        <f>COUNTIFS(Exploded_Detail_Relevant!$A$2:$A$491,$A179,Exploded_Detail_Relevant!$B$2:$B$491,$B179,Exploded_Detail_Relevant!$E$2:$E$491,$C179,Exploded_Detail_Relevant!$F$2:$F$491,$D179)</f>
        <v>2</v>
      </c>
    </row>
    <row r="180" spans="1:6" x14ac:dyDescent="0.35">
      <c r="A180" t="s">
        <v>31</v>
      </c>
      <c r="B180" t="s">
        <v>45</v>
      </c>
      <c r="C180" t="s">
        <v>74</v>
      </c>
      <c r="D180" t="s">
        <v>394</v>
      </c>
      <c r="E180" s="5">
        <f>SUMIFS(Exploded_Detail_Relevant!$G$2:$G$491,Exploded_Detail_Relevant!$A$2:$A$491,$A180,Exploded_Detail_Relevant!$B$2:$B$491,$B180,Exploded_Detail_Relevant!$E$2:$E$491,$C180,Exploded_Detail_Relevant!$F$2:$F$491,$D180)</f>
        <v>1000000</v>
      </c>
      <c r="F180">
        <f>COUNTIFS(Exploded_Detail_Relevant!$A$2:$A$491,$A180,Exploded_Detail_Relevant!$B$2:$B$491,$B180,Exploded_Detail_Relevant!$E$2:$E$491,$C180,Exploded_Detail_Relevant!$F$2:$F$491,$D180)</f>
        <v>1</v>
      </c>
    </row>
    <row r="181" spans="1:6" x14ac:dyDescent="0.35">
      <c r="A181" t="s">
        <v>31</v>
      </c>
      <c r="B181" t="s">
        <v>32</v>
      </c>
      <c r="C181" t="s">
        <v>35</v>
      </c>
      <c r="D181" t="s">
        <v>394</v>
      </c>
      <c r="E181" s="5">
        <f>SUMIFS(Exploded_Detail_Relevant!$G$2:$G$491,Exploded_Detail_Relevant!$A$2:$A$491,$A181,Exploded_Detail_Relevant!$B$2:$B$491,$B181,Exploded_Detail_Relevant!$E$2:$E$491,$C181,Exploded_Detail_Relevant!$F$2:$F$491,$D181)</f>
        <v>800000</v>
      </c>
      <c r="F181">
        <f>COUNTIFS(Exploded_Detail_Relevant!$A$2:$A$491,$A181,Exploded_Detail_Relevant!$B$2:$B$491,$B181,Exploded_Detail_Relevant!$E$2:$E$491,$C181,Exploded_Detail_Relevant!$F$2:$F$491,$D181)</f>
        <v>1</v>
      </c>
    </row>
    <row r="182" spans="1:6" x14ac:dyDescent="0.35">
      <c r="A182" t="s">
        <v>31</v>
      </c>
      <c r="B182" t="s">
        <v>45</v>
      </c>
      <c r="C182" t="s">
        <v>90</v>
      </c>
      <c r="D182" t="s">
        <v>394</v>
      </c>
      <c r="E182" s="5">
        <f>SUMIFS(Exploded_Detail_Relevant!$G$2:$G$491,Exploded_Detail_Relevant!$A$2:$A$491,$A182,Exploded_Detail_Relevant!$B$2:$B$491,$B182,Exploded_Detail_Relevant!$E$2:$E$491,$C182,Exploded_Detail_Relevant!$F$2:$F$491,$D182)</f>
        <v>3560000</v>
      </c>
      <c r="F182">
        <f>COUNTIFS(Exploded_Detail_Relevant!$A$2:$A$491,$A182,Exploded_Detail_Relevant!$B$2:$B$491,$B182,Exploded_Detail_Relevant!$E$2:$E$491,$C182,Exploded_Detail_Relevant!$F$2:$F$491,$D182)</f>
        <v>2</v>
      </c>
    </row>
    <row r="183" spans="1:6" x14ac:dyDescent="0.35">
      <c r="A183" t="s">
        <v>31</v>
      </c>
      <c r="B183" t="s">
        <v>32</v>
      </c>
      <c r="C183" t="s">
        <v>48</v>
      </c>
      <c r="D183" t="s">
        <v>399</v>
      </c>
      <c r="E183" s="5">
        <f>SUMIFS(Exploded_Detail_Relevant!$G$2:$G$491,Exploded_Detail_Relevant!$A$2:$A$491,$A183,Exploded_Detail_Relevant!$B$2:$B$491,$B183,Exploded_Detail_Relevant!$E$2:$E$491,$C183,Exploded_Detail_Relevant!$F$2:$F$491,$D183)</f>
        <v>6875000</v>
      </c>
      <c r="F183">
        <f>COUNTIFS(Exploded_Detail_Relevant!$A$2:$A$491,$A183,Exploded_Detail_Relevant!$B$2:$B$491,$B183,Exploded_Detail_Relevant!$E$2:$E$491,$C183,Exploded_Detail_Relevant!$F$2:$F$491,$D183)</f>
        <v>1</v>
      </c>
    </row>
    <row r="184" spans="1:6" x14ac:dyDescent="0.35">
      <c r="A184" t="s">
        <v>31</v>
      </c>
      <c r="B184" t="s">
        <v>45</v>
      </c>
      <c r="C184" t="s">
        <v>48</v>
      </c>
      <c r="D184" t="s">
        <v>399</v>
      </c>
      <c r="E184" s="5">
        <f>SUMIFS(Exploded_Detail_Relevant!$G$2:$G$491,Exploded_Detail_Relevant!$A$2:$A$491,$A184,Exploded_Detail_Relevant!$B$2:$B$491,$B184,Exploded_Detail_Relevant!$E$2:$E$491,$C184,Exploded_Detail_Relevant!$F$2:$F$491,$D184)</f>
        <v>133968401</v>
      </c>
      <c r="F184">
        <f>COUNTIFS(Exploded_Detail_Relevant!$A$2:$A$491,$A184,Exploded_Detail_Relevant!$B$2:$B$491,$B184,Exploded_Detail_Relevant!$E$2:$E$491,$C184,Exploded_Detail_Relevant!$F$2:$F$491,$D184)</f>
        <v>6</v>
      </c>
    </row>
    <row r="185" spans="1:6" x14ac:dyDescent="0.35">
      <c r="A185" t="s">
        <v>31</v>
      </c>
      <c r="B185" t="s">
        <v>45</v>
      </c>
      <c r="C185" t="s">
        <v>51</v>
      </c>
      <c r="D185" t="s">
        <v>399</v>
      </c>
      <c r="E185" s="5">
        <f>SUMIFS(Exploded_Detail_Relevant!$G$2:$G$491,Exploded_Detail_Relevant!$A$2:$A$491,$A185,Exploded_Detail_Relevant!$B$2:$B$491,$B185,Exploded_Detail_Relevant!$E$2:$E$491,$C185,Exploded_Detail_Relevant!$F$2:$F$491,$D185)</f>
        <v>908846</v>
      </c>
      <c r="F185">
        <f>COUNTIFS(Exploded_Detail_Relevant!$A$2:$A$491,$A185,Exploded_Detail_Relevant!$B$2:$B$491,$B185,Exploded_Detail_Relevant!$E$2:$E$491,$C185,Exploded_Detail_Relevant!$F$2:$F$491,$D185)</f>
        <v>2</v>
      </c>
    </row>
    <row r="186" spans="1:6" x14ac:dyDescent="0.35">
      <c r="A186" t="s">
        <v>31</v>
      </c>
      <c r="B186" t="s">
        <v>32</v>
      </c>
      <c r="C186" t="s">
        <v>43</v>
      </c>
      <c r="D186" t="s">
        <v>406</v>
      </c>
      <c r="E186" s="5">
        <f>SUMIFS(Exploded_Detail_Relevant!$G$2:$G$491,Exploded_Detail_Relevant!$A$2:$A$491,$A186,Exploded_Detail_Relevant!$B$2:$B$491,$B186,Exploded_Detail_Relevant!$E$2:$E$491,$C186,Exploded_Detail_Relevant!$F$2:$F$491,$D186)</f>
        <v>56000</v>
      </c>
      <c r="F186">
        <f>COUNTIFS(Exploded_Detail_Relevant!$A$2:$A$491,$A186,Exploded_Detail_Relevant!$B$2:$B$491,$B186,Exploded_Detail_Relevant!$E$2:$E$491,$C186,Exploded_Detail_Relevant!$F$2:$F$491,$D186)</f>
        <v>1</v>
      </c>
    </row>
    <row r="187" spans="1:6" x14ac:dyDescent="0.35">
      <c r="A187" t="s">
        <v>31</v>
      </c>
      <c r="B187" t="s">
        <v>45</v>
      </c>
      <c r="C187" t="s">
        <v>51</v>
      </c>
      <c r="D187" t="s">
        <v>409</v>
      </c>
      <c r="E187" s="5">
        <f>SUMIFS(Exploded_Detail_Relevant!$G$2:$G$491,Exploded_Detail_Relevant!$A$2:$A$491,$A187,Exploded_Detail_Relevant!$B$2:$B$491,$B187,Exploded_Detail_Relevant!$E$2:$E$491,$C187,Exploded_Detail_Relevant!$F$2:$F$491,$D187)</f>
        <v>2084760</v>
      </c>
      <c r="F187">
        <f>COUNTIFS(Exploded_Detail_Relevant!$A$2:$A$491,$A187,Exploded_Detail_Relevant!$B$2:$B$491,$B187,Exploded_Detail_Relevant!$E$2:$E$491,$C187,Exploded_Detail_Relevant!$F$2:$F$491,$D187)</f>
        <v>1</v>
      </c>
    </row>
    <row r="188" spans="1:6" x14ac:dyDescent="0.35">
      <c r="A188" t="s">
        <v>31</v>
      </c>
      <c r="B188" t="s">
        <v>45</v>
      </c>
      <c r="C188" t="s">
        <v>48</v>
      </c>
      <c r="D188" t="s">
        <v>412</v>
      </c>
      <c r="E188" s="5">
        <f>SUMIFS(Exploded_Detail_Relevant!$G$2:$G$491,Exploded_Detail_Relevant!$A$2:$A$491,$A188,Exploded_Detail_Relevant!$B$2:$B$491,$B188,Exploded_Detail_Relevant!$E$2:$E$491,$C188,Exploded_Detail_Relevant!$F$2:$F$491,$D188)</f>
        <v>1276718</v>
      </c>
      <c r="F188">
        <f>COUNTIFS(Exploded_Detail_Relevant!$A$2:$A$491,$A188,Exploded_Detail_Relevant!$B$2:$B$491,$B188,Exploded_Detail_Relevant!$E$2:$E$491,$C188,Exploded_Detail_Relevant!$F$2:$F$491,$D188)</f>
        <v>1</v>
      </c>
    </row>
    <row r="189" spans="1:6" x14ac:dyDescent="0.35">
      <c r="A189" t="s">
        <v>31</v>
      </c>
      <c r="B189" t="s">
        <v>45</v>
      </c>
      <c r="C189" t="s">
        <v>116</v>
      </c>
      <c r="D189" t="s">
        <v>415</v>
      </c>
      <c r="E189" s="5">
        <f>SUMIFS(Exploded_Detail_Relevant!$G$2:$G$491,Exploded_Detail_Relevant!$A$2:$A$491,$A189,Exploded_Detail_Relevant!$B$2:$B$491,$B189,Exploded_Detail_Relevant!$E$2:$E$491,$C189,Exploded_Detail_Relevant!$F$2:$F$491,$D189)</f>
        <v>440000</v>
      </c>
      <c r="F189">
        <f>COUNTIFS(Exploded_Detail_Relevant!$A$2:$A$491,$A189,Exploded_Detail_Relevant!$B$2:$B$491,$B189,Exploded_Detail_Relevant!$E$2:$E$491,$C189,Exploded_Detail_Relevant!$F$2:$F$491,$D189)</f>
        <v>1</v>
      </c>
    </row>
    <row r="190" spans="1:6" x14ac:dyDescent="0.35">
      <c r="A190" t="s">
        <v>31</v>
      </c>
      <c r="B190" t="s">
        <v>32</v>
      </c>
      <c r="C190" t="s">
        <v>35</v>
      </c>
      <c r="D190" t="s">
        <v>415</v>
      </c>
      <c r="E190" s="5">
        <f>SUMIFS(Exploded_Detail_Relevant!$G$2:$G$491,Exploded_Detail_Relevant!$A$2:$A$491,$A190,Exploded_Detail_Relevant!$B$2:$B$491,$B190,Exploded_Detail_Relevant!$E$2:$E$491,$C190,Exploded_Detail_Relevant!$F$2:$F$491,$D190)</f>
        <v>419071</v>
      </c>
      <c r="F190">
        <f>COUNTIFS(Exploded_Detail_Relevant!$A$2:$A$491,$A190,Exploded_Detail_Relevant!$B$2:$B$491,$B190,Exploded_Detail_Relevant!$E$2:$E$491,$C190,Exploded_Detail_Relevant!$F$2:$F$491,$D190)</f>
        <v>1</v>
      </c>
    </row>
    <row r="191" spans="1:6" x14ac:dyDescent="0.35">
      <c r="A191" t="s">
        <v>31</v>
      </c>
      <c r="B191" t="s">
        <v>45</v>
      </c>
      <c r="C191" t="s">
        <v>43</v>
      </c>
      <c r="D191" t="s">
        <v>418</v>
      </c>
      <c r="E191" s="5">
        <f>SUMIFS(Exploded_Detail_Relevant!$G$2:$G$491,Exploded_Detail_Relevant!$A$2:$A$491,$A191,Exploded_Detail_Relevant!$B$2:$B$491,$B191,Exploded_Detail_Relevant!$E$2:$E$491,$C191,Exploded_Detail_Relevant!$F$2:$F$491,$D191)</f>
        <v>2945600</v>
      </c>
      <c r="F191">
        <f>COUNTIFS(Exploded_Detail_Relevant!$A$2:$A$491,$A191,Exploded_Detail_Relevant!$B$2:$B$491,$B191,Exploded_Detail_Relevant!$E$2:$E$491,$C191,Exploded_Detail_Relevant!$F$2:$F$491,$D191)</f>
        <v>3</v>
      </c>
    </row>
    <row r="192" spans="1:6" x14ac:dyDescent="0.35">
      <c r="A192" t="s">
        <v>31</v>
      </c>
      <c r="B192" t="s">
        <v>32</v>
      </c>
      <c r="C192" t="s">
        <v>35</v>
      </c>
      <c r="D192" t="s">
        <v>418</v>
      </c>
      <c r="E192" s="5">
        <f>SUMIFS(Exploded_Detail_Relevant!$G$2:$G$491,Exploded_Detail_Relevant!$A$2:$A$491,$A192,Exploded_Detail_Relevant!$B$2:$B$491,$B192,Exploded_Detail_Relevant!$E$2:$E$491,$C192,Exploded_Detail_Relevant!$F$2:$F$491,$D192)</f>
        <v>2752076</v>
      </c>
      <c r="F192">
        <f>COUNTIFS(Exploded_Detail_Relevant!$A$2:$A$491,$A192,Exploded_Detail_Relevant!$B$2:$B$491,$B192,Exploded_Detail_Relevant!$E$2:$E$491,$C192,Exploded_Detail_Relevant!$F$2:$F$491,$D192)</f>
        <v>1</v>
      </c>
    </row>
    <row r="193" spans="1:6" x14ac:dyDescent="0.35">
      <c r="A193" t="s">
        <v>31</v>
      </c>
      <c r="B193" t="s">
        <v>45</v>
      </c>
      <c r="C193" t="s">
        <v>35</v>
      </c>
      <c r="D193" t="s">
        <v>418</v>
      </c>
      <c r="E193" s="5">
        <f>SUMIFS(Exploded_Detail_Relevant!$G$2:$G$491,Exploded_Detail_Relevant!$A$2:$A$491,$A193,Exploded_Detail_Relevant!$B$2:$B$491,$B193,Exploded_Detail_Relevant!$E$2:$E$491,$C193,Exploded_Detail_Relevant!$F$2:$F$491,$D193)</f>
        <v>4621448</v>
      </c>
      <c r="F193">
        <f>COUNTIFS(Exploded_Detail_Relevant!$A$2:$A$491,$A193,Exploded_Detail_Relevant!$B$2:$B$491,$B193,Exploded_Detail_Relevant!$E$2:$E$491,$C193,Exploded_Detail_Relevant!$F$2:$F$491,$D193)</f>
        <v>1</v>
      </c>
    </row>
    <row r="194" spans="1:6" x14ac:dyDescent="0.35">
      <c r="A194" t="s">
        <v>31</v>
      </c>
      <c r="B194" t="s">
        <v>45</v>
      </c>
      <c r="C194" t="s">
        <v>43</v>
      </c>
      <c r="D194" t="s">
        <v>423</v>
      </c>
      <c r="E194" s="5">
        <f>SUMIFS(Exploded_Detail_Relevant!$G$2:$G$491,Exploded_Detail_Relevant!$A$2:$A$491,$A194,Exploded_Detail_Relevant!$B$2:$B$491,$B194,Exploded_Detail_Relevant!$E$2:$E$491,$C194,Exploded_Detail_Relevant!$F$2:$F$491,$D194)</f>
        <v>707339</v>
      </c>
      <c r="F194">
        <f>COUNTIFS(Exploded_Detail_Relevant!$A$2:$A$491,$A194,Exploded_Detail_Relevant!$B$2:$B$491,$B194,Exploded_Detail_Relevant!$E$2:$E$491,$C194,Exploded_Detail_Relevant!$F$2:$F$491,$D194)</f>
        <v>2</v>
      </c>
    </row>
    <row r="195" spans="1:6" x14ac:dyDescent="0.35">
      <c r="A195" t="s">
        <v>31</v>
      </c>
      <c r="B195" t="s">
        <v>32</v>
      </c>
      <c r="C195" t="s">
        <v>51</v>
      </c>
      <c r="D195" t="s">
        <v>424</v>
      </c>
      <c r="E195" s="5">
        <f>SUMIFS(Exploded_Detail_Relevant!$G$2:$G$491,Exploded_Detail_Relevant!$A$2:$A$491,$A195,Exploded_Detail_Relevant!$B$2:$B$491,$B195,Exploded_Detail_Relevant!$E$2:$E$491,$C195,Exploded_Detail_Relevant!$F$2:$F$491,$D195)</f>
        <v>2250000</v>
      </c>
      <c r="F195">
        <f>COUNTIFS(Exploded_Detail_Relevant!$A$2:$A$491,$A195,Exploded_Detail_Relevant!$B$2:$B$491,$B195,Exploded_Detail_Relevant!$E$2:$E$491,$C195,Exploded_Detail_Relevant!$F$2:$F$491,$D195)</f>
        <v>1</v>
      </c>
    </row>
    <row r="196" spans="1:6" x14ac:dyDescent="0.35">
      <c r="A196" t="s">
        <v>31</v>
      </c>
      <c r="B196" t="s">
        <v>32</v>
      </c>
      <c r="C196" t="s">
        <v>373</v>
      </c>
      <c r="D196" t="s">
        <v>424</v>
      </c>
      <c r="E196" s="5">
        <f>SUMIFS(Exploded_Detail_Relevant!$G$2:$G$491,Exploded_Detail_Relevant!$A$2:$A$491,$A196,Exploded_Detail_Relevant!$B$2:$B$491,$B196,Exploded_Detail_Relevant!$E$2:$E$491,$C196,Exploded_Detail_Relevant!$F$2:$F$491,$D196)</f>
        <v>1139994</v>
      </c>
      <c r="F196">
        <f>COUNTIFS(Exploded_Detail_Relevant!$A$2:$A$491,$A196,Exploded_Detail_Relevant!$B$2:$B$491,$B196,Exploded_Detail_Relevant!$E$2:$E$491,$C196,Exploded_Detail_Relevant!$F$2:$F$491,$D196)</f>
        <v>1</v>
      </c>
    </row>
    <row r="197" spans="1:6" x14ac:dyDescent="0.35">
      <c r="A197" t="s">
        <v>31</v>
      </c>
      <c r="B197" t="s">
        <v>32</v>
      </c>
      <c r="C197" t="s">
        <v>35</v>
      </c>
      <c r="D197" t="s">
        <v>427</v>
      </c>
      <c r="E197" s="5">
        <f>SUMIFS(Exploded_Detail_Relevant!$G$2:$G$491,Exploded_Detail_Relevant!$A$2:$A$491,$A197,Exploded_Detail_Relevant!$B$2:$B$491,$B197,Exploded_Detail_Relevant!$E$2:$E$491,$C197,Exploded_Detail_Relevant!$F$2:$F$491,$D197)</f>
        <v>18715880</v>
      </c>
      <c r="F197">
        <f>COUNTIFS(Exploded_Detail_Relevant!$A$2:$A$491,$A197,Exploded_Detail_Relevant!$B$2:$B$491,$B197,Exploded_Detail_Relevant!$E$2:$E$491,$C197,Exploded_Detail_Relevant!$F$2:$F$491,$D197)</f>
        <v>4</v>
      </c>
    </row>
    <row r="198" spans="1:6" x14ac:dyDescent="0.35">
      <c r="A198" t="s">
        <v>31</v>
      </c>
      <c r="B198" t="s">
        <v>45</v>
      </c>
      <c r="C198" t="s">
        <v>35</v>
      </c>
      <c r="D198" t="s">
        <v>427</v>
      </c>
      <c r="E198" s="5">
        <f>SUMIFS(Exploded_Detail_Relevant!$G$2:$G$491,Exploded_Detail_Relevant!$A$2:$A$491,$A198,Exploded_Detail_Relevant!$B$2:$B$491,$B198,Exploded_Detail_Relevant!$E$2:$E$491,$C198,Exploded_Detail_Relevant!$F$2:$F$491,$D198)</f>
        <v>17514169</v>
      </c>
      <c r="F198">
        <f>COUNTIFS(Exploded_Detail_Relevant!$A$2:$A$491,$A198,Exploded_Detail_Relevant!$B$2:$B$491,$B198,Exploded_Detail_Relevant!$E$2:$E$491,$C198,Exploded_Detail_Relevant!$F$2:$F$491,$D198)</f>
        <v>3</v>
      </c>
    </row>
    <row r="199" spans="1:6" x14ac:dyDescent="0.35">
      <c r="A199" t="s">
        <v>31</v>
      </c>
      <c r="B199" t="s">
        <v>45</v>
      </c>
      <c r="C199" t="s">
        <v>43</v>
      </c>
      <c r="D199" t="s">
        <v>428</v>
      </c>
      <c r="E199" s="5">
        <f>SUMIFS(Exploded_Detail_Relevant!$G$2:$G$491,Exploded_Detail_Relevant!$A$2:$A$491,$A199,Exploded_Detail_Relevant!$B$2:$B$491,$B199,Exploded_Detail_Relevant!$E$2:$E$491,$C199,Exploded_Detail_Relevant!$F$2:$F$491,$D199)</f>
        <v>2945600</v>
      </c>
      <c r="F199">
        <f>COUNTIFS(Exploded_Detail_Relevant!$A$2:$A$491,$A199,Exploded_Detail_Relevant!$B$2:$B$491,$B199,Exploded_Detail_Relevant!$E$2:$E$491,$C199,Exploded_Detail_Relevant!$F$2:$F$491,$D199)</f>
        <v>3</v>
      </c>
    </row>
    <row r="200" spans="1:6" x14ac:dyDescent="0.35">
      <c r="A200" t="s">
        <v>31</v>
      </c>
      <c r="B200" t="s">
        <v>32</v>
      </c>
      <c r="C200" t="s">
        <v>35</v>
      </c>
      <c r="D200" t="s">
        <v>428</v>
      </c>
      <c r="E200" s="5">
        <f>SUMIFS(Exploded_Detail_Relevant!$G$2:$G$491,Exploded_Detail_Relevant!$A$2:$A$491,$A200,Exploded_Detail_Relevant!$B$2:$B$491,$B200,Exploded_Detail_Relevant!$E$2:$E$491,$C200,Exploded_Detail_Relevant!$F$2:$F$491,$D200)</f>
        <v>18715880</v>
      </c>
      <c r="F200">
        <f>COUNTIFS(Exploded_Detail_Relevant!$A$2:$A$491,$A200,Exploded_Detail_Relevant!$B$2:$B$491,$B200,Exploded_Detail_Relevant!$E$2:$E$491,$C200,Exploded_Detail_Relevant!$F$2:$F$491,$D200)</f>
        <v>4</v>
      </c>
    </row>
    <row r="201" spans="1:6" x14ac:dyDescent="0.35">
      <c r="A201" t="s">
        <v>31</v>
      </c>
      <c r="B201" t="s">
        <v>45</v>
      </c>
      <c r="C201" t="s">
        <v>35</v>
      </c>
      <c r="D201" t="s">
        <v>428</v>
      </c>
      <c r="E201" s="5">
        <f>SUMIFS(Exploded_Detail_Relevant!$G$2:$G$491,Exploded_Detail_Relevant!$A$2:$A$491,$A201,Exploded_Detail_Relevant!$B$2:$B$491,$B201,Exploded_Detail_Relevant!$E$2:$E$491,$C201,Exploded_Detail_Relevant!$F$2:$F$491,$D201)</f>
        <v>17514169</v>
      </c>
      <c r="F201">
        <f>COUNTIFS(Exploded_Detail_Relevant!$A$2:$A$491,$A201,Exploded_Detail_Relevant!$B$2:$B$491,$B201,Exploded_Detail_Relevant!$E$2:$E$491,$C201,Exploded_Detail_Relevant!$F$2:$F$491,$D201)</f>
        <v>3</v>
      </c>
    </row>
    <row r="202" spans="1:6" x14ac:dyDescent="0.35">
      <c r="A202" t="s">
        <v>31</v>
      </c>
      <c r="B202" t="s">
        <v>45</v>
      </c>
      <c r="C202" t="s">
        <v>175</v>
      </c>
      <c r="D202" t="s">
        <v>428</v>
      </c>
      <c r="E202" s="5">
        <f>SUMIFS(Exploded_Detail_Relevant!$G$2:$G$491,Exploded_Detail_Relevant!$A$2:$A$491,$A202,Exploded_Detail_Relevant!$B$2:$B$491,$B202,Exploded_Detail_Relevant!$E$2:$E$491,$C202,Exploded_Detail_Relevant!$F$2:$F$491,$D202)</f>
        <v>900000</v>
      </c>
      <c r="F202">
        <f>COUNTIFS(Exploded_Detail_Relevant!$A$2:$A$491,$A202,Exploded_Detail_Relevant!$B$2:$B$491,$B202,Exploded_Detail_Relevant!$E$2:$E$491,$C202,Exploded_Detail_Relevant!$F$2:$F$491,$D202)</f>
        <v>1</v>
      </c>
    </row>
    <row r="203" spans="1:6" x14ac:dyDescent="0.35">
      <c r="A203" t="s">
        <v>31</v>
      </c>
      <c r="B203" t="s">
        <v>45</v>
      </c>
      <c r="C203" t="s">
        <v>48</v>
      </c>
      <c r="D203" t="s">
        <v>433</v>
      </c>
      <c r="E203" s="5">
        <f>SUMIFS(Exploded_Detail_Relevant!$G$2:$G$491,Exploded_Detail_Relevant!$A$2:$A$491,$A203,Exploded_Detail_Relevant!$B$2:$B$491,$B203,Exploded_Detail_Relevant!$E$2:$E$491,$C203,Exploded_Detail_Relevant!$F$2:$F$491,$D203)</f>
        <v>15242786</v>
      </c>
      <c r="F203">
        <f>COUNTIFS(Exploded_Detail_Relevant!$A$2:$A$491,$A203,Exploded_Detail_Relevant!$B$2:$B$491,$B203,Exploded_Detail_Relevant!$E$2:$E$491,$C203,Exploded_Detail_Relevant!$F$2:$F$491,$D203)</f>
        <v>2</v>
      </c>
    </row>
    <row r="204" spans="1:6" x14ac:dyDescent="0.35">
      <c r="A204" t="s">
        <v>31</v>
      </c>
      <c r="B204" t="s">
        <v>32</v>
      </c>
      <c r="C204" t="s">
        <v>43</v>
      </c>
      <c r="D204" t="s">
        <v>436</v>
      </c>
      <c r="E204" s="5">
        <f>SUMIFS(Exploded_Detail_Relevant!$G$2:$G$491,Exploded_Detail_Relevant!$A$2:$A$491,$A204,Exploded_Detail_Relevant!$B$2:$B$491,$B204,Exploded_Detail_Relevant!$E$2:$E$491,$C204,Exploded_Detail_Relevant!$F$2:$F$491,$D204)</f>
        <v>766440</v>
      </c>
      <c r="F204">
        <f>COUNTIFS(Exploded_Detail_Relevant!$A$2:$A$491,$A204,Exploded_Detail_Relevant!$B$2:$B$491,$B204,Exploded_Detail_Relevant!$E$2:$E$491,$C204,Exploded_Detail_Relevant!$F$2:$F$491,$D204)</f>
        <v>1</v>
      </c>
    </row>
    <row r="205" spans="1:6" x14ac:dyDescent="0.35">
      <c r="A205" t="s">
        <v>31</v>
      </c>
      <c r="B205" t="s">
        <v>45</v>
      </c>
      <c r="C205" t="s">
        <v>43</v>
      </c>
      <c r="D205" t="s">
        <v>439</v>
      </c>
      <c r="E205" s="5">
        <f>SUMIFS(Exploded_Detail_Relevant!$G$2:$G$491,Exploded_Detail_Relevant!$A$2:$A$491,$A205,Exploded_Detail_Relevant!$B$2:$B$491,$B205,Exploded_Detail_Relevant!$E$2:$E$491,$C205,Exploded_Detail_Relevant!$F$2:$F$491,$D205)</f>
        <v>127031</v>
      </c>
      <c r="F205">
        <f>COUNTIFS(Exploded_Detail_Relevant!$A$2:$A$491,$A205,Exploded_Detail_Relevant!$B$2:$B$491,$B205,Exploded_Detail_Relevant!$E$2:$E$491,$C205,Exploded_Detail_Relevant!$F$2:$F$491,$D205)</f>
        <v>1</v>
      </c>
    </row>
    <row r="206" spans="1:6" x14ac:dyDescent="0.35">
      <c r="A206" t="s">
        <v>31</v>
      </c>
      <c r="B206" t="s">
        <v>32</v>
      </c>
      <c r="C206" t="s">
        <v>48</v>
      </c>
      <c r="D206" t="s">
        <v>439</v>
      </c>
      <c r="E206" s="5">
        <f>SUMIFS(Exploded_Detail_Relevant!$G$2:$G$491,Exploded_Detail_Relevant!$A$2:$A$491,$A206,Exploded_Detail_Relevant!$B$2:$B$491,$B206,Exploded_Detail_Relevant!$E$2:$E$491,$C206,Exploded_Detail_Relevant!$F$2:$F$491,$D206)</f>
        <v>6875000</v>
      </c>
      <c r="F206">
        <f>COUNTIFS(Exploded_Detail_Relevant!$A$2:$A$491,$A206,Exploded_Detail_Relevant!$B$2:$B$491,$B206,Exploded_Detail_Relevant!$E$2:$E$491,$C206,Exploded_Detail_Relevant!$F$2:$F$491,$D206)</f>
        <v>1</v>
      </c>
    </row>
    <row r="207" spans="1:6" x14ac:dyDescent="0.35">
      <c r="A207" t="s">
        <v>31</v>
      </c>
      <c r="B207" t="s">
        <v>45</v>
      </c>
      <c r="C207" t="s">
        <v>48</v>
      </c>
      <c r="D207" t="s">
        <v>439</v>
      </c>
      <c r="E207" s="5">
        <f>SUMIFS(Exploded_Detail_Relevant!$G$2:$G$491,Exploded_Detail_Relevant!$A$2:$A$491,$A207,Exploded_Detail_Relevant!$B$2:$B$491,$B207,Exploded_Detail_Relevant!$E$2:$E$491,$C207,Exploded_Detail_Relevant!$F$2:$F$491,$D207)</f>
        <v>131336751</v>
      </c>
      <c r="F207">
        <f>COUNTIFS(Exploded_Detail_Relevant!$A$2:$A$491,$A207,Exploded_Detail_Relevant!$B$2:$B$491,$B207,Exploded_Detail_Relevant!$E$2:$E$491,$C207,Exploded_Detail_Relevant!$F$2:$F$491,$D207)</f>
        <v>5</v>
      </c>
    </row>
    <row r="208" spans="1:6" x14ac:dyDescent="0.35">
      <c r="A208" t="s">
        <v>31</v>
      </c>
      <c r="B208" t="s">
        <v>32</v>
      </c>
      <c r="C208" t="s">
        <v>51</v>
      </c>
      <c r="D208" t="s">
        <v>439</v>
      </c>
      <c r="E208" s="5">
        <f>SUMIFS(Exploded_Detail_Relevant!$G$2:$G$491,Exploded_Detail_Relevant!$A$2:$A$491,$A208,Exploded_Detail_Relevant!$B$2:$B$491,$B208,Exploded_Detail_Relevant!$E$2:$E$491,$C208,Exploded_Detail_Relevant!$F$2:$F$491,$D208)</f>
        <v>2956000</v>
      </c>
      <c r="F208">
        <f>COUNTIFS(Exploded_Detail_Relevant!$A$2:$A$491,$A208,Exploded_Detail_Relevant!$B$2:$B$491,$B208,Exploded_Detail_Relevant!$E$2:$E$491,$C208,Exploded_Detail_Relevant!$F$2:$F$491,$D208)</f>
        <v>1</v>
      </c>
    </row>
    <row r="209" spans="1:6" x14ac:dyDescent="0.35">
      <c r="A209" t="s">
        <v>31</v>
      </c>
      <c r="B209" t="s">
        <v>45</v>
      </c>
      <c r="C209" t="s">
        <v>51</v>
      </c>
      <c r="D209" t="s">
        <v>439</v>
      </c>
      <c r="E209" s="5">
        <f>SUMIFS(Exploded_Detail_Relevant!$G$2:$G$491,Exploded_Detail_Relevant!$A$2:$A$491,$A209,Exploded_Detail_Relevant!$B$2:$B$491,$B209,Exploded_Detail_Relevant!$E$2:$E$491,$C209,Exploded_Detail_Relevant!$F$2:$F$491,$D209)</f>
        <v>3108000</v>
      </c>
      <c r="F209">
        <f>COUNTIFS(Exploded_Detail_Relevant!$A$2:$A$491,$A209,Exploded_Detail_Relevant!$B$2:$B$491,$B209,Exploded_Detail_Relevant!$E$2:$E$491,$C209,Exploded_Detail_Relevant!$F$2:$F$491,$D209)</f>
        <v>2</v>
      </c>
    </row>
    <row r="210" spans="1:6" x14ac:dyDescent="0.35">
      <c r="A210" t="s">
        <v>31</v>
      </c>
      <c r="B210" t="s">
        <v>45</v>
      </c>
      <c r="C210" t="s">
        <v>90</v>
      </c>
      <c r="D210" t="s">
        <v>439</v>
      </c>
      <c r="E210" s="5">
        <f>SUMIFS(Exploded_Detail_Relevant!$G$2:$G$491,Exploded_Detail_Relevant!$A$2:$A$491,$A210,Exploded_Detail_Relevant!$B$2:$B$491,$B210,Exploded_Detail_Relevant!$E$2:$E$491,$C210,Exploded_Detail_Relevant!$F$2:$F$491,$D210)</f>
        <v>99000</v>
      </c>
      <c r="F210">
        <f>COUNTIFS(Exploded_Detail_Relevant!$A$2:$A$491,$A210,Exploded_Detail_Relevant!$B$2:$B$491,$B210,Exploded_Detail_Relevant!$E$2:$E$491,$C210,Exploded_Detail_Relevant!$F$2:$F$491,$D210)</f>
        <v>1</v>
      </c>
    </row>
    <row r="211" spans="1:6" x14ac:dyDescent="0.35">
      <c r="A211" t="s">
        <v>31</v>
      </c>
      <c r="B211" t="s">
        <v>45</v>
      </c>
      <c r="C211" t="s">
        <v>43</v>
      </c>
      <c r="D211" t="s">
        <v>444</v>
      </c>
      <c r="E211" s="5">
        <f>SUMIFS(Exploded_Detail_Relevant!$G$2:$G$491,Exploded_Detail_Relevant!$A$2:$A$491,$A211,Exploded_Detail_Relevant!$B$2:$B$491,$B211,Exploded_Detail_Relevant!$E$2:$E$491,$C211,Exploded_Detail_Relevant!$F$2:$F$491,$D211)</f>
        <v>2945600</v>
      </c>
      <c r="F211">
        <f>COUNTIFS(Exploded_Detail_Relevant!$A$2:$A$491,$A211,Exploded_Detail_Relevant!$B$2:$B$491,$B211,Exploded_Detail_Relevant!$E$2:$E$491,$C211,Exploded_Detail_Relevant!$F$2:$F$491,$D211)</f>
        <v>3</v>
      </c>
    </row>
    <row r="212" spans="1:6" x14ac:dyDescent="0.35">
      <c r="A212" t="s">
        <v>31</v>
      </c>
      <c r="B212" t="s">
        <v>32</v>
      </c>
      <c r="C212" t="s">
        <v>90</v>
      </c>
      <c r="D212" t="s">
        <v>444</v>
      </c>
      <c r="E212" s="5">
        <f>SUMIFS(Exploded_Detail_Relevant!$G$2:$G$491,Exploded_Detail_Relevant!$A$2:$A$491,$A212,Exploded_Detail_Relevant!$B$2:$B$491,$B212,Exploded_Detail_Relevant!$E$2:$E$491,$C212,Exploded_Detail_Relevant!$F$2:$F$491,$D212)</f>
        <v>3784050</v>
      </c>
      <c r="F212">
        <f>COUNTIFS(Exploded_Detail_Relevant!$A$2:$A$491,$A212,Exploded_Detail_Relevant!$B$2:$B$491,$B212,Exploded_Detail_Relevant!$E$2:$E$491,$C212,Exploded_Detail_Relevant!$F$2:$F$491,$D212)</f>
        <v>1</v>
      </c>
    </row>
    <row r="213" spans="1:6" x14ac:dyDescent="0.35">
      <c r="A213" t="s">
        <v>31</v>
      </c>
      <c r="B213" t="s">
        <v>45</v>
      </c>
      <c r="C213" t="s">
        <v>90</v>
      </c>
      <c r="D213" t="s">
        <v>444</v>
      </c>
      <c r="E213" s="5">
        <f>SUMIFS(Exploded_Detail_Relevant!$G$2:$G$491,Exploded_Detail_Relevant!$A$2:$A$491,$A213,Exploded_Detail_Relevant!$B$2:$B$491,$B213,Exploded_Detail_Relevant!$E$2:$E$491,$C213,Exploded_Detail_Relevant!$F$2:$F$491,$D213)</f>
        <v>159373</v>
      </c>
      <c r="F213">
        <f>COUNTIFS(Exploded_Detail_Relevant!$A$2:$A$491,$A213,Exploded_Detail_Relevant!$B$2:$B$491,$B213,Exploded_Detail_Relevant!$E$2:$E$491,$C213,Exploded_Detail_Relevant!$F$2:$F$491,$D213)</f>
        <v>1</v>
      </c>
    </row>
    <row r="214" spans="1:6" x14ac:dyDescent="0.35">
      <c r="A214" t="s">
        <v>31</v>
      </c>
      <c r="B214" t="s">
        <v>32</v>
      </c>
      <c r="C214" t="s">
        <v>43</v>
      </c>
      <c r="D214" t="s">
        <v>449</v>
      </c>
      <c r="E214" s="5">
        <f>SUMIFS(Exploded_Detail_Relevant!$G$2:$G$491,Exploded_Detail_Relevant!$A$2:$A$491,$A214,Exploded_Detail_Relevant!$B$2:$B$491,$B214,Exploded_Detail_Relevant!$E$2:$E$491,$C214,Exploded_Detail_Relevant!$F$2:$F$491,$D214)</f>
        <v>124800</v>
      </c>
      <c r="F214">
        <f>COUNTIFS(Exploded_Detail_Relevant!$A$2:$A$491,$A214,Exploded_Detail_Relevant!$B$2:$B$491,$B214,Exploded_Detail_Relevant!$E$2:$E$491,$C214,Exploded_Detail_Relevant!$F$2:$F$491,$D214)</f>
        <v>1</v>
      </c>
    </row>
    <row r="215" spans="1:6" x14ac:dyDescent="0.35">
      <c r="A215" t="s">
        <v>31</v>
      </c>
      <c r="B215" t="s">
        <v>32</v>
      </c>
      <c r="C215" t="s">
        <v>43</v>
      </c>
      <c r="D215" t="s">
        <v>452</v>
      </c>
      <c r="E215" s="5">
        <f>SUMIFS(Exploded_Detail_Relevant!$G$2:$G$491,Exploded_Detail_Relevant!$A$2:$A$491,$A215,Exploded_Detail_Relevant!$B$2:$B$491,$B215,Exploded_Detail_Relevant!$E$2:$E$491,$C215,Exploded_Detail_Relevant!$F$2:$F$491,$D215)</f>
        <v>1120000</v>
      </c>
      <c r="F215">
        <f>COUNTIFS(Exploded_Detail_Relevant!$A$2:$A$491,$A215,Exploded_Detail_Relevant!$B$2:$B$491,$B215,Exploded_Detail_Relevant!$E$2:$E$491,$C215,Exploded_Detail_Relevant!$F$2:$F$491,$D215)</f>
        <v>1</v>
      </c>
    </row>
    <row r="216" spans="1:6" x14ac:dyDescent="0.35">
      <c r="A216" t="s">
        <v>31</v>
      </c>
      <c r="B216" t="s">
        <v>45</v>
      </c>
      <c r="C216" t="s">
        <v>43</v>
      </c>
      <c r="D216" t="s">
        <v>452</v>
      </c>
      <c r="E216" s="5">
        <f>SUMIFS(Exploded_Detail_Relevant!$G$2:$G$491,Exploded_Detail_Relevant!$A$2:$A$491,$A216,Exploded_Detail_Relevant!$B$2:$B$491,$B216,Exploded_Detail_Relevant!$E$2:$E$491,$C216,Exploded_Detail_Relevant!$F$2:$F$491,$D216)</f>
        <v>516000</v>
      </c>
      <c r="F216">
        <f>COUNTIFS(Exploded_Detail_Relevant!$A$2:$A$491,$A216,Exploded_Detail_Relevant!$B$2:$B$491,$B216,Exploded_Detail_Relevant!$E$2:$E$491,$C216,Exploded_Detail_Relevant!$F$2:$F$491,$D216)</f>
        <v>1</v>
      </c>
    </row>
    <row r="217" spans="1:6" x14ac:dyDescent="0.35">
      <c r="A217" t="s">
        <v>31</v>
      </c>
      <c r="B217" t="s">
        <v>32</v>
      </c>
      <c r="C217" t="s">
        <v>35</v>
      </c>
      <c r="D217" t="s">
        <v>452</v>
      </c>
      <c r="E217" s="5">
        <f>SUMIFS(Exploded_Detail_Relevant!$G$2:$G$491,Exploded_Detail_Relevant!$A$2:$A$491,$A217,Exploded_Detail_Relevant!$B$2:$B$491,$B217,Exploded_Detail_Relevant!$E$2:$E$491,$C217,Exploded_Detail_Relevant!$F$2:$F$491,$D217)</f>
        <v>10048000</v>
      </c>
      <c r="F217">
        <f>COUNTIFS(Exploded_Detail_Relevant!$A$2:$A$491,$A217,Exploded_Detail_Relevant!$B$2:$B$491,$B217,Exploded_Detail_Relevant!$E$2:$E$491,$C217,Exploded_Detail_Relevant!$F$2:$F$491,$D217)</f>
        <v>3</v>
      </c>
    </row>
    <row r="218" spans="1:6" x14ac:dyDescent="0.35">
      <c r="A218" t="s">
        <v>31</v>
      </c>
      <c r="B218" t="s">
        <v>45</v>
      </c>
      <c r="C218" t="s">
        <v>35</v>
      </c>
      <c r="D218" t="s">
        <v>452</v>
      </c>
      <c r="E218" s="5">
        <f>SUMIFS(Exploded_Detail_Relevant!$G$2:$G$491,Exploded_Detail_Relevant!$A$2:$A$491,$A218,Exploded_Detail_Relevant!$B$2:$B$491,$B218,Exploded_Detail_Relevant!$E$2:$E$491,$C218,Exploded_Detail_Relevant!$F$2:$F$491,$D218)</f>
        <v>1933600</v>
      </c>
      <c r="F218">
        <f>COUNTIFS(Exploded_Detail_Relevant!$A$2:$A$491,$A218,Exploded_Detail_Relevant!$B$2:$B$491,$B218,Exploded_Detail_Relevant!$E$2:$E$491,$C218,Exploded_Detail_Relevant!$F$2:$F$491,$D218)</f>
        <v>3</v>
      </c>
    </row>
    <row r="219" spans="1:6" x14ac:dyDescent="0.35">
      <c r="A219" t="s">
        <v>31</v>
      </c>
      <c r="B219" t="s">
        <v>32</v>
      </c>
      <c r="C219" t="s">
        <v>90</v>
      </c>
      <c r="D219" t="s">
        <v>452</v>
      </c>
      <c r="E219" s="5">
        <f>SUMIFS(Exploded_Detail_Relevant!$G$2:$G$491,Exploded_Detail_Relevant!$A$2:$A$491,$A219,Exploded_Detail_Relevant!$B$2:$B$491,$B219,Exploded_Detail_Relevant!$E$2:$E$491,$C219,Exploded_Detail_Relevant!$F$2:$F$491,$D219)</f>
        <v>12947707</v>
      </c>
      <c r="F219">
        <f>COUNTIFS(Exploded_Detail_Relevant!$A$2:$A$491,$A219,Exploded_Detail_Relevant!$B$2:$B$491,$B219,Exploded_Detail_Relevant!$E$2:$E$491,$C219,Exploded_Detail_Relevant!$F$2:$F$491,$D219)</f>
        <v>4</v>
      </c>
    </row>
    <row r="220" spans="1:6" x14ac:dyDescent="0.35">
      <c r="A220" t="s">
        <v>31</v>
      </c>
      <c r="B220" t="s">
        <v>45</v>
      </c>
      <c r="C220" t="s">
        <v>90</v>
      </c>
      <c r="D220" t="s">
        <v>452</v>
      </c>
      <c r="E220" s="5">
        <f>SUMIFS(Exploded_Detail_Relevant!$G$2:$G$491,Exploded_Detail_Relevant!$A$2:$A$491,$A220,Exploded_Detail_Relevant!$B$2:$B$491,$B220,Exploded_Detail_Relevant!$E$2:$E$491,$C220,Exploded_Detail_Relevant!$F$2:$F$491,$D220)</f>
        <v>5077296</v>
      </c>
      <c r="F220">
        <f>COUNTIFS(Exploded_Detail_Relevant!$A$2:$A$491,$A220,Exploded_Detail_Relevant!$B$2:$B$491,$B220,Exploded_Detail_Relevant!$E$2:$E$491,$C220,Exploded_Detail_Relevant!$F$2:$F$491,$D220)</f>
        <v>4</v>
      </c>
    </row>
    <row r="221" spans="1:6" x14ac:dyDescent="0.35">
      <c r="A221" t="s">
        <v>31</v>
      </c>
      <c r="B221" t="s">
        <v>45</v>
      </c>
      <c r="C221" t="s">
        <v>43</v>
      </c>
      <c r="D221" t="s">
        <v>469</v>
      </c>
      <c r="E221" s="5">
        <f>SUMIFS(Exploded_Detail_Relevant!$G$2:$G$491,Exploded_Detail_Relevant!$A$2:$A$491,$A221,Exploded_Detail_Relevant!$B$2:$B$491,$B221,Exploded_Detail_Relevant!$E$2:$E$491,$C221,Exploded_Detail_Relevant!$F$2:$F$491,$D221)</f>
        <v>2945600</v>
      </c>
      <c r="F221">
        <f>COUNTIFS(Exploded_Detail_Relevant!$A$2:$A$491,$A221,Exploded_Detail_Relevant!$B$2:$B$491,$B221,Exploded_Detail_Relevant!$E$2:$E$491,$C221,Exploded_Detail_Relevant!$F$2:$F$491,$D221)</f>
        <v>3</v>
      </c>
    </row>
    <row r="222" spans="1:6" x14ac:dyDescent="0.35">
      <c r="A222" t="s">
        <v>31</v>
      </c>
      <c r="B222" t="s">
        <v>32</v>
      </c>
      <c r="C222" t="s">
        <v>116</v>
      </c>
      <c r="D222" t="s">
        <v>469</v>
      </c>
      <c r="E222" s="5">
        <f>SUMIFS(Exploded_Detail_Relevant!$G$2:$G$491,Exploded_Detail_Relevant!$A$2:$A$491,$A222,Exploded_Detail_Relevant!$B$2:$B$491,$B222,Exploded_Detail_Relevant!$E$2:$E$491,$C222,Exploded_Detail_Relevant!$F$2:$F$491,$D222)</f>
        <v>1200000</v>
      </c>
      <c r="F222">
        <f>COUNTIFS(Exploded_Detail_Relevant!$A$2:$A$491,$A222,Exploded_Detail_Relevant!$B$2:$B$491,$B222,Exploded_Detail_Relevant!$E$2:$E$491,$C222,Exploded_Detail_Relevant!$F$2:$F$491,$D222)</f>
        <v>1</v>
      </c>
    </row>
    <row r="223" spans="1:6" x14ac:dyDescent="0.35">
      <c r="A223" t="s">
        <v>31</v>
      </c>
      <c r="B223" t="s">
        <v>45</v>
      </c>
      <c r="C223" t="s">
        <v>51</v>
      </c>
      <c r="D223" t="s">
        <v>469</v>
      </c>
      <c r="E223" s="5">
        <f>SUMIFS(Exploded_Detail_Relevant!$G$2:$G$491,Exploded_Detail_Relevant!$A$2:$A$491,$A223,Exploded_Detail_Relevant!$B$2:$B$491,$B223,Exploded_Detail_Relevant!$E$2:$E$491,$C223,Exploded_Detail_Relevant!$F$2:$F$491,$D223)</f>
        <v>2816000</v>
      </c>
      <c r="F223">
        <f>COUNTIFS(Exploded_Detail_Relevant!$A$2:$A$491,$A223,Exploded_Detail_Relevant!$B$2:$B$491,$B223,Exploded_Detail_Relevant!$E$2:$E$491,$C223,Exploded_Detail_Relevant!$F$2:$F$491,$D223)</f>
        <v>2</v>
      </c>
    </row>
    <row r="224" spans="1:6" x14ac:dyDescent="0.35">
      <c r="A224" t="s">
        <v>31</v>
      </c>
      <c r="B224" t="s">
        <v>32</v>
      </c>
      <c r="C224" t="s">
        <v>43</v>
      </c>
      <c r="D224" t="s">
        <v>476</v>
      </c>
      <c r="E224" s="5">
        <f>SUMIFS(Exploded_Detail_Relevant!$G$2:$G$491,Exploded_Detail_Relevant!$A$2:$A$491,$A224,Exploded_Detail_Relevant!$B$2:$B$491,$B224,Exploded_Detail_Relevant!$E$2:$E$491,$C224,Exploded_Detail_Relevant!$F$2:$F$491,$D224)</f>
        <v>1600000</v>
      </c>
      <c r="F224">
        <f>COUNTIFS(Exploded_Detail_Relevant!$A$2:$A$491,$A224,Exploded_Detail_Relevant!$B$2:$B$491,$B224,Exploded_Detail_Relevant!$E$2:$E$491,$C224,Exploded_Detail_Relevant!$F$2:$F$491,$D224)</f>
        <v>2</v>
      </c>
    </row>
    <row r="225" spans="1:6" x14ac:dyDescent="0.35">
      <c r="A225" t="s">
        <v>31</v>
      </c>
      <c r="B225" t="s">
        <v>45</v>
      </c>
      <c r="C225" t="s">
        <v>43</v>
      </c>
      <c r="D225" t="s">
        <v>476</v>
      </c>
      <c r="E225" s="5">
        <f>SUMIFS(Exploded_Detail_Relevant!$G$2:$G$491,Exploded_Detail_Relevant!$A$2:$A$491,$A225,Exploded_Detail_Relevant!$B$2:$B$491,$B225,Exploded_Detail_Relevant!$E$2:$E$491,$C225,Exploded_Detail_Relevant!$F$2:$F$491,$D225)</f>
        <v>1600000</v>
      </c>
      <c r="F225">
        <f>COUNTIFS(Exploded_Detail_Relevant!$A$2:$A$491,$A225,Exploded_Detail_Relevant!$B$2:$B$491,$B225,Exploded_Detail_Relevant!$E$2:$E$491,$C225,Exploded_Detail_Relevant!$F$2:$F$491,$D225)</f>
        <v>1</v>
      </c>
    </row>
    <row r="226" spans="1:6" x14ac:dyDescent="0.35">
      <c r="A226" t="s">
        <v>31</v>
      </c>
      <c r="B226" t="s">
        <v>45</v>
      </c>
      <c r="C226" t="s">
        <v>160</v>
      </c>
      <c r="D226" t="s">
        <v>476</v>
      </c>
      <c r="E226" s="5">
        <f>SUMIFS(Exploded_Detail_Relevant!$G$2:$G$491,Exploded_Detail_Relevant!$A$2:$A$491,$A226,Exploded_Detail_Relevant!$B$2:$B$491,$B226,Exploded_Detail_Relevant!$E$2:$E$491,$C226,Exploded_Detail_Relevant!$F$2:$F$491,$D226)</f>
        <v>2102187</v>
      </c>
      <c r="F226">
        <f>COUNTIFS(Exploded_Detail_Relevant!$A$2:$A$491,$A226,Exploded_Detail_Relevant!$B$2:$B$491,$B226,Exploded_Detail_Relevant!$E$2:$E$491,$C226,Exploded_Detail_Relevant!$F$2:$F$491,$D226)</f>
        <v>2</v>
      </c>
    </row>
    <row r="227" spans="1:6" x14ac:dyDescent="0.35">
      <c r="A227" t="s">
        <v>31</v>
      </c>
      <c r="B227" t="s">
        <v>32</v>
      </c>
      <c r="C227" t="s">
        <v>35</v>
      </c>
      <c r="D227" t="s">
        <v>476</v>
      </c>
      <c r="E227" s="5">
        <f>SUMIFS(Exploded_Detail_Relevant!$G$2:$G$491,Exploded_Detail_Relevant!$A$2:$A$491,$A227,Exploded_Detail_Relevant!$B$2:$B$491,$B227,Exploded_Detail_Relevant!$E$2:$E$491,$C227,Exploded_Detail_Relevant!$F$2:$F$491,$D227)</f>
        <v>1040000</v>
      </c>
      <c r="F227">
        <f>COUNTIFS(Exploded_Detail_Relevant!$A$2:$A$491,$A227,Exploded_Detail_Relevant!$B$2:$B$491,$B227,Exploded_Detail_Relevant!$E$2:$E$491,$C227,Exploded_Detail_Relevant!$F$2:$F$491,$D227)</f>
        <v>1</v>
      </c>
    </row>
    <row r="228" spans="1:6" x14ac:dyDescent="0.35">
      <c r="A228" t="s">
        <v>31</v>
      </c>
      <c r="B228" t="s">
        <v>32</v>
      </c>
      <c r="C228" t="s">
        <v>90</v>
      </c>
      <c r="D228" t="s">
        <v>476</v>
      </c>
      <c r="E228" s="5">
        <f>SUMIFS(Exploded_Detail_Relevant!$G$2:$G$491,Exploded_Detail_Relevant!$A$2:$A$491,$A228,Exploded_Detail_Relevant!$B$2:$B$491,$B228,Exploded_Detail_Relevant!$E$2:$E$491,$C228,Exploded_Detail_Relevant!$F$2:$F$491,$D228)</f>
        <v>5422495</v>
      </c>
      <c r="F228">
        <f>COUNTIFS(Exploded_Detail_Relevant!$A$2:$A$491,$A228,Exploded_Detail_Relevant!$B$2:$B$491,$B228,Exploded_Detail_Relevant!$E$2:$E$491,$C228,Exploded_Detail_Relevant!$F$2:$F$491,$D228)</f>
        <v>2</v>
      </c>
    </row>
    <row r="229" spans="1:6" x14ac:dyDescent="0.35">
      <c r="A229" t="s">
        <v>31</v>
      </c>
      <c r="B229" t="s">
        <v>45</v>
      </c>
      <c r="C229" t="s">
        <v>175</v>
      </c>
      <c r="D229" t="s">
        <v>476</v>
      </c>
      <c r="E229" s="5">
        <f>SUMIFS(Exploded_Detail_Relevant!$G$2:$G$491,Exploded_Detail_Relevant!$A$2:$A$491,$A229,Exploded_Detail_Relevant!$B$2:$B$491,$B229,Exploded_Detail_Relevant!$E$2:$E$491,$C229,Exploded_Detail_Relevant!$F$2:$F$491,$D229)</f>
        <v>9188952</v>
      </c>
      <c r="F229">
        <f>COUNTIFS(Exploded_Detail_Relevant!$A$2:$A$491,$A229,Exploded_Detail_Relevant!$B$2:$B$491,$B229,Exploded_Detail_Relevant!$E$2:$E$491,$C229,Exploded_Detail_Relevant!$F$2:$F$491,$D229)</f>
        <v>1</v>
      </c>
    </row>
    <row r="230" spans="1:6" x14ac:dyDescent="0.35">
      <c r="A230" t="s">
        <v>31</v>
      </c>
      <c r="B230" t="s">
        <v>45</v>
      </c>
      <c r="C230" t="s">
        <v>98</v>
      </c>
      <c r="D230" t="s">
        <v>476</v>
      </c>
      <c r="E230" s="5">
        <f>SUMIFS(Exploded_Detail_Relevant!$G$2:$G$491,Exploded_Detail_Relevant!$A$2:$A$491,$A230,Exploded_Detail_Relevant!$B$2:$B$491,$B230,Exploded_Detail_Relevant!$E$2:$E$491,$C230,Exploded_Detail_Relevant!$F$2:$F$491,$D230)</f>
        <v>1993522</v>
      </c>
      <c r="F230">
        <f>COUNTIFS(Exploded_Detail_Relevant!$A$2:$A$491,$A230,Exploded_Detail_Relevant!$B$2:$B$491,$B230,Exploded_Detail_Relevant!$E$2:$E$491,$C230,Exploded_Detail_Relevant!$F$2:$F$491,$D230)</f>
        <v>2</v>
      </c>
    </row>
    <row r="231" spans="1:6" x14ac:dyDescent="0.35">
      <c r="A231" t="s">
        <v>31</v>
      </c>
      <c r="B231" t="s">
        <v>45</v>
      </c>
      <c r="C231" t="s">
        <v>74</v>
      </c>
      <c r="D231" t="s">
        <v>487</v>
      </c>
      <c r="E231" s="5">
        <f>SUMIFS(Exploded_Detail_Relevant!$G$2:$G$491,Exploded_Detail_Relevant!$A$2:$A$491,$A231,Exploded_Detail_Relevant!$B$2:$B$491,$B231,Exploded_Detail_Relevant!$E$2:$E$491,$C231,Exploded_Detail_Relevant!$F$2:$F$491,$D231)</f>
        <v>428644</v>
      </c>
      <c r="F231">
        <f>COUNTIFS(Exploded_Detail_Relevant!$A$2:$A$491,$A231,Exploded_Detail_Relevant!$B$2:$B$491,$B231,Exploded_Detail_Relevant!$E$2:$E$491,$C231,Exploded_Detail_Relevant!$F$2:$F$491,$D231)</f>
        <v>1</v>
      </c>
    </row>
    <row r="232" spans="1:6" x14ac:dyDescent="0.35">
      <c r="A232" t="s">
        <v>31</v>
      </c>
      <c r="B232" t="s">
        <v>32</v>
      </c>
      <c r="C232" t="s">
        <v>35</v>
      </c>
      <c r="D232" t="s">
        <v>490</v>
      </c>
      <c r="E232" s="5">
        <f>SUMIFS(Exploded_Detail_Relevant!$G$2:$G$491,Exploded_Detail_Relevant!$A$2:$A$491,$A232,Exploded_Detail_Relevant!$B$2:$B$491,$B232,Exploded_Detail_Relevant!$E$2:$E$491,$C232,Exploded_Detail_Relevant!$F$2:$F$491,$D232)</f>
        <v>1280000</v>
      </c>
      <c r="F232">
        <f>COUNTIFS(Exploded_Detail_Relevant!$A$2:$A$491,$A232,Exploded_Detail_Relevant!$B$2:$B$491,$B232,Exploded_Detail_Relevant!$E$2:$E$491,$C232,Exploded_Detail_Relevant!$F$2:$F$491,$D232)</f>
        <v>1</v>
      </c>
    </row>
    <row r="233" spans="1:6" x14ac:dyDescent="0.35">
      <c r="A233" t="s">
        <v>31</v>
      </c>
      <c r="B233" t="s">
        <v>32</v>
      </c>
      <c r="C233" t="s">
        <v>48</v>
      </c>
      <c r="D233" t="s">
        <v>493</v>
      </c>
      <c r="E233" s="5">
        <f>SUMIFS(Exploded_Detail_Relevant!$G$2:$G$491,Exploded_Detail_Relevant!$A$2:$A$491,$A233,Exploded_Detail_Relevant!$B$2:$B$491,$B233,Exploded_Detail_Relevant!$E$2:$E$491,$C233,Exploded_Detail_Relevant!$F$2:$F$491,$D233)</f>
        <v>11502000</v>
      </c>
      <c r="F233">
        <f>COUNTIFS(Exploded_Detail_Relevant!$A$2:$A$491,$A233,Exploded_Detail_Relevant!$B$2:$B$491,$B233,Exploded_Detail_Relevant!$E$2:$E$491,$C233,Exploded_Detail_Relevant!$F$2:$F$491,$D233)</f>
        <v>2</v>
      </c>
    </row>
    <row r="234" spans="1:6" x14ac:dyDescent="0.35">
      <c r="A234" t="s">
        <v>31</v>
      </c>
      <c r="B234" t="s">
        <v>32</v>
      </c>
      <c r="C234" t="s">
        <v>116</v>
      </c>
      <c r="D234" t="s">
        <v>493</v>
      </c>
      <c r="E234" s="5">
        <f>SUMIFS(Exploded_Detail_Relevant!$G$2:$G$491,Exploded_Detail_Relevant!$A$2:$A$491,$A234,Exploded_Detail_Relevant!$B$2:$B$491,$B234,Exploded_Detail_Relevant!$E$2:$E$491,$C234,Exploded_Detail_Relevant!$F$2:$F$491,$D234)</f>
        <v>50850000</v>
      </c>
      <c r="F234">
        <f>COUNTIFS(Exploded_Detail_Relevant!$A$2:$A$491,$A234,Exploded_Detail_Relevant!$B$2:$B$491,$B234,Exploded_Detail_Relevant!$E$2:$E$491,$C234,Exploded_Detail_Relevant!$F$2:$F$491,$D234)</f>
        <v>2</v>
      </c>
    </row>
    <row r="235" spans="1:6" x14ac:dyDescent="0.35">
      <c r="A235" t="s">
        <v>31</v>
      </c>
      <c r="B235" t="s">
        <v>45</v>
      </c>
      <c r="C235" t="s">
        <v>116</v>
      </c>
      <c r="D235" t="s">
        <v>493</v>
      </c>
      <c r="E235" s="5">
        <f>SUMIFS(Exploded_Detail_Relevant!$G$2:$G$491,Exploded_Detail_Relevant!$A$2:$A$491,$A235,Exploded_Detail_Relevant!$B$2:$B$491,$B235,Exploded_Detail_Relevant!$E$2:$E$491,$C235,Exploded_Detail_Relevant!$F$2:$F$491,$D235)</f>
        <v>28384424</v>
      </c>
      <c r="F235">
        <f>COUNTIFS(Exploded_Detail_Relevant!$A$2:$A$491,$A235,Exploded_Detail_Relevant!$B$2:$B$491,$B235,Exploded_Detail_Relevant!$E$2:$E$491,$C235,Exploded_Detail_Relevant!$F$2:$F$491,$D235)</f>
        <v>4</v>
      </c>
    </row>
    <row r="236" spans="1:6" x14ac:dyDescent="0.35">
      <c r="A236" t="s">
        <v>31</v>
      </c>
      <c r="B236" t="s">
        <v>45</v>
      </c>
      <c r="C236" t="s">
        <v>35</v>
      </c>
      <c r="D236" t="s">
        <v>493</v>
      </c>
      <c r="E236" s="5">
        <f>SUMIFS(Exploded_Detail_Relevant!$G$2:$G$491,Exploded_Detail_Relevant!$A$2:$A$491,$A236,Exploded_Detail_Relevant!$B$2:$B$491,$B236,Exploded_Detail_Relevant!$E$2:$E$491,$C236,Exploded_Detail_Relevant!$F$2:$F$491,$D236)</f>
        <v>360800</v>
      </c>
      <c r="F236">
        <f>COUNTIFS(Exploded_Detail_Relevant!$A$2:$A$491,$A236,Exploded_Detail_Relevant!$B$2:$B$491,$B236,Exploded_Detail_Relevant!$E$2:$E$491,$C236,Exploded_Detail_Relevant!$F$2:$F$491,$D236)</f>
        <v>2</v>
      </c>
    </row>
    <row r="237" spans="1:6" x14ac:dyDescent="0.35">
      <c r="A237" t="s">
        <v>31</v>
      </c>
      <c r="B237" t="s">
        <v>32</v>
      </c>
      <c r="C237" t="s">
        <v>35</v>
      </c>
      <c r="D237" t="s">
        <v>496</v>
      </c>
      <c r="E237" s="5">
        <f>SUMIFS(Exploded_Detail_Relevant!$G$2:$G$491,Exploded_Detail_Relevant!$A$2:$A$491,$A237,Exploded_Detail_Relevant!$B$2:$B$491,$B237,Exploded_Detail_Relevant!$E$2:$E$491,$C237,Exploded_Detail_Relevant!$F$2:$F$491,$D237)</f>
        <v>5184000</v>
      </c>
      <c r="F237">
        <f>COUNTIFS(Exploded_Detail_Relevant!$A$2:$A$491,$A237,Exploded_Detail_Relevant!$B$2:$B$491,$B237,Exploded_Detail_Relevant!$E$2:$E$491,$C237,Exploded_Detail_Relevant!$F$2:$F$491,$D237)</f>
        <v>1</v>
      </c>
    </row>
    <row r="238" spans="1:6" x14ac:dyDescent="0.35">
      <c r="A238" t="s">
        <v>31</v>
      </c>
      <c r="B238" t="s">
        <v>45</v>
      </c>
      <c r="C238" t="s">
        <v>43</v>
      </c>
      <c r="D238" t="s">
        <v>499</v>
      </c>
      <c r="E238" s="5">
        <f>SUMIFS(Exploded_Detail_Relevant!$G$2:$G$491,Exploded_Detail_Relevant!$A$2:$A$491,$A238,Exploded_Detail_Relevant!$B$2:$B$491,$B238,Exploded_Detail_Relevant!$E$2:$E$491,$C238,Exploded_Detail_Relevant!$F$2:$F$491,$D238)</f>
        <v>184000</v>
      </c>
      <c r="F238">
        <f>COUNTIFS(Exploded_Detail_Relevant!$A$2:$A$491,$A238,Exploded_Detail_Relevant!$B$2:$B$491,$B238,Exploded_Detail_Relevant!$E$2:$E$491,$C238,Exploded_Detail_Relevant!$F$2:$F$491,$D238)</f>
        <v>1</v>
      </c>
    </row>
    <row r="239" spans="1:6" x14ac:dyDescent="0.35">
      <c r="A239" t="s">
        <v>31</v>
      </c>
      <c r="B239" t="s">
        <v>45</v>
      </c>
      <c r="C239" t="s">
        <v>74</v>
      </c>
      <c r="D239" t="s">
        <v>499</v>
      </c>
      <c r="E239" s="5">
        <f>SUMIFS(Exploded_Detail_Relevant!$G$2:$G$491,Exploded_Detail_Relevant!$A$2:$A$491,$A239,Exploded_Detail_Relevant!$B$2:$B$491,$B239,Exploded_Detail_Relevant!$E$2:$E$491,$C239,Exploded_Detail_Relevant!$F$2:$F$491,$D239)</f>
        <v>3179601</v>
      </c>
      <c r="F239">
        <f>COUNTIFS(Exploded_Detail_Relevant!$A$2:$A$491,$A239,Exploded_Detail_Relevant!$B$2:$B$491,$B239,Exploded_Detail_Relevant!$E$2:$E$491,$C239,Exploded_Detail_Relevant!$F$2:$F$491,$D239)</f>
        <v>2</v>
      </c>
    </row>
    <row r="240" spans="1:6" x14ac:dyDescent="0.35">
      <c r="A240" t="s">
        <v>31</v>
      </c>
      <c r="B240" t="s">
        <v>45</v>
      </c>
      <c r="C240" t="s">
        <v>116</v>
      </c>
      <c r="D240" t="s">
        <v>504</v>
      </c>
      <c r="E240" s="5">
        <f>SUMIFS(Exploded_Detail_Relevant!$G$2:$G$491,Exploded_Detail_Relevant!$A$2:$A$491,$A240,Exploded_Detail_Relevant!$B$2:$B$491,$B240,Exploded_Detail_Relevant!$E$2:$E$491,$C240,Exploded_Detail_Relevant!$F$2:$F$491,$D240)</f>
        <v>471200</v>
      </c>
      <c r="F240">
        <f>COUNTIFS(Exploded_Detail_Relevant!$A$2:$A$491,$A240,Exploded_Detail_Relevant!$B$2:$B$491,$B240,Exploded_Detail_Relevant!$E$2:$E$491,$C240,Exploded_Detail_Relevant!$F$2:$F$491,$D240)</f>
        <v>1</v>
      </c>
    </row>
    <row r="241" spans="1:6" x14ac:dyDescent="0.35">
      <c r="A241" t="s">
        <v>31</v>
      </c>
      <c r="B241" t="s">
        <v>32</v>
      </c>
      <c r="C241" t="s">
        <v>70</v>
      </c>
      <c r="D241" t="s">
        <v>504</v>
      </c>
      <c r="E241" s="5">
        <f>SUMIFS(Exploded_Detail_Relevant!$G$2:$G$491,Exploded_Detail_Relevant!$A$2:$A$491,$A241,Exploded_Detail_Relevant!$B$2:$B$491,$B241,Exploded_Detail_Relevant!$E$2:$E$491,$C241,Exploded_Detail_Relevant!$F$2:$F$491,$D241)</f>
        <v>10220291</v>
      </c>
      <c r="F241">
        <f>COUNTIFS(Exploded_Detail_Relevant!$A$2:$A$491,$A241,Exploded_Detail_Relevant!$B$2:$B$491,$B241,Exploded_Detail_Relevant!$E$2:$E$491,$C241,Exploded_Detail_Relevant!$F$2:$F$491,$D241)</f>
        <v>3</v>
      </c>
    </row>
    <row r="242" spans="1:6" x14ac:dyDescent="0.35">
      <c r="A242" t="s">
        <v>31</v>
      </c>
      <c r="B242" t="s">
        <v>32</v>
      </c>
      <c r="C242" t="s">
        <v>35</v>
      </c>
      <c r="D242" t="s">
        <v>504</v>
      </c>
      <c r="E242" s="5">
        <f>SUMIFS(Exploded_Detail_Relevant!$G$2:$G$491,Exploded_Detail_Relevant!$A$2:$A$491,$A242,Exploded_Detail_Relevant!$B$2:$B$491,$B242,Exploded_Detail_Relevant!$E$2:$E$491,$C242,Exploded_Detail_Relevant!$F$2:$F$491,$D242)</f>
        <v>2361381</v>
      </c>
      <c r="F242">
        <f>COUNTIFS(Exploded_Detail_Relevant!$A$2:$A$491,$A242,Exploded_Detail_Relevant!$B$2:$B$491,$B242,Exploded_Detail_Relevant!$E$2:$E$491,$C242,Exploded_Detail_Relevant!$F$2:$F$491,$D242)</f>
        <v>1</v>
      </c>
    </row>
    <row r="243" spans="1:6" x14ac:dyDescent="0.35">
      <c r="A243" t="s">
        <v>31</v>
      </c>
      <c r="B243" t="s">
        <v>45</v>
      </c>
      <c r="C243" t="s">
        <v>35</v>
      </c>
      <c r="D243" t="s">
        <v>504</v>
      </c>
      <c r="E243" s="5">
        <f>SUMIFS(Exploded_Detail_Relevant!$G$2:$G$491,Exploded_Detail_Relevant!$A$2:$A$491,$A243,Exploded_Detail_Relevant!$B$2:$B$491,$B243,Exploded_Detail_Relevant!$E$2:$E$491,$C243,Exploded_Detail_Relevant!$F$2:$F$491,$D243)</f>
        <v>2400000</v>
      </c>
      <c r="F243">
        <f>COUNTIFS(Exploded_Detail_Relevant!$A$2:$A$491,$A243,Exploded_Detail_Relevant!$B$2:$B$491,$B243,Exploded_Detail_Relevant!$E$2:$E$491,$C243,Exploded_Detail_Relevant!$F$2:$F$491,$D243)</f>
        <v>1</v>
      </c>
    </row>
    <row r="244" spans="1:6" x14ac:dyDescent="0.35">
      <c r="A244" t="s">
        <v>31</v>
      </c>
      <c r="B244" t="s">
        <v>32</v>
      </c>
      <c r="C244" t="s">
        <v>51</v>
      </c>
      <c r="D244" t="s">
        <v>507</v>
      </c>
      <c r="E244" s="5">
        <f>SUMIFS(Exploded_Detail_Relevant!$G$2:$G$491,Exploded_Detail_Relevant!$A$2:$A$491,$A244,Exploded_Detail_Relevant!$B$2:$B$491,$B244,Exploded_Detail_Relevant!$E$2:$E$491,$C244,Exploded_Detail_Relevant!$F$2:$F$491,$D244)</f>
        <v>10800000</v>
      </c>
      <c r="F244">
        <f>COUNTIFS(Exploded_Detail_Relevant!$A$2:$A$491,$A244,Exploded_Detail_Relevant!$B$2:$B$491,$B244,Exploded_Detail_Relevant!$E$2:$E$491,$C244,Exploded_Detail_Relevant!$F$2:$F$491,$D244)</f>
        <v>1</v>
      </c>
    </row>
    <row r="245" spans="1:6" x14ac:dyDescent="0.35">
      <c r="A245" t="s">
        <v>31</v>
      </c>
      <c r="B245" t="s">
        <v>45</v>
      </c>
      <c r="C245" t="s">
        <v>51</v>
      </c>
      <c r="D245" t="s">
        <v>507</v>
      </c>
      <c r="E245" s="5">
        <f>SUMIFS(Exploded_Detail_Relevant!$G$2:$G$491,Exploded_Detail_Relevant!$A$2:$A$491,$A245,Exploded_Detail_Relevant!$B$2:$B$491,$B245,Exploded_Detail_Relevant!$E$2:$E$491,$C245,Exploded_Detail_Relevant!$F$2:$F$491,$D245)</f>
        <v>729944</v>
      </c>
      <c r="F245">
        <f>COUNTIFS(Exploded_Detail_Relevant!$A$2:$A$491,$A245,Exploded_Detail_Relevant!$B$2:$B$491,$B245,Exploded_Detail_Relevant!$E$2:$E$491,$C245,Exploded_Detail_Relevant!$F$2:$F$491,$D245)</f>
        <v>1</v>
      </c>
    </row>
    <row r="246" spans="1:6" x14ac:dyDescent="0.35">
      <c r="A246" t="s">
        <v>31</v>
      </c>
      <c r="B246" t="s">
        <v>32</v>
      </c>
      <c r="C246" t="s">
        <v>48</v>
      </c>
      <c r="D246" t="s">
        <v>512</v>
      </c>
      <c r="E246" s="5">
        <f>SUMIFS(Exploded_Detail_Relevant!$G$2:$G$491,Exploded_Detail_Relevant!$A$2:$A$491,$A246,Exploded_Detail_Relevant!$B$2:$B$491,$B246,Exploded_Detail_Relevant!$E$2:$E$491,$C246,Exploded_Detail_Relevant!$F$2:$F$491,$D246)</f>
        <v>124000</v>
      </c>
      <c r="F246">
        <f>COUNTIFS(Exploded_Detail_Relevant!$A$2:$A$491,$A246,Exploded_Detail_Relevant!$B$2:$B$491,$B246,Exploded_Detail_Relevant!$E$2:$E$491,$C246,Exploded_Detail_Relevant!$F$2:$F$491,$D246)</f>
        <v>1</v>
      </c>
    </row>
    <row r="247" spans="1:6" x14ac:dyDescent="0.35">
      <c r="A247" t="s">
        <v>31</v>
      </c>
      <c r="B247" t="s">
        <v>45</v>
      </c>
      <c r="C247" t="s">
        <v>74</v>
      </c>
      <c r="D247" t="s">
        <v>512</v>
      </c>
      <c r="E247" s="5">
        <f>SUMIFS(Exploded_Detail_Relevant!$G$2:$G$491,Exploded_Detail_Relevant!$A$2:$A$491,$A247,Exploded_Detail_Relevant!$B$2:$B$491,$B247,Exploded_Detail_Relevant!$E$2:$E$491,$C247,Exploded_Detail_Relevant!$F$2:$F$491,$D247)</f>
        <v>1369555</v>
      </c>
      <c r="F247">
        <f>COUNTIFS(Exploded_Detail_Relevant!$A$2:$A$491,$A247,Exploded_Detail_Relevant!$B$2:$B$491,$B247,Exploded_Detail_Relevant!$E$2:$E$491,$C247,Exploded_Detail_Relevant!$F$2:$F$491,$D247)</f>
        <v>2</v>
      </c>
    </row>
    <row r="248" spans="1:6" x14ac:dyDescent="0.35">
      <c r="A248" t="s">
        <v>31</v>
      </c>
      <c r="B248" t="s">
        <v>32</v>
      </c>
      <c r="C248" t="s">
        <v>35</v>
      </c>
      <c r="D248" t="s">
        <v>512</v>
      </c>
      <c r="E248" s="5">
        <f>SUMIFS(Exploded_Detail_Relevant!$G$2:$G$491,Exploded_Detail_Relevant!$A$2:$A$491,$A248,Exploded_Detail_Relevant!$B$2:$B$491,$B248,Exploded_Detail_Relevant!$E$2:$E$491,$C248,Exploded_Detail_Relevant!$F$2:$F$491,$D248)</f>
        <v>2913880</v>
      </c>
      <c r="F248">
        <f>COUNTIFS(Exploded_Detail_Relevant!$A$2:$A$491,$A248,Exploded_Detail_Relevant!$B$2:$B$491,$B248,Exploded_Detail_Relevant!$E$2:$E$491,$C248,Exploded_Detail_Relevant!$F$2:$F$491,$D248)</f>
        <v>1</v>
      </c>
    </row>
    <row r="249" spans="1:6" x14ac:dyDescent="0.35">
      <c r="A249" t="s">
        <v>31</v>
      </c>
      <c r="B249" t="s">
        <v>45</v>
      </c>
      <c r="C249" t="s">
        <v>35</v>
      </c>
      <c r="D249" t="s">
        <v>512</v>
      </c>
      <c r="E249" s="5">
        <f>SUMIFS(Exploded_Detail_Relevant!$G$2:$G$491,Exploded_Detail_Relevant!$A$2:$A$491,$A249,Exploded_Detail_Relevant!$B$2:$B$491,$B249,Exploded_Detail_Relevant!$E$2:$E$491,$C249,Exploded_Detail_Relevant!$F$2:$F$491,$D249)</f>
        <v>16154169</v>
      </c>
      <c r="F249">
        <f>COUNTIFS(Exploded_Detail_Relevant!$A$2:$A$491,$A249,Exploded_Detail_Relevant!$B$2:$B$491,$B249,Exploded_Detail_Relevant!$E$2:$E$491,$C249,Exploded_Detail_Relevant!$F$2:$F$491,$D249)</f>
        <v>2</v>
      </c>
    </row>
    <row r="250" spans="1:6" x14ac:dyDescent="0.35">
      <c r="A250" t="s">
        <v>31</v>
      </c>
      <c r="B250" t="s">
        <v>45</v>
      </c>
      <c r="C250" t="s">
        <v>90</v>
      </c>
      <c r="D250" t="s">
        <v>512</v>
      </c>
      <c r="E250" s="5">
        <f>SUMIFS(Exploded_Detail_Relevant!$G$2:$G$491,Exploded_Detail_Relevant!$A$2:$A$491,$A250,Exploded_Detail_Relevant!$B$2:$B$491,$B250,Exploded_Detail_Relevant!$E$2:$E$491,$C250,Exploded_Detail_Relevant!$F$2:$F$491,$D250)</f>
        <v>1674977</v>
      </c>
      <c r="F250">
        <f>COUNTIFS(Exploded_Detail_Relevant!$A$2:$A$491,$A250,Exploded_Detail_Relevant!$B$2:$B$491,$B250,Exploded_Detail_Relevant!$E$2:$E$491,$C250,Exploded_Detail_Relevant!$F$2:$F$491,$D250)</f>
        <v>1</v>
      </c>
    </row>
    <row r="251" spans="1:6" x14ac:dyDescent="0.35">
      <c r="A251" t="s">
        <v>31</v>
      </c>
      <c r="B251" t="s">
        <v>45</v>
      </c>
      <c r="C251" t="s">
        <v>51</v>
      </c>
      <c r="D251" t="s">
        <v>517</v>
      </c>
      <c r="E251" s="5">
        <f>SUMIFS(Exploded_Detail_Relevant!$G$2:$G$491,Exploded_Detail_Relevant!$A$2:$A$491,$A251,Exploded_Detail_Relevant!$B$2:$B$491,$B251,Exploded_Detail_Relevant!$E$2:$E$491,$C251,Exploded_Detail_Relevant!$F$2:$F$491,$D251)</f>
        <v>2310529</v>
      </c>
      <c r="F251">
        <f>COUNTIFS(Exploded_Detail_Relevant!$A$2:$A$491,$A251,Exploded_Detail_Relevant!$B$2:$B$491,$B251,Exploded_Detail_Relevant!$E$2:$E$491,$C251,Exploded_Detail_Relevant!$F$2:$F$491,$D251)</f>
        <v>2</v>
      </c>
    </row>
    <row r="252" spans="1:6" x14ac:dyDescent="0.35">
      <c r="A252" t="s">
        <v>31</v>
      </c>
      <c r="B252" t="s">
        <v>45</v>
      </c>
      <c r="C252" t="s">
        <v>35</v>
      </c>
      <c r="D252" t="s">
        <v>517</v>
      </c>
      <c r="E252" s="5">
        <f>SUMIFS(Exploded_Detail_Relevant!$G$2:$G$491,Exploded_Detail_Relevant!$A$2:$A$491,$A252,Exploded_Detail_Relevant!$B$2:$B$491,$B252,Exploded_Detail_Relevant!$E$2:$E$491,$C252,Exploded_Detail_Relevant!$F$2:$F$491,$D252)</f>
        <v>1490400</v>
      </c>
      <c r="F252">
        <f>COUNTIFS(Exploded_Detail_Relevant!$A$2:$A$491,$A252,Exploded_Detail_Relevant!$B$2:$B$491,$B252,Exploded_Detail_Relevant!$E$2:$E$491,$C252,Exploded_Detail_Relevant!$F$2:$F$491,$D252)</f>
        <v>2</v>
      </c>
    </row>
    <row r="253" spans="1:6" x14ac:dyDescent="0.35">
      <c r="A253" t="s">
        <v>31</v>
      </c>
      <c r="B253" t="s">
        <v>32</v>
      </c>
      <c r="C253" t="s">
        <v>35</v>
      </c>
      <c r="D253" t="s">
        <v>522</v>
      </c>
      <c r="E253" s="5">
        <f>SUMIFS(Exploded_Detail_Relevant!$G$2:$G$491,Exploded_Detail_Relevant!$A$2:$A$491,$A253,Exploded_Detail_Relevant!$B$2:$B$491,$B253,Exploded_Detail_Relevant!$E$2:$E$491,$C253,Exploded_Detail_Relevant!$F$2:$F$491,$D253)</f>
        <v>4800000</v>
      </c>
      <c r="F253">
        <f>COUNTIFS(Exploded_Detail_Relevant!$A$2:$A$491,$A253,Exploded_Detail_Relevant!$B$2:$B$491,$B253,Exploded_Detail_Relevant!$E$2:$E$491,$C253,Exploded_Detail_Relevant!$F$2:$F$491,$D253)</f>
        <v>1</v>
      </c>
    </row>
    <row r="254" spans="1:6" x14ac:dyDescent="0.35">
      <c r="A254" t="s">
        <v>31</v>
      </c>
      <c r="B254" t="s">
        <v>45</v>
      </c>
      <c r="C254" t="s">
        <v>160</v>
      </c>
      <c r="D254" t="s">
        <v>523</v>
      </c>
      <c r="E254" s="5">
        <f>SUMIFS(Exploded_Detail_Relevant!$G$2:$G$491,Exploded_Detail_Relevant!$A$2:$A$491,$A254,Exploded_Detail_Relevant!$B$2:$B$491,$B254,Exploded_Detail_Relevant!$E$2:$E$491,$C254,Exploded_Detail_Relevant!$F$2:$F$491,$D254)</f>
        <v>2102187</v>
      </c>
      <c r="F254">
        <f>COUNTIFS(Exploded_Detail_Relevant!$A$2:$A$491,$A254,Exploded_Detail_Relevant!$B$2:$B$491,$B254,Exploded_Detail_Relevant!$E$2:$E$491,$C254,Exploded_Detail_Relevant!$F$2:$F$491,$D254)</f>
        <v>2</v>
      </c>
    </row>
    <row r="255" spans="1:6" x14ac:dyDescent="0.35">
      <c r="A255" t="s">
        <v>31</v>
      </c>
      <c r="B255" t="s">
        <v>32</v>
      </c>
      <c r="C255" t="s">
        <v>51</v>
      </c>
      <c r="D255" t="s">
        <v>523</v>
      </c>
      <c r="E255" s="5">
        <f>SUMIFS(Exploded_Detail_Relevant!$G$2:$G$491,Exploded_Detail_Relevant!$A$2:$A$491,$A255,Exploded_Detail_Relevant!$B$2:$B$491,$B255,Exploded_Detail_Relevant!$E$2:$E$491,$C255,Exploded_Detail_Relevant!$F$2:$F$491,$D255)</f>
        <v>2596600</v>
      </c>
      <c r="F255">
        <f>COUNTIFS(Exploded_Detail_Relevant!$A$2:$A$491,$A255,Exploded_Detail_Relevant!$B$2:$B$491,$B255,Exploded_Detail_Relevant!$E$2:$E$491,$C255,Exploded_Detail_Relevant!$F$2:$F$491,$D255)</f>
        <v>2</v>
      </c>
    </row>
    <row r="256" spans="1:6" x14ac:dyDescent="0.35">
      <c r="A256" t="s">
        <v>31</v>
      </c>
      <c r="B256" t="s">
        <v>32</v>
      </c>
      <c r="C256" t="s">
        <v>35</v>
      </c>
      <c r="D256" t="s">
        <v>523</v>
      </c>
      <c r="E256" s="5">
        <f>SUMIFS(Exploded_Detail_Relevant!$G$2:$G$491,Exploded_Detail_Relevant!$A$2:$A$491,$A256,Exploded_Detail_Relevant!$B$2:$B$491,$B256,Exploded_Detail_Relevant!$E$2:$E$491,$C256,Exploded_Detail_Relevant!$F$2:$F$491,$D256)</f>
        <v>1040000</v>
      </c>
      <c r="F256">
        <f>COUNTIFS(Exploded_Detail_Relevant!$A$2:$A$491,$A256,Exploded_Detail_Relevant!$B$2:$B$491,$B256,Exploded_Detail_Relevant!$E$2:$E$491,$C256,Exploded_Detail_Relevant!$F$2:$F$491,$D256)</f>
        <v>1</v>
      </c>
    </row>
    <row r="257" spans="1:6" x14ac:dyDescent="0.35">
      <c r="A257" t="s">
        <v>31</v>
      </c>
      <c r="B257" t="s">
        <v>45</v>
      </c>
      <c r="C257" t="s">
        <v>175</v>
      </c>
      <c r="D257" t="s">
        <v>523</v>
      </c>
      <c r="E257" s="5">
        <f>SUMIFS(Exploded_Detail_Relevant!$G$2:$G$491,Exploded_Detail_Relevant!$A$2:$A$491,$A257,Exploded_Detail_Relevant!$B$2:$B$491,$B257,Exploded_Detail_Relevant!$E$2:$E$491,$C257,Exploded_Detail_Relevant!$F$2:$F$491,$D257)</f>
        <v>9188952</v>
      </c>
      <c r="F257">
        <f>COUNTIFS(Exploded_Detail_Relevant!$A$2:$A$491,$A257,Exploded_Detail_Relevant!$B$2:$B$491,$B257,Exploded_Detail_Relevant!$E$2:$E$491,$C257,Exploded_Detail_Relevant!$F$2:$F$491,$D257)</f>
        <v>1</v>
      </c>
    </row>
    <row r="258" spans="1:6" x14ac:dyDescent="0.35">
      <c r="A258" t="s">
        <v>31</v>
      </c>
      <c r="B258" t="s">
        <v>32</v>
      </c>
      <c r="C258" t="s">
        <v>35</v>
      </c>
      <c r="D258" t="s">
        <v>526</v>
      </c>
      <c r="E258" s="5">
        <f>SUMIFS(Exploded_Detail_Relevant!$G$2:$G$491,Exploded_Detail_Relevant!$A$2:$A$491,$A258,Exploded_Detail_Relevant!$B$2:$B$491,$B258,Exploded_Detail_Relevant!$E$2:$E$491,$C258,Exploded_Detail_Relevant!$F$2:$F$491,$D258)</f>
        <v>4580000</v>
      </c>
      <c r="F258">
        <f>COUNTIFS(Exploded_Detail_Relevant!$A$2:$A$491,$A258,Exploded_Detail_Relevant!$B$2:$B$491,$B258,Exploded_Detail_Relevant!$E$2:$E$491,$C258,Exploded_Detail_Relevant!$F$2:$F$491,$D258)</f>
        <v>1</v>
      </c>
    </row>
    <row r="259" spans="1:6" x14ac:dyDescent="0.35">
      <c r="A259" t="s">
        <v>31</v>
      </c>
      <c r="B259" t="s">
        <v>32</v>
      </c>
      <c r="C259" t="s">
        <v>51</v>
      </c>
      <c r="D259" t="s">
        <v>527</v>
      </c>
      <c r="E259" s="5">
        <f>SUMIFS(Exploded_Detail_Relevant!$G$2:$G$491,Exploded_Detail_Relevant!$A$2:$A$491,$A259,Exploded_Detail_Relevant!$B$2:$B$491,$B259,Exploded_Detail_Relevant!$E$2:$E$491,$C259,Exploded_Detail_Relevant!$F$2:$F$491,$D259)</f>
        <v>3150000</v>
      </c>
      <c r="F259">
        <f>COUNTIFS(Exploded_Detail_Relevant!$A$2:$A$491,$A259,Exploded_Detail_Relevant!$B$2:$B$491,$B259,Exploded_Detail_Relevant!$E$2:$E$491,$C259,Exploded_Detail_Relevant!$F$2:$F$491,$D259)</f>
        <v>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9"/>
  <sheetViews>
    <sheetView workbookViewId="0">
      <pane ySplit="1" topLeftCell="A2" activePane="bottomLeft" state="frozen"/>
      <selection pane="bottomLeft" activeCell="B14" sqref="B14"/>
    </sheetView>
  </sheetViews>
  <sheetFormatPr defaultRowHeight="14.5" x14ac:dyDescent="0.35"/>
  <cols>
    <col min="1" max="2" width="18" customWidth="1"/>
    <col min="3" max="3" width="22" customWidth="1"/>
    <col min="4" max="4" width="18" customWidth="1"/>
  </cols>
  <sheetData>
    <row r="1" spans="1:4" x14ac:dyDescent="0.35">
      <c r="A1" s="4" t="s">
        <v>21</v>
      </c>
      <c r="B1" s="4" t="s">
        <v>26</v>
      </c>
      <c r="C1" s="4" t="s">
        <v>528</v>
      </c>
      <c r="D1" s="4" t="s">
        <v>529</v>
      </c>
    </row>
    <row r="2" spans="1:4" x14ac:dyDescent="0.35">
      <c r="A2" t="s">
        <v>31</v>
      </c>
      <c r="B2" t="s">
        <v>36</v>
      </c>
      <c r="C2" s="5">
        <f>SUMIFS(Exploded_Detail_Relevant!$G$2:$G$491,Exploded_Detail_Relevant!$A$2:$A$491,$A2,Exploded_Detail_Relevant!$F$2:$F$491,$B2)</f>
        <v>12400000</v>
      </c>
      <c r="D2">
        <f>COUNTIFS(Exploded_Detail_Relevant!$A$2:$A$491,$A2,Exploded_Detail_Relevant!$F$2:$F$491,$B2)</f>
        <v>2</v>
      </c>
    </row>
    <row r="3" spans="1:4" x14ac:dyDescent="0.35">
      <c r="A3" t="s">
        <v>31</v>
      </c>
      <c r="B3" t="s">
        <v>44</v>
      </c>
      <c r="C3" s="5">
        <f>SUMIFS(Exploded_Detail_Relevant!$G$2:$G$491,Exploded_Detail_Relevant!$A$2:$A$491,$A3,Exploded_Detail_Relevant!$F$2:$F$491,$B3)</f>
        <v>153331372</v>
      </c>
      <c r="D3">
        <f>COUNTIFS(Exploded_Detail_Relevant!$A$2:$A$491,$A3,Exploded_Detail_Relevant!$F$2:$F$491,$B3)</f>
        <v>14</v>
      </c>
    </row>
    <row r="4" spans="1:4" x14ac:dyDescent="0.35">
      <c r="A4" t="s">
        <v>31</v>
      </c>
      <c r="B4" t="s">
        <v>61</v>
      </c>
      <c r="C4" s="5">
        <f>SUMIFS(Exploded_Detail_Relevant!$G$2:$G$491,Exploded_Detail_Relevant!$A$2:$A$491,$A4,Exploded_Detail_Relevant!$F$2:$F$491,$B4)</f>
        <v>1250000</v>
      </c>
      <c r="D4">
        <f>COUNTIFS(Exploded_Detail_Relevant!$A$2:$A$491,$A4,Exploded_Detail_Relevant!$F$2:$F$491,$B4)</f>
        <v>3</v>
      </c>
    </row>
    <row r="5" spans="1:4" x14ac:dyDescent="0.35">
      <c r="A5" t="s">
        <v>31</v>
      </c>
      <c r="B5" t="s">
        <v>67</v>
      </c>
      <c r="C5" s="5">
        <f>SUMIFS(Exploded_Detail_Relevant!$G$2:$G$491,Exploded_Detail_Relevant!$A$2:$A$491,$A5,Exploded_Detail_Relevant!$F$2:$F$491,$B5)</f>
        <v>1280000</v>
      </c>
      <c r="D5">
        <f>COUNTIFS(Exploded_Detail_Relevant!$A$2:$A$491,$A5,Exploded_Detail_Relevant!$F$2:$F$491,$B5)</f>
        <v>1</v>
      </c>
    </row>
    <row r="6" spans="1:4" x14ac:dyDescent="0.35">
      <c r="A6" t="s">
        <v>31</v>
      </c>
      <c r="B6" t="s">
        <v>71</v>
      </c>
      <c r="C6" s="5">
        <f>SUMIFS(Exploded_Detail_Relevant!$G$2:$G$491,Exploded_Detail_Relevant!$A$2:$A$491,$A6,Exploded_Detail_Relevant!$F$2:$F$491,$B6)</f>
        <v>10220291</v>
      </c>
      <c r="D6">
        <f>COUNTIFS(Exploded_Detail_Relevant!$A$2:$A$491,$A6,Exploded_Detail_Relevant!$F$2:$F$491,$B6)</f>
        <v>3</v>
      </c>
    </row>
    <row r="7" spans="1:4" x14ac:dyDescent="0.35">
      <c r="A7" t="s">
        <v>31</v>
      </c>
      <c r="B7" t="s">
        <v>75</v>
      </c>
      <c r="C7" s="5">
        <f>SUMIFS(Exploded_Detail_Relevant!$G$2:$G$491,Exploded_Detail_Relevant!$A$2:$A$491,$A7,Exploded_Detail_Relevant!$F$2:$F$491,$B7)</f>
        <v>1369555</v>
      </c>
      <c r="D7">
        <f>COUNTIFS(Exploded_Detail_Relevant!$A$2:$A$491,$A7,Exploded_Detail_Relevant!$F$2:$F$491,$B7)</f>
        <v>2</v>
      </c>
    </row>
    <row r="8" spans="1:4" x14ac:dyDescent="0.35">
      <c r="A8" t="s">
        <v>31</v>
      </c>
      <c r="B8" t="s">
        <v>78</v>
      </c>
      <c r="C8" s="5">
        <f>SUMIFS(Exploded_Detail_Relevant!$G$2:$G$491,Exploded_Detail_Relevant!$A$2:$A$491,$A8,Exploded_Detail_Relevant!$F$2:$F$491,$B8)</f>
        <v>1477348</v>
      </c>
      <c r="D8">
        <f>COUNTIFS(Exploded_Detail_Relevant!$A$2:$A$491,$A8,Exploded_Detail_Relevant!$F$2:$F$491,$B8)</f>
        <v>3</v>
      </c>
    </row>
    <row r="9" spans="1:4" x14ac:dyDescent="0.35">
      <c r="A9" t="s">
        <v>31</v>
      </c>
      <c r="B9" t="s">
        <v>81</v>
      </c>
      <c r="C9" s="5">
        <f>SUMIFS(Exploded_Detail_Relevant!$G$2:$G$491,Exploded_Detail_Relevant!$A$2:$A$491,$A9,Exploded_Detail_Relevant!$F$2:$F$491,$B9)</f>
        <v>26810772</v>
      </c>
      <c r="D9">
        <f>COUNTIFS(Exploded_Detail_Relevant!$A$2:$A$491,$A9,Exploded_Detail_Relevant!$F$2:$F$491,$B9)</f>
        <v>7</v>
      </c>
    </row>
    <row r="10" spans="1:4" x14ac:dyDescent="0.35">
      <c r="A10" t="s">
        <v>31</v>
      </c>
      <c r="B10" t="s">
        <v>93</v>
      </c>
      <c r="C10" s="5">
        <f>SUMIFS(Exploded_Detail_Relevant!$G$2:$G$491,Exploded_Detail_Relevant!$A$2:$A$491,$A10,Exploded_Detail_Relevant!$F$2:$F$491,$B10)</f>
        <v>1726441</v>
      </c>
      <c r="D10">
        <f>COUNTIFS(Exploded_Detail_Relevant!$A$2:$A$491,$A10,Exploded_Detail_Relevant!$F$2:$F$491,$B10)</f>
        <v>4</v>
      </c>
    </row>
    <row r="11" spans="1:4" x14ac:dyDescent="0.35">
      <c r="A11" t="s">
        <v>31</v>
      </c>
      <c r="B11" t="s">
        <v>99</v>
      </c>
      <c r="C11" s="5">
        <f>SUMIFS(Exploded_Detail_Relevant!$G$2:$G$491,Exploded_Detail_Relevant!$A$2:$A$491,$A11,Exploded_Detail_Relevant!$F$2:$F$491,$B11)</f>
        <v>1968382</v>
      </c>
      <c r="D11">
        <f>COUNTIFS(Exploded_Detail_Relevant!$A$2:$A$491,$A11,Exploded_Detail_Relevant!$F$2:$F$491,$B11)</f>
        <v>1</v>
      </c>
    </row>
    <row r="12" spans="1:4" x14ac:dyDescent="0.35">
      <c r="A12" t="s">
        <v>31</v>
      </c>
      <c r="B12" t="s">
        <v>102</v>
      </c>
      <c r="C12" s="5">
        <f>SUMIFS(Exploded_Detail_Relevant!$G$2:$G$491,Exploded_Detail_Relevant!$A$2:$A$491,$A12,Exploded_Detail_Relevant!$F$2:$F$491,$B12)</f>
        <v>28188070</v>
      </c>
      <c r="D12">
        <f>COUNTIFS(Exploded_Detail_Relevant!$A$2:$A$491,$A12,Exploded_Detail_Relevant!$F$2:$F$491,$B12)</f>
        <v>11</v>
      </c>
    </row>
    <row r="13" spans="1:4" x14ac:dyDescent="0.35">
      <c r="A13" t="s">
        <v>31</v>
      </c>
      <c r="B13" t="s">
        <v>111</v>
      </c>
      <c r="C13" s="5">
        <f>SUMIFS(Exploded_Detail_Relevant!$G$2:$G$491,Exploded_Detail_Relevant!$A$2:$A$491,$A13,Exploded_Detail_Relevant!$F$2:$F$491,$B13)</f>
        <v>6299571</v>
      </c>
      <c r="D13">
        <f>COUNTIFS(Exploded_Detail_Relevant!$A$2:$A$491,$A13,Exploded_Detail_Relevant!$F$2:$F$491,$B13)</f>
        <v>2</v>
      </c>
    </row>
    <row r="14" spans="1:4" x14ac:dyDescent="0.35">
      <c r="A14" t="s">
        <v>31</v>
      </c>
      <c r="B14" t="s">
        <v>117</v>
      </c>
      <c r="C14" s="5">
        <f>SUMIFS(Exploded_Detail_Relevant!$G$2:$G$491,Exploded_Detail_Relevant!$A$2:$A$491,$A14,Exploded_Detail_Relevant!$F$2:$F$491,$B14)</f>
        <v>79234424</v>
      </c>
      <c r="D14">
        <f>COUNTIFS(Exploded_Detail_Relevant!$A$2:$A$491,$A14,Exploded_Detail_Relevant!$F$2:$F$491,$B14)</f>
        <v>6</v>
      </c>
    </row>
    <row r="15" spans="1:4" x14ac:dyDescent="0.35">
      <c r="A15" t="s">
        <v>31</v>
      </c>
      <c r="B15" t="s">
        <v>120</v>
      </c>
      <c r="C15" s="5">
        <f>SUMIFS(Exploded_Detail_Relevant!$G$2:$G$491,Exploded_Detail_Relevant!$A$2:$A$491,$A15,Exploded_Detail_Relevant!$F$2:$F$491,$B15)</f>
        <v>1468466</v>
      </c>
      <c r="D15">
        <f>COUNTIFS(Exploded_Detail_Relevant!$A$2:$A$491,$A15,Exploded_Detail_Relevant!$F$2:$F$491,$B15)</f>
        <v>1</v>
      </c>
    </row>
    <row r="16" spans="1:4" x14ac:dyDescent="0.35">
      <c r="A16" t="s">
        <v>31</v>
      </c>
      <c r="B16" t="s">
        <v>123</v>
      </c>
      <c r="C16" s="5">
        <f>SUMIFS(Exploded_Detail_Relevant!$G$2:$G$491,Exploded_Detail_Relevant!$A$2:$A$491,$A16,Exploded_Detail_Relevant!$F$2:$F$491,$B16)</f>
        <v>358310913</v>
      </c>
      <c r="D16">
        <f>COUNTIFS(Exploded_Detail_Relevant!$A$2:$A$491,$A16,Exploded_Detail_Relevant!$F$2:$F$491,$B16)</f>
        <v>55</v>
      </c>
    </row>
    <row r="17" spans="1:4" x14ac:dyDescent="0.35">
      <c r="A17" t="s">
        <v>31</v>
      </c>
      <c r="B17" t="s">
        <v>180</v>
      </c>
      <c r="C17" s="5">
        <f>SUMIFS(Exploded_Detail_Relevant!$G$2:$G$491,Exploded_Detail_Relevant!$A$2:$A$491,$A17,Exploded_Detail_Relevant!$F$2:$F$491,$B17)</f>
        <v>3210000</v>
      </c>
      <c r="D17">
        <f>COUNTIFS(Exploded_Detail_Relevant!$A$2:$A$491,$A17,Exploded_Detail_Relevant!$F$2:$F$491,$B17)</f>
        <v>2</v>
      </c>
    </row>
    <row r="18" spans="1:4" x14ac:dyDescent="0.35">
      <c r="A18" t="s">
        <v>31</v>
      </c>
      <c r="B18" t="s">
        <v>183</v>
      </c>
      <c r="C18" s="5">
        <f>SUMIFS(Exploded_Detail_Relevant!$G$2:$G$491,Exploded_Detail_Relevant!$A$2:$A$491,$A18,Exploded_Detail_Relevant!$F$2:$F$491,$B18)</f>
        <v>3780000</v>
      </c>
      <c r="D18">
        <f>COUNTIFS(Exploded_Detail_Relevant!$A$2:$A$491,$A18,Exploded_Detail_Relevant!$F$2:$F$491,$B18)</f>
        <v>2</v>
      </c>
    </row>
    <row r="19" spans="1:4" x14ac:dyDescent="0.35">
      <c r="A19" t="s">
        <v>31</v>
      </c>
      <c r="B19" t="s">
        <v>184</v>
      </c>
      <c r="C19" s="5">
        <f>SUMIFS(Exploded_Detail_Relevant!$G$2:$G$491,Exploded_Detail_Relevant!$A$2:$A$491,$A19,Exploded_Detail_Relevant!$F$2:$F$491,$B19)</f>
        <v>24252049</v>
      </c>
      <c r="D19">
        <f>COUNTIFS(Exploded_Detail_Relevant!$A$2:$A$491,$A19,Exploded_Detail_Relevant!$F$2:$F$491,$B19)</f>
        <v>4</v>
      </c>
    </row>
    <row r="20" spans="1:4" x14ac:dyDescent="0.35">
      <c r="A20" t="s">
        <v>31</v>
      </c>
      <c r="B20" t="s">
        <v>187</v>
      </c>
      <c r="C20" s="5">
        <f>SUMIFS(Exploded_Detail_Relevant!$G$2:$G$491,Exploded_Detail_Relevant!$A$2:$A$491,$A20,Exploded_Detail_Relevant!$F$2:$F$491,$B20)</f>
        <v>14818811</v>
      </c>
      <c r="D20">
        <f>COUNTIFS(Exploded_Detail_Relevant!$A$2:$A$491,$A20,Exploded_Detail_Relevant!$F$2:$F$491,$B20)</f>
        <v>3</v>
      </c>
    </row>
    <row r="21" spans="1:4" x14ac:dyDescent="0.35">
      <c r="A21" t="s">
        <v>31</v>
      </c>
      <c r="B21" t="s">
        <v>192</v>
      </c>
      <c r="C21" s="5">
        <f>SUMIFS(Exploded_Detail_Relevant!$G$2:$G$491,Exploded_Detail_Relevant!$A$2:$A$491,$A21,Exploded_Detail_Relevant!$F$2:$F$491,$B21)</f>
        <v>85244333</v>
      </c>
      <c r="D21">
        <f>COUNTIFS(Exploded_Detail_Relevant!$A$2:$A$491,$A21,Exploded_Detail_Relevant!$F$2:$F$491,$B21)</f>
        <v>13</v>
      </c>
    </row>
    <row r="22" spans="1:4" x14ac:dyDescent="0.35">
      <c r="A22" t="s">
        <v>31</v>
      </c>
      <c r="B22" t="s">
        <v>196</v>
      </c>
      <c r="C22" s="5">
        <f>SUMIFS(Exploded_Detail_Relevant!$G$2:$G$491,Exploded_Detail_Relevant!$A$2:$A$491,$A22,Exploded_Detail_Relevant!$F$2:$F$491,$B22)</f>
        <v>3916440</v>
      </c>
      <c r="D22">
        <f>COUNTIFS(Exploded_Detail_Relevant!$A$2:$A$491,$A22,Exploded_Detail_Relevant!$F$2:$F$491,$B22)</f>
        <v>2</v>
      </c>
    </row>
    <row r="23" spans="1:4" x14ac:dyDescent="0.35">
      <c r="A23" t="s">
        <v>31</v>
      </c>
      <c r="B23" t="s">
        <v>199</v>
      </c>
      <c r="C23" s="5">
        <f>SUMIFS(Exploded_Detail_Relevant!$G$2:$G$491,Exploded_Detail_Relevant!$A$2:$A$491,$A23,Exploded_Detail_Relevant!$F$2:$F$491,$B23)</f>
        <v>21696671</v>
      </c>
      <c r="D23">
        <f>COUNTIFS(Exploded_Detail_Relevant!$A$2:$A$491,$A23,Exploded_Detail_Relevant!$F$2:$F$491,$B23)</f>
        <v>11</v>
      </c>
    </row>
    <row r="24" spans="1:4" x14ac:dyDescent="0.35">
      <c r="A24" t="s">
        <v>31</v>
      </c>
      <c r="B24" t="s">
        <v>208</v>
      </c>
      <c r="C24" s="5">
        <f>SUMIFS(Exploded_Detail_Relevant!$G$2:$G$491,Exploded_Detail_Relevant!$A$2:$A$491,$A24,Exploded_Detail_Relevant!$F$2:$F$491,$B24)</f>
        <v>960001</v>
      </c>
      <c r="D24">
        <f>COUNTIFS(Exploded_Detail_Relevant!$A$2:$A$491,$A24,Exploded_Detail_Relevant!$F$2:$F$491,$B24)</f>
        <v>3</v>
      </c>
    </row>
    <row r="25" spans="1:4" x14ac:dyDescent="0.35">
      <c r="A25" t="s">
        <v>31</v>
      </c>
      <c r="B25" t="s">
        <v>209</v>
      </c>
      <c r="C25" s="5">
        <f>SUMIFS(Exploded_Detail_Relevant!$G$2:$G$491,Exploded_Detail_Relevant!$A$2:$A$491,$A25,Exploded_Detail_Relevant!$F$2:$F$491,$B25)</f>
        <v>81874424</v>
      </c>
      <c r="D25">
        <f>COUNTIFS(Exploded_Detail_Relevant!$A$2:$A$491,$A25,Exploded_Detail_Relevant!$F$2:$F$491,$B25)</f>
        <v>8</v>
      </c>
    </row>
    <row r="26" spans="1:4" x14ac:dyDescent="0.35">
      <c r="A26" t="s">
        <v>31</v>
      </c>
      <c r="B26" t="s">
        <v>214</v>
      </c>
      <c r="C26" s="5">
        <f>SUMIFS(Exploded_Detail_Relevant!$G$2:$G$491,Exploded_Detail_Relevant!$A$2:$A$491,$A26,Exploded_Detail_Relevant!$F$2:$F$491,$B26)</f>
        <v>930000</v>
      </c>
      <c r="D26">
        <f>COUNTIFS(Exploded_Detail_Relevant!$A$2:$A$491,$A26,Exploded_Detail_Relevant!$F$2:$F$491,$B26)</f>
        <v>2</v>
      </c>
    </row>
    <row r="27" spans="1:4" x14ac:dyDescent="0.35">
      <c r="A27" t="s">
        <v>31</v>
      </c>
      <c r="B27" t="s">
        <v>217</v>
      </c>
      <c r="C27" s="5">
        <f>SUMIFS(Exploded_Detail_Relevant!$G$2:$G$491,Exploded_Detail_Relevant!$A$2:$A$491,$A27,Exploded_Detail_Relevant!$F$2:$F$491,$B27)</f>
        <v>22169730</v>
      </c>
      <c r="D27">
        <f>COUNTIFS(Exploded_Detail_Relevant!$A$2:$A$491,$A27,Exploded_Detail_Relevant!$F$2:$F$491,$B27)</f>
        <v>15</v>
      </c>
    </row>
    <row r="28" spans="1:4" x14ac:dyDescent="0.35">
      <c r="A28" t="s">
        <v>31</v>
      </c>
      <c r="B28" t="s">
        <v>226</v>
      </c>
      <c r="C28" s="5">
        <f>SUMIFS(Exploded_Detail_Relevant!$G$2:$G$491,Exploded_Detail_Relevant!$A$2:$A$491,$A28,Exploded_Detail_Relevant!$F$2:$F$491,$B28)</f>
        <v>40968309</v>
      </c>
      <c r="D28">
        <f>COUNTIFS(Exploded_Detail_Relevant!$A$2:$A$491,$A28,Exploded_Detail_Relevant!$F$2:$F$491,$B28)</f>
        <v>12</v>
      </c>
    </row>
    <row r="29" spans="1:4" x14ac:dyDescent="0.35">
      <c r="A29" t="s">
        <v>31</v>
      </c>
      <c r="B29" t="s">
        <v>235</v>
      </c>
      <c r="C29" s="5">
        <f>SUMIFS(Exploded_Detail_Relevant!$G$2:$G$491,Exploded_Detail_Relevant!$A$2:$A$491,$A29,Exploded_Detail_Relevant!$F$2:$F$491,$B29)</f>
        <v>8435646</v>
      </c>
      <c r="D29">
        <f>COUNTIFS(Exploded_Detail_Relevant!$A$2:$A$491,$A29,Exploded_Detail_Relevant!$F$2:$F$491,$B29)</f>
        <v>6</v>
      </c>
    </row>
    <row r="30" spans="1:4" x14ac:dyDescent="0.35">
      <c r="A30" t="s">
        <v>31</v>
      </c>
      <c r="B30" t="s">
        <v>244</v>
      </c>
      <c r="C30" s="5">
        <f>SUMIFS(Exploded_Detail_Relevant!$G$2:$G$491,Exploded_Detail_Relevant!$A$2:$A$491,$A30,Exploded_Detail_Relevant!$F$2:$F$491,$B30)</f>
        <v>116725</v>
      </c>
      <c r="D30">
        <f>COUNTIFS(Exploded_Detail_Relevant!$A$2:$A$491,$A30,Exploded_Detail_Relevant!$F$2:$F$491,$B30)</f>
        <v>2</v>
      </c>
    </row>
    <row r="31" spans="1:4" x14ac:dyDescent="0.35">
      <c r="A31" t="s">
        <v>31</v>
      </c>
      <c r="B31" t="s">
        <v>247</v>
      </c>
      <c r="C31" s="5">
        <f>SUMIFS(Exploded_Detail_Relevant!$G$2:$G$491,Exploded_Detail_Relevant!$A$2:$A$491,$A31,Exploded_Detail_Relevant!$F$2:$F$491,$B31)</f>
        <v>1184456</v>
      </c>
      <c r="D31">
        <f>COUNTIFS(Exploded_Detail_Relevant!$A$2:$A$491,$A31,Exploded_Detail_Relevant!$F$2:$F$491,$B31)</f>
        <v>2</v>
      </c>
    </row>
    <row r="32" spans="1:4" x14ac:dyDescent="0.35">
      <c r="A32" t="s">
        <v>31</v>
      </c>
      <c r="B32" t="s">
        <v>248</v>
      </c>
      <c r="C32" s="5">
        <f>SUMIFS(Exploded_Detail_Relevant!$G$2:$G$491,Exploded_Detail_Relevant!$A$2:$A$491,$A32,Exploded_Detail_Relevant!$F$2:$F$491,$B32)</f>
        <v>1369555</v>
      </c>
      <c r="D32">
        <f>COUNTIFS(Exploded_Detail_Relevant!$A$2:$A$491,$A32,Exploded_Detail_Relevant!$F$2:$F$491,$B32)</f>
        <v>2</v>
      </c>
    </row>
    <row r="33" spans="1:4" x14ac:dyDescent="0.35">
      <c r="A33" t="s">
        <v>31</v>
      </c>
      <c r="B33" t="s">
        <v>251</v>
      </c>
      <c r="C33" s="5">
        <f>SUMIFS(Exploded_Detail_Relevant!$G$2:$G$491,Exploded_Detail_Relevant!$A$2:$A$491,$A33,Exploded_Detail_Relevant!$F$2:$F$491,$B33)</f>
        <v>680000</v>
      </c>
      <c r="D33">
        <f>COUNTIFS(Exploded_Detail_Relevant!$A$2:$A$491,$A33,Exploded_Detail_Relevant!$F$2:$F$491,$B33)</f>
        <v>1</v>
      </c>
    </row>
    <row r="34" spans="1:4" x14ac:dyDescent="0.35">
      <c r="A34" t="s">
        <v>31</v>
      </c>
      <c r="B34" t="s">
        <v>252</v>
      </c>
      <c r="C34" s="5">
        <f>SUMIFS(Exploded_Detail_Relevant!$G$2:$G$491,Exploded_Detail_Relevant!$A$2:$A$491,$A34,Exploded_Detail_Relevant!$F$2:$F$491,$B34)</f>
        <v>3137600</v>
      </c>
      <c r="D34">
        <f>COUNTIFS(Exploded_Detail_Relevant!$A$2:$A$491,$A34,Exploded_Detail_Relevant!$F$2:$F$491,$B34)</f>
        <v>5</v>
      </c>
    </row>
    <row r="35" spans="1:4" x14ac:dyDescent="0.35">
      <c r="A35" t="s">
        <v>31</v>
      </c>
      <c r="B35" t="s">
        <v>258</v>
      </c>
      <c r="C35" s="5">
        <f>SUMIFS(Exploded_Detail_Relevant!$G$2:$G$491,Exploded_Detail_Relevant!$A$2:$A$491,$A35,Exploded_Detail_Relevant!$F$2:$F$491,$B35)</f>
        <v>4580000</v>
      </c>
      <c r="D35">
        <f>COUNTIFS(Exploded_Detail_Relevant!$A$2:$A$491,$A35,Exploded_Detail_Relevant!$F$2:$F$491,$B35)</f>
        <v>1</v>
      </c>
    </row>
    <row r="36" spans="1:4" x14ac:dyDescent="0.35">
      <c r="A36" t="s">
        <v>31</v>
      </c>
      <c r="B36" t="s">
        <v>261</v>
      </c>
      <c r="C36" s="5">
        <f>SUMIFS(Exploded_Detail_Relevant!$G$2:$G$491,Exploded_Detail_Relevant!$A$2:$A$491,$A36,Exploded_Detail_Relevant!$F$2:$F$491,$B36)</f>
        <v>5263539</v>
      </c>
      <c r="D36">
        <f>COUNTIFS(Exploded_Detail_Relevant!$A$2:$A$491,$A36,Exploded_Detail_Relevant!$F$2:$F$491,$B36)</f>
        <v>6</v>
      </c>
    </row>
    <row r="37" spans="1:4" x14ac:dyDescent="0.35">
      <c r="A37" t="s">
        <v>31</v>
      </c>
      <c r="B37" t="s">
        <v>268</v>
      </c>
      <c r="C37" s="5">
        <f>SUMIFS(Exploded_Detail_Relevant!$G$2:$G$491,Exploded_Detail_Relevant!$A$2:$A$491,$A37,Exploded_Detail_Relevant!$F$2:$F$491,$B37)</f>
        <v>1360000</v>
      </c>
      <c r="D37">
        <f>COUNTIFS(Exploded_Detail_Relevant!$A$2:$A$491,$A37,Exploded_Detail_Relevant!$F$2:$F$491,$B37)</f>
        <v>1</v>
      </c>
    </row>
    <row r="38" spans="1:4" x14ac:dyDescent="0.35">
      <c r="A38" t="s">
        <v>31</v>
      </c>
      <c r="B38" t="s">
        <v>271</v>
      </c>
      <c r="C38" s="5">
        <f>SUMIFS(Exploded_Detail_Relevant!$G$2:$G$491,Exploded_Detail_Relevant!$A$2:$A$491,$A38,Exploded_Detail_Relevant!$F$2:$F$491,$B38)</f>
        <v>1959842</v>
      </c>
      <c r="D38">
        <f>COUNTIFS(Exploded_Detail_Relevant!$A$2:$A$491,$A38,Exploded_Detail_Relevant!$F$2:$F$491,$B38)</f>
        <v>2</v>
      </c>
    </row>
    <row r="39" spans="1:4" x14ac:dyDescent="0.35">
      <c r="A39" t="s">
        <v>31</v>
      </c>
      <c r="B39" t="s">
        <v>272</v>
      </c>
      <c r="C39" s="5">
        <f>SUMIFS(Exploded_Detail_Relevant!$G$2:$G$491,Exploded_Detail_Relevant!$A$2:$A$491,$A39,Exploded_Detail_Relevant!$F$2:$F$491,$B39)</f>
        <v>2544400</v>
      </c>
      <c r="D39">
        <f>COUNTIFS(Exploded_Detail_Relevant!$A$2:$A$491,$A39,Exploded_Detail_Relevant!$F$2:$F$491,$B39)</f>
        <v>2</v>
      </c>
    </row>
    <row r="40" spans="1:4" x14ac:dyDescent="0.35">
      <c r="A40" t="s">
        <v>31</v>
      </c>
      <c r="B40" t="s">
        <v>277</v>
      </c>
      <c r="C40" s="5">
        <f>SUMIFS(Exploded_Detail_Relevant!$G$2:$G$491,Exploded_Detail_Relevant!$A$2:$A$491,$A40,Exploded_Detail_Relevant!$F$2:$F$491,$B40)</f>
        <v>4069555</v>
      </c>
      <c r="D40">
        <f>COUNTIFS(Exploded_Detail_Relevant!$A$2:$A$491,$A40,Exploded_Detail_Relevant!$F$2:$F$491,$B40)</f>
        <v>3</v>
      </c>
    </row>
    <row r="41" spans="1:4" x14ac:dyDescent="0.35">
      <c r="A41" t="s">
        <v>31</v>
      </c>
      <c r="B41" t="s">
        <v>280</v>
      </c>
      <c r="C41" s="5">
        <f>SUMIFS(Exploded_Detail_Relevant!$G$2:$G$491,Exploded_Detail_Relevant!$A$2:$A$491,$A41,Exploded_Detail_Relevant!$F$2:$F$491,$B41)</f>
        <v>9830365</v>
      </c>
      <c r="D41">
        <f>COUNTIFS(Exploded_Detail_Relevant!$A$2:$A$491,$A41,Exploded_Detail_Relevant!$F$2:$F$491,$B41)</f>
        <v>8</v>
      </c>
    </row>
    <row r="42" spans="1:4" x14ac:dyDescent="0.35">
      <c r="A42" t="s">
        <v>31</v>
      </c>
      <c r="B42" t="s">
        <v>287</v>
      </c>
      <c r="C42" s="5">
        <f>SUMIFS(Exploded_Detail_Relevant!$G$2:$G$491,Exploded_Detail_Relevant!$A$2:$A$491,$A42,Exploded_Detail_Relevant!$F$2:$F$491,$B42)</f>
        <v>3610000</v>
      </c>
      <c r="D42">
        <f>COUNTIFS(Exploded_Detail_Relevant!$A$2:$A$491,$A42,Exploded_Detail_Relevant!$F$2:$F$491,$B42)</f>
        <v>2</v>
      </c>
    </row>
    <row r="43" spans="1:4" x14ac:dyDescent="0.35">
      <c r="A43" t="s">
        <v>31</v>
      </c>
      <c r="B43" t="s">
        <v>290</v>
      </c>
      <c r="C43" s="5">
        <f>SUMIFS(Exploded_Detail_Relevant!$G$2:$G$491,Exploded_Detail_Relevant!$A$2:$A$491,$A43,Exploded_Detail_Relevant!$F$2:$F$491,$B43)</f>
        <v>85024</v>
      </c>
      <c r="D43">
        <f>COUNTIFS(Exploded_Detail_Relevant!$A$2:$A$491,$A43,Exploded_Detail_Relevant!$F$2:$F$491,$B43)</f>
        <v>1</v>
      </c>
    </row>
    <row r="44" spans="1:4" x14ac:dyDescent="0.35">
      <c r="A44" t="s">
        <v>31</v>
      </c>
      <c r="B44" t="s">
        <v>294</v>
      </c>
      <c r="C44" s="5">
        <f>SUMIFS(Exploded_Detail_Relevant!$G$2:$G$491,Exploded_Detail_Relevant!$A$2:$A$491,$A44,Exploded_Detail_Relevant!$F$2:$F$491,$B44)</f>
        <v>13443680</v>
      </c>
      <c r="D44">
        <f>COUNTIFS(Exploded_Detail_Relevant!$A$2:$A$491,$A44,Exploded_Detail_Relevant!$F$2:$F$491,$B44)</f>
        <v>1</v>
      </c>
    </row>
    <row r="45" spans="1:4" x14ac:dyDescent="0.35">
      <c r="A45" t="s">
        <v>31</v>
      </c>
      <c r="B45" t="s">
        <v>295</v>
      </c>
      <c r="C45" s="5">
        <f>SUMIFS(Exploded_Detail_Relevant!$G$2:$G$491,Exploded_Detail_Relevant!$A$2:$A$491,$A45,Exploded_Detail_Relevant!$F$2:$F$491,$B45)</f>
        <v>4580000</v>
      </c>
      <c r="D45">
        <f>COUNTIFS(Exploded_Detail_Relevant!$A$2:$A$491,$A45,Exploded_Detail_Relevant!$F$2:$F$491,$B45)</f>
        <v>1</v>
      </c>
    </row>
    <row r="46" spans="1:4" x14ac:dyDescent="0.35">
      <c r="A46" t="s">
        <v>31</v>
      </c>
      <c r="B46" t="s">
        <v>298</v>
      </c>
      <c r="C46" s="5">
        <f>SUMIFS(Exploded_Detail_Relevant!$G$2:$G$491,Exploded_Detail_Relevant!$A$2:$A$491,$A46,Exploded_Detail_Relevant!$F$2:$F$491,$B46)</f>
        <v>1706491</v>
      </c>
      <c r="D46">
        <f>COUNTIFS(Exploded_Detail_Relevant!$A$2:$A$491,$A46,Exploded_Detail_Relevant!$F$2:$F$491,$B46)</f>
        <v>1</v>
      </c>
    </row>
    <row r="47" spans="1:4" x14ac:dyDescent="0.35">
      <c r="A47" t="s">
        <v>31</v>
      </c>
      <c r="B47" t="s">
        <v>301</v>
      </c>
      <c r="C47" s="5">
        <f>SUMIFS(Exploded_Detail_Relevant!$G$2:$G$491,Exploded_Detail_Relevant!$A$2:$A$491,$A47,Exploded_Detail_Relevant!$F$2:$F$491,$B47)</f>
        <v>604801</v>
      </c>
      <c r="D47">
        <f>COUNTIFS(Exploded_Detail_Relevant!$A$2:$A$491,$A47,Exploded_Detail_Relevant!$F$2:$F$491,$B47)</f>
        <v>3</v>
      </c>
    </row>
    <row r="48" spans="1:4" x14ac:dyDescent="0.35">
      <c r="A48" t="s">
        <v>31</v>
      </c>
      <c r="B48" t="s">
        <v>304</v>
      </c>
      <c r="C48" s="5">
        <f>SUMIFS(Exploded_Detail_Relevant!$G$2:$G$491,Exploded_Detail_Relevant!$A$2:$A$491,$A48,Exploded_Detail_Relevant!$F$2:$F$491,$B48)</f>
        <v>967200</v>
      </c>
      <c r="D48">
        <f>COUNTIFS(Exploded_Detail_Relevant!$A$2:$A$491,$A48,Exploded_Detail_Relevant!$F$2:$F$491,$B48)</f>
        <v>2</v>
      </c>
    </row>
    <row r="49" spans="1:4" x14ac:dyDescent="0.35">
      <c r="A49" t="s">
        <v>31</v>
      </c>
      <c r="B49" t="s">
        <v>305</v>
      </c>
      <c r="C49" s="5">
        <f>SUMIFS(Exploded_Detail_Relevant!$G$2:$G$491,Exploded_Detail_Relevant!$A$2:$A$491,$A49,Exploded_Detail_Relevant!$F$2:$F$491,$B49)</f>
        <v>20343779</v>
      </c>
      <c r="D49">
        <f>COUNTIFS(Exploded_Detail_Relevant!$A$2:$A$491,$A49,Exploded_Detail_Relevant!$F$2:$F$491,$B49)</f>
        <v>7</v>
      </c>
    </row>
    <row r="50" spans="1:4" x14ac:dyDescent="0.35">
      <c r="A50" t="s">
        <v>31</v>
      </c>
      <c r="B50" t="s">
        <v>312</v>
      </c>
      <c r="C50" s="5">
        <f>SUMIFS(Exploded_Detail_Relevant!$G$2:$G$491,Exploded_Detail_Relevant!$A$2:$A$491,$A50,Exploded_Detail_Relevant!$F$2:$F$491,$B50)</f>
        <v>3150000</v>
      </c>
      <c r="D50">
        <f>COUNTIFS(Exploded_Detail_Relevant!$A$2:$A$491,$A50,Exploded_Detail_Relevant!$F$2:$F$491,$B50)</f>
        <v>1</v>
      </c>
    </row>
    <row r="51" spans="1:4" x14ac:dyDescent="0.35">
      <c r="A51" t="s">
        <v>31</v>
      </c>
      <c r="B51" t="s">
        <v>313</v>
      </c>
      <c r="C51" s="5">
        <f>SUMIFS(Exploded_Detail_Relevant!$G$2:$G$491,Exploded_Detail_Relevant!$A$2:$A$491,$A51,Exploded_Detail_Relevant!$F$2:$F$491,$B51)</f>
        <v>9945381</v>
      </c>
      <c r="D51">
        <f>COUNTIFS(Exploded_Detail_Relevant!$A$2:$A$491,$A51,Exploded_Detail_Relevant!$F$2:$F$491,$B51)</f>
        <v>3</v>
      </c>
    </row>
    <row r="52" spans="1:4" x14ac:dyDescent="0.35">
      <c r="A52" t="s">
        <v>31</v>
      </c>
      <c r="B52" t="s">
        <v>316</v>
      </c>
      <c r="C52" s="5">
        <f>SUMIFS(Exploded_Detail_Relevant!$G$2:$G$491,Exploded_Detail_Relevant!$A$2:$A$491,$A52,Exploded_Detail_Relevant!$F$2:$F$491,$B52)</f>
        <v>1746800</v>
      </c>
      <c r="D52">
        <f>COUNTIFS(Exploded_Detail_Relevant!$A$2:$A$491,$A52,Exploded_Detail_Relevant!$F$2:$F$491,$B52)</f>
        <v>2</v>
      </c>
    </row>
    <row r="53" spans="1:4" x14ac:dyDescent="0.35">
      <c r="A53" t="s">
        <v>31</v>
      </c>
      <c r="B53" t="s">
        <v>321</v>
      </c>
      <c r="C53" s="5">
        <f>SUMIFS(Exploded_Detail_Relevant!$G$2:$G$491,Exploded_Detail_Relevant!$A$2:$A$491,$A53,Exploded_Detail_Relevant!$F$2:$F$491,$B53)</f>
        <v>6928555</v>
      </c>
      <c r="D53">
        <f>COUNTIFS(Exploded_Detail_Relevant!$A$2:$A$491,$A53,Exploded_Detail_Relevant!$F$2:$F$491,$B53)</f>
        <v>7</v>
      </c>
    </row>
    <row r="54" spans="1:4" x14ac:dyDescent="0.35">
      <c r="A54" t="s">
        <v>31</v>
      </c>
      <c r="B54" t="s">
        <v>326</v>
      </c>
      <c r="C54" s="5">
        <f>SUMIFS(Exploded_Detail_Relevant!$G$2:$G$491,Exploded_Detail_Relevant!$A$2:$A$491,$A54,Exploded_Detail_Relevant!$F$2:$F$491,$B54)</f>
        <v>20505864</v>
      </c>
      <c r="D54">
        <f>COUNTIFS(Exploded_Detail_Relevant!$A$2:$A$491,$A54,Exploded_Detail_Relevant!$F$2:$F$491,$B54)</f>
        <v>9</v>
      </c>
    </row>
    <row r="55" spans="1:4" x14ac:dyDescent="0.35">
      <c r="A55" t="s">
        <v>31</v>
      </c>
      <c r="B55" t="s">
        <v>334</v>
      </c>
      <c r="C55" s="5">
        <f>SUMIFS(Exploded_Detail_Relevant!$G$2:$G$491,Exploded_Detail_Relevant!$A$2:$A$491,$A55,Exploded_Detail_Relevant!$F$2:$F$491,$B55)</f>
        <v>37277633</v>
      </c>
      <c r="D55">
        <f>COUNTIFS(Exploded_Detail_Relevant!$A$2:$A$491,$A55,Exploded_Detail_Relevant!$F$2:$F$491,$B55)</f>
        <v>12</v>
      </c>
    </row>
    <row r="56" spans="1:4" x14ac:dyDescent="0.35">
      <c r="A56" t="s">
        <v>31</v>
      </c>
      <c r="B56" t="s">
        <v>339</v>
      </c>
      <c r="C56" s="5">
        <f>SUMIFS(Exploded_Detail_Relevant!$G$2:$G$491,Exploded_Detail_Relevant!$A$2:$A$491,$A56,Exploded_Detail_Relevant!$F$2:$F$491,$B56)</f>
        <v>2137640</v>
      </c>
      <c r="D56">
        <f>COUNTIFS(Exploded_Detail_Relevant!$A$2:$A$491,$A56,Exploded_Detail_Relevant!$F$2:$F$491,$B56)</f>
        <v>3</v>
      </c>
    </row>
    <row r="57" spans="1:4" x14ac:dyDescent="0.35">
      <c r="A57" t="s">
        <v>31</v>
      </c>
      <c r="B57" t="s">
        <v>342</v>
      </c>
      <c r="C57" s="5">
        <f>SUMIFS(Exploded_Detail_Relevant!$G$2:$G$491,Exploded_Detail_Relevant!$A$2:$A$491,$A57,Exploded_Detail_Relevant!$F$2:$F$491,$B57)</f>
        <v>16130740</v>
      </c>
      <c r="D57">
        <f>COUNTIFS(Exploded_Detail_Relevant!$A$2:$A$491,$A57,Exploded_Detail_Relevant!$F$2:$F$491,$B57)</f>
        <v>9</v>
      </c>
    </row>
    <row r="58" spans="1:4" x14ac:dyDescent="0.35">
      <c r="A58" t="s">
        <v>31</v>
      </c>
      <c r="B58" t="s">
        <v>355</v>
      </c>
      <c r="C58" s="5">
        <f>SUMIFS(Exploded_Detail_Relevant!$G$2:$G$491,Exploded_Detail_Relevant!$A$2:$A$491,$A58,Exploded_Detail_Relevant!$F$2:$F$491,$B58)</f>
        <v>7856829</v>
      </c>
      <c r="D58">
        <f>COUNTIFS(Exploded_Detail_Relevant!$A$2:$A$491,$A58,Exploded_Detail_Relevant!$F$2:$F$491,$B58)</f>
        <v>10</v>
      </c>
    </row>
    <row r="59" spans="1:4" x14ac:dyDescent="0.35">
      <c r="A59" t="s">
        <v>31</v>
      </c>
      <c r="B59" t="s">
        <v>366</v>
      </c>
      <c r="C59" s="5">
        <f>SUMIFS(Exploded_Detail_Relevant!$G$2:$G$491,Exploded_Detail_Relevant!$A$2:$A$491,$A59,Exploded_Detail_Relevant!$F$2:$F$491,$B59)</f>
        <v>1516633</v>
      </c>
      <c r="D59">
        <f>COUNTIFS(Exploded_Detail_Relevant!$A$2:$A$491,$A59,Exploded_Detail_Relevant!$F$2:$F$491,$B59)</f>
        <v>1</v>
      </c>
    </row>
    <row r="60" spans="1:4" x14ac:dyDescent="0.35">
      <c r="A60" t="s">
        <v>31</v>
      </c>
      <c r="B60" t="s">
        <v>367</v>
      </c>
      <c r="C60" s="5">
        <f>SUMIFS(Exploded_Detail_Relevant!$G$2:$G$491,Exploded_Detail_Relevant!$A$2:$A$491,$A60,Exploded_Detail_Relevant!$F$2:$F$491,$B60)</f>
        <v>2945600</v>
      </c>
      <c r="D60">
        <f>COUNTIFS(Exploded_Detail_Relevant!$A$2:$A$491,$A60,Exploded_Detail_Relevant!$F$2:$F$491,$B60)</f>
        <v>3</v>
      </c>
    </row>
    <row r="61" spans="1:4" x14ac:dyDescent="0.35">
      <c r="A61" t="s">
        <v>31</v>
      </c>
      <c r="B61" t="s">
        <v>370</v>
      </c>
      <c r="C61" s="5">
        <f>SUMIFS(Exploded_Detail_Relevant!$G$2:$G$491,Exploded_Detail_Relevant!$A$2:$A$491,$A61,Exploded_Detail_Relevant!$F$2:$F$491,$B61)</f>
        <v>23065607</v>
      </c>
      <c r="D61">
        <f>COUNTIFS(Exploded_Detail_Relevant!$A$2:$A$491,$A61,Exploded_Detail_Relevant!$F$2:$F$491,$B61)</f>
        <v>6</v>
      </c>
    </row>
    <row r="62" spans="1:4" x14ac:dyDescent="0.35">
      <c r="A62" t="s">
        <v>31</v>
      </c>
      <c r="B62" t="s">
        <v>374</v>
      </c>
      <c r="C62" s="5">
        <f>SUMIFS(Exploded_Detail_Relevant!$G$2:$G$491,Exploded_Detail_Relevant!$A$2:$A$491,$A62,Exploded_Detail_Relevant!$F$2:$F$491,$B62)</f>
        <v>14795339</v>
      </c>
      <c r="D62">
        <f>COUNTIFS(Exploded_Detail_Relevant!$A$2:$A$491,$A62,Exploded_Detail_Relevant!$F$2:$F$491,$B62)</f>
        <v>4</v>
      </c>
    </row>
    <row r="63" spans="1:4" x14ac:dyDescent="0.35">
      <c r="A63" t="s">
        <v>31</v>
      </c>
      <c r="B63" t="s">
        <v>377</v>
      </c>
      <c r="C63" s="5">
        <f>SUMIFS(Exploded_Detail_Relevant!$G$2:$G$491,Exploded_Detail_Relevant!$A$2:$A$491,$A63,Exploded_Detail_Relevant!$F$2:$F$491,$B63)</f>
        <v>11291139</v>
      </c>
      <c r="D63">
        <f>COUNTIFS(Exploded_Detail_Relevant!$A$2:$A$491,$A63,Exploded_Detail_Relevant!$F$2:$F$491,$B63)</f>
        <v>3</v>
      </c>
    </row>
    <row r="64" spans="1:4" x14ac:dyDescent="0.35">
      <c r="A64" t="s">
        <v>31</v>
      </c>
      <c r="B64" t="s">
        <v>380</v>
      </c>
      <c r="C64" s="5">
        <f>SUMIFS(Exploded_Detail_Relevant!$G$2:$G$491,Exploded_Detail_Relevant!$A$2:$A$491,$A64,Exploded_Detail_Relevant!$F$2:$F$491,$B64)</f>
        <v>39672256</v>
      </c>
      <c r="D64">
        <f>COUNTIFS(Exploded_Detail_Relevant!$A$2:$A$491,$A64,Exploded_Detail_Relevant!$F$2:$F$491,$B64)</f>
        <v>15</v>
      </c>
    </row>
    <row r="65" spans="1:4" x14ac:dyDescent="0.35">
      <c r="A65" t="s">
        <v>31</v>
      </c>
      <c r="B65" t="s">
        <v>387</v>
      </c>
      <c r="C65" s="5">
        <f>SUMIFS(Exploded_Detail_Relevant!$G$2:$G$491,Exploded_Detail_Relevant!$A$2:$A$491,$A65,Exploded_Detail_Relevant!$F$2:$F$491,$B65)</f>
        <v>1280000</v>
      </c>
      <c r="D65">
        <f>COUNTIFS(Exploded_Detail_Relevant!$A$2:$A$491,$A65,Exploded_Detail_Relevant!$F$2:$F$491,$B65)</f>
        <v>1</v>
      </c>
    </row>
    <row r="66" spans="1:4" x14ac:dyDescent="0.35">
      <c r="A66" t="s">
        <v>31</v>
      </c>
      <c r="B66" t="s">
        <v>388</v>
      </c>
      <c r="C66" s="5">
        <f>SUMIFS(Exploded_Detail_Relevant!$G$2:$G$491,Exploded_Detail_Relevant!$A$2:$A$491,$A66,Exploded_Detail_Relevant!$F$2:$F$491,$B66)</f>
        <v>12400000</v>
      </c>
      <c r="D66">
        <f>COUNTIFS(Exploded_Detail_Relevant!$A$2:$A$491,$A66,Exploded_Detail_Relevant!$F$2:$F$491,$B66)</f>
        <v>2</v>
      </c>
    </row>
    <row r="67" spans="1:4" x14ac:dyDescent="0.35">
      <c r="A67" t="s">
        <v>31</v>
      </c>
      <c r="B67" t="s">
        <v>391</v>
      </c>
      <c r="C67" s="5">
        <f>SUMIFS(Exploded_Detail_Relevant!$G$2:$G$491,Exploded_Detail_Relevant!$A$2:$A$491,$A67,Exploded_Detail_Relevant!$F$2:$F$491,$B67)</f>
        <v>21887357</v>
      </c>
      <c r="D67">
        <f>COUNTIFS(Exploded_Detail_Relevant!$A$2:$A$491,$A67,Exploded_Detail_Relevant!$F$2:$F$491,$B67)</f>
        <v>6</v>
      </c>
    </row>
    <row r="68" spans="1:4" x14ac:dyDescent="0.35">
      <c r="A68" t="s">
        <v>31</v>
      </c>
      <c r="B68" t="s">
        <v>394</v>
      </c>
      <c r="C68" s="5">
        <f>SUMIFS(Exploded_Detail_Relevant!$G$2:$G$491,Exploded_Detail_Relevant!$A$2:$A$491,$A68,Exploded_Detail_Relevant!$F$2:$F$491,$B68)</f>
        <v>5360000</v>
      </c>
      <c r="D68">
        <f>COUNTIFS(Exploded_Detail_Relevant!$A$2:$A$491,$A68,Exploded_Detail_Relevant!$F$2:$F$491,$B68)</f>
        <v>4</v>
      </c>
    </row>
    <row r="69" spans="1:4" x14ac:dyDescent="0.35">
      <c r="A69" t="s">
        <v>31</v>
      </c>
      <c r="B69" t="s">
        <v>399</v>
      </c>
      <c r="C69" s="5">
        <f>SUMIFS(Exploded_Detail_Relevant!$G$2:$G$491,Exploded_Detail_Relevant!$A$2:$A$491,$A69,Exploded_Detail_Relevant!$F$2:$F$491,$B69)</f>
        <v>141752247</v>
      </c>
      <c r="D69">
        <f>COUNTIFS(Exploded_Detail_Relevant!$A$2:$A$491,$A69,Exploded_Detail_Relevant!$F$2:$F$491,$B69)</f>
        <v>9</v>
      </c>
    </row>
    <row r="70" spans="1:4" x14ac:dyDescent="0.35">
      <c r="A70" t="s">
        <v>31</v>
      </c>
      <c r="B70" t="s">
        <v>406</v>
      </c>
      <c r="C70" s="5">
        <f>SUMIFS(Exploded_Detail_Relevant!$G$2:$G$491,Exploded_Detail_Relevant!$A$2:$A$491,$A70,Exploded_Detail_Relevant!$F$2:$F$491,$B70)</f>
        <v>56000</v>
      </c>
      <c r="D70">
        <f>COUNTIFS(Exploded_Detail_Relevant!$A$2:$A$491,$A70,Exploded_Detail_Relevant!$F$2:$F$491,$B70)</f>
        <v>1</v>
      </c>
    </row>
    <row r="71" spans="1:4" x14ac:dyDescent="0.35">
      <c r="A71" t="s">
        <v>31</v>
      </c>
      <c r="B71" t="s">
        <v>409</v>
      </c>
      <c r="C71" s="5">
        <f>SUMIFS(Exploded_Detail_Relevant!$G$2:$G$491,Exploded_Detail_Relevant!$A$2:$A$491,$A71,Exploded_Detail_Relevant!$F$2:$F$491,$B71)</f>
        <v>2084760</v>
      </c>
      <c r="D71">
        <f>COUNTIFS(Exploded_Detail_Relevant!$A$2:$A$491,$A71,Exploded_Detail_Relevant!$F$2:$F$491,$B71)</f>
        <v>1</v>
      </c>
    </row>
    <row r="72" spans="1:4" x14ac:dyDescent="0.35">
      <c r="A72" t="s">
        <v>31</v>
      </c>
      <c r="B72" t="s">
        <v>412</v>
      </c>
      <c r="C72" s="5">
        <f>SUMIFS(Exploded_Detail_Relevant!$G$2:$G$491,Exploded_Detail_Relevant!$A$2:$A$491,$A72,Exploded_Detail_Relevant!$F$2:$F$491,$B72)</f>
        <v>1276718</v>
      </c>
      <c r="D72">
        <f>COUNTIFS(Exploded_Detail_Relevant!$A$2:$A$491,$A72,Exploded_Detail_Relevant!$F$2:$F$491,$B72)</f>
        <v>1</v>
      </c>
    </row>
    <row r="73" spans="1:4" x14ac:dyDescent="0.35">
      <c r="A73" t="s">
        <v>31</v>
      </c>
      <c r="B73" t="s">
        <v>415</v>
      </c>
      <c r="C73" s="5">
        <f>SUMIFS(Exploded_Detail_Relevant!$G$2:$G$491,Exploded_Detail_Relevant!$A$2:$A$491,$A73,Exploded_Detail_Relevant!$F$2:$F$491,$B73)</f>
        <v>859071</v>
      </c>
      <c r="D73">
        <f>COUNTIFS(Exploded_Detail_Relevant!$A$2:$A$491,$A73,Exploded_Detail_Relevant!$F$2:$F$491,$B73)</f>
        <v>2</v>
      </c>
    </row>
    <row r="74" spans="1:4" x14ac:dyDescent="0.35">
      <c r="A74" t="s">
        <v>31</v>
      </c>
      <c r="B74" t="s">
        <v>418</v>
      </c>
      <c r="C74" s="5">
        <f>SUMIFS(Exploded_Detail_Relevant!$G$2:$G$491,Exploded_Detail_Relevant!$A$2:$A$491,$A74,Exploded_Detail_Relevant!$F$2:$F$491,$B74)</f>
        <v>10319124</v>
      </c>
      <c r="D74">
        <f>COUNTIFS(Exploded_Detail_Relevant!$A$2:$A$491,$A74,Exploded_Detail_Relevant!$F$2:$F$491,$B74)</f>
        <v>5</v>
      </c>
    </row>
    <row r="75" spans="1:4" x14ac:dyDescent="0.35">
      <c r="A75" t="s">
        <v>31</v>
      </c>
      <c r="B75" t="s">
        <v>423</v>
      </c>
      <c r="C75" s="5">
        <f>SUMIFS(Exploded_Detail_Relevant!$G$2:$G$491,Exploded_Detail_Relevant!$A$2:$A$491,$A75,Exploded_Detail_Relevant!$F$2:$F$491,$B75)</f>
        <v>707339</v>
      </c>
      <c r="D75">
        <f>COUNTIFS(Exploded_Detail_Relevant!$A$2:$A$491,$A75,Exploded_Detail_Relevant!$F$2:$F$491,$B75)</f>
        <v>2</v>
      </c>
    </row>
    <row r="76" spans="1:4" x14ac:dyDescent="0.35">
      <c r="A76" t="s">
        <v>31</v>
      </c>
      <c r="B76" t="s">
        <v>424</v>
      </c>
      <c r="C76" s="5">
        <f>SUMIFS(Exploded_Detail_Relevant!$G$2:$G$491,Exploded_Detail_Relevant!$A$2:$A$491,$A76,Exploded_Detail_Relevant!$F$2:$F$491,$B76)</f>
        <v>3389994</v>
      </c>
      <c r="D76">
        <f>COUNTIFS(Exploded_Detail_Relevant!$A$2:$A$491,$A76,Exploded_Detail_Relevant!$F$2:$F$491,$B76)</f>
        <v>2</v>
      </c>
    </row>
    <row r="77" spans="1:4" x14ac:dyDescent="0.35">
      <c r="A77" t="s">
        <v>31</v>
      </c>
      <c r="B77" t="s">
        <v>427</v>
      </c>
      <c r="C77" s="5">
        <f>SUMIFS(Exploded_Detail_Relevant!$G$2:$G$491,Exploded_Detail_Relevant!$A$2:$A$491,$A77,Exploded_Detail_Relevant!$F$2:$F$491,$B77)</f>
        <v>36230049</v>
      </c>
      <c r="D77">
        <f>COUNTIFS(Exploded_Detail_Relevant!$A$2:$A$491,$A77,Exploded_Detail_Relevant!$F$2:$F$491,$B77)</f>
        <v>7</v>
      </c>
    </row>
    <row r="78" spans="1:4" x14ac:dyDescent="0.35">
      <c r="A78" t="s">
        <v>31</v>
      </c>
      <c r="B78" t="s">
        <v>428</v>
      </c>
      <c r="C78" s="5">
        <f>SUMIFS(Exploded_Detail_Relevant!$G$2:$G$491,Exploded_Detail_Relevant!$A$2:$A$491,$A78,Exploded_Detail_Relevant!$F$2:$F$491,$B78)</f>
        <v>40075649</v>
      </c>
      <c r="D78">
        <f>COUNTIFS(Exploded_Detail_Relevant!$A$2:$A$491,$A78,Exploded_Detail_Relevant!$F$2:$F$491,$B78)</f>
        <v>11</v>
      </c>
    </row>
    <row r="79" spans="1:4" x14ac:dyDescent="0.35">
      <c r="A79" t="s">
        <v>31</v>
      </c>
      <c r="B79" t="s">
        <v>433</v>
      </c>
      <c r="C79" s="5">
        <f>SUMIFS(Exploded_Detail_Relevant!$G$2:$G$491,Exploded_Detail_Relevant!$A$2:$A$491,$A79,Exploded_Detail_Relevant!$F$2:$F$491,$B79)</f>
        <v>15242786</v>
      </c>
      <c r="D79">
        <f>COUNTIFS(Exploded_Detail_Relevant!$A$2:$A$491,$A79,Exploded_Detail_Relevant!$F$2:$F$491,$B79)</f>
        <v>2</v>
      </c>
    </row>
    <row r="80" spans="1:4" x14ac:dyDescent="0.35">
      <c r="A80" t="s">
        <v>31</v>
      </c>
      <c r="B80" t="s">
        <v>436</v>
      </c>
      <c r="C80" s="5">
        <f>SUMIFS(Exploded_Detail_Relevant!$G$2:$G$491,Exploded_Detail_Relevant!$A$2:$A$491,$A80,Exploded_Detail_Relevant!$F$2:$F$491,$B80)</f>
        <v>766440</v>
      </c>
      <c r="D80">
        <f>COUNTIFS(Exploded_Detail_Relevant!$A$2:$A$491,$A80,Exploded_Detail_Relevant!$F$2:$F$491,$B80)</f>
        <v>1</v>
      </c>
    </row>
    <row r="81" spans="1:4" x14ac:dyDescent="0.35">
      <c r="A81" t="s">
        <v>31</v>
      </c>
      <c r="B81" t="s">
        <v>439</v>
      </c>
      <c r="C81" s="5">
        <f>SUMIFS(Exploded_Detail_Relevant!$G$2:$G$491,Exploded_Detail_Relevant!$A$2:$A$491,$A81,Exploded_Detail_Relevant!$F$2:$F$491,$B81)</f>
        <v>144501782</v>
      </c>
      <c r="D81">
        <f>COUNTIFS(Exploded_Detail_Relevant!$A$2:$A$491,$A81,Exploded_Detail_Relevant!$F$2:$F$491,$B81)</f>
        <v>11</v>
      </c>
    </row>
    <row r="82" spans="1:4" x14ac:dyDescent="0.35">
      <c r="A82" t="s">
        <v>31</v>
      </c>
      <c r="B82" t="s">
        <v>444</v>
      </c>
      <c r="C82" s="5">
        <f>SUMIFS(Exploded_Detail_Relevant!$G$2:$G$491,Exploded_Detail_Relevant!$A$2:$A$491,$A82,Exploded_Detail_Relevant!$F$2:$F$491,$B82)</f>
        <v>6889023</v>
      </c>
      <c r="D82">
        <f>COUNTIFS(Exploded_Detail_Relevant!$A$2:$A$491,$A82,Exploded_Detail_Relevant!$F$2:$F$491,$B82)</f>
        <v>5</v>
      </c>
    </row>
    <row r="83" spans="1:4" x14ac:dyDescent="0.35">
      <c r="A83" t="s">
        <v>31</v>
      </c>
      <c r="B83" t="s">
        <v>449</v>
      </c>
      <c r="C83" s="5">
        <f>SUMIFS(Exploded_Detail_Relevant!$G$2:$G$491,Exploded_Detail_Relevant!$A$2:$A$491,$A83,Exploded_Detail_Relevant!$F$2:$F$491,$B83)</f>
        <v>124800</v>
      </c>
      <c r="D83">
        <f>COUNTIFS(Exploded_Detail_Relevant!$A$2:$A$491,$A83,Exploded_Detail_Relevant!$F$2:$F$491,$B83)</f>
        <v>1</v>
      </c>
    </row>
    <row r="84" spans="1:4" x14ac:dyDescent="0.35">
      <c r="A84" t="s">
        <v>31</v>
      </c>
      <c r="B84" t="s">
        <v>452</v>
      </c>
      <c r="C84" s="5">
        <f>SUMIFS(Exploded_Detail_Relevant!$G$2:$G$491,Exploded_Detail_Relevant!$A$2:$A$491,$A84,Exploded_Detail_Relevant!$F$2:$F$491,$B84)</f>
        <v>31642603</v>
      </c>
      <c r="D84">
        <f>COUNTIFS(Exploded_Detail_Relevant!$A$2:$A$491,$A84,Exploded_Detail_Relevant!$F$2:$F$491,$B84)</f>
        <v>16</v>
      </c>
    </row>
    <row r="85" spans="1:4" x14ac:dyDescent="0.35">
      <c r="A85" t="s">
        <v>31</v>
      </c>
      <c r="B85" t="s">
        <v>469</v>
      </c>
      <c r="C85" s="5">
        <f>SUMIFS(Exploded_Detail_Relevant!$G$2:$G$491,Exploded_Detail_Relevant!$A$2:$A$491,$A85,Exploded_Detail_Relevant!$F$2:$F$491,$B85)</f>
        <v>6961600</v>
      </c>
      <c r="D85">
        <f>COUNTIFS(Exploded_Detail_Relevant!$A$2:$A$491,$A85,Exploded_Detail_Relevant!$F$2:$F$491,$B85)</f>
        <v>6</v>
      </c>
    </row>
    <row r="86" spans="1:4" x14ac:dyDescent="0.35">
      <c r="A86" t="s">
        <v>31</v>
      </c>
      <c r="B86" t="s">
        <v>476</v>
      </c>
      <c r="C86" s="5">
        <f>SUMIFS(Exploded_Detail_Relevant!$G$2:$G$491,Exploded_Detail_Relevant!$A$2:$A$491,$A86,Exploded_Detail_Relevant!$F$2:$F$491,$B86)</f>
        <v>22947156</v>
      </c>
      <c r="D86">
        <f>COUNTIFS(Exploded_Detail_Relevant!$A$2:$A$491,$A86,Exploded_Detail_Relevant!$F$2:$F$491,$B86)</f>
        <v>11</v>
      </c>
    </row>
    <row r="87" spans="1:4" x14ac:dyDescent="0.35">
      <c r="A87" t="s">
        <v>31</v>
      </c>
      <c r="B87" t="s">
        <v>487</v>
      </c>
      <c r="C87" s="5">
        <f>SUMIFS(Exploded_Detail_Relevant!$G$2:$G$491,Exploded_Detail_Relevant!$A$2:$A$491,$A87,Exploded_Detail_Relevant!$F$2:$F$491,$B87)</f>
        <v>428644</v>
      </c>
      <c r="D87">
        <f>COUNTIFS(Exploded_Detail_Relevant!$A$2:$A$491,$A87,Exploded_Detail_Relevant!$F$2:$F$491,$B87)</f>
        <v>1</v>
      </c>
    </row>
    <row r="88" spans="1:4" x14ac:dyDescent="0.35">
      <c r="A88" t="s">
        <v>31</v>
      </c>
      <c r="B88" t="s">
        <v>490</v>
      </c>
      <c r="C88" s="5">
        <f>SUMIFS(Exploded_Detail_Relevant!$G$2:$G$491,Exploded_Detail_Relevant!$A$2:$A$491,$A88,Exploded_Detail_Relevant!$F$2:$F$491,$B88)</f>
        <v>1280000</v>
      </c>
      <c r="D88">
        <f>COUNTIFS(Exploded_Detail_Relevant!$A$2:$A$491,$A88,Exploded_Detail_Relevant!$F$2:$F$491,$B88)</f>
        <v>1</v>
      </c>
    </row>
    <row r="89" spans="1:4" x14ac:dyDescent="0.35">
      <c r="A89" t="s">
        <v>31</v>
      </c>
      <c r="B89" t="s">
        <v>493</v>
      </c>
      <c r="C89" s="5">
        <f>SUMIFS(Exploded_Detail_Relevant!$G$2:$G$491,Exploded_Detail_Relevant!$A$2:$A$491,$A89,Exploded_Detail_Relevant!$F$2:$F$491,$B89)</f>
        <v>91097224</v>
      </c>
      <c r="D89">
        <f>COUNTIFS(Exploded_Detail_Relevant!$A$2:$A$491,$A89,Exploded_Detail_Relevant!$F$2:$F$491,$B89)</f>
        <v>10</v>
      </c>
    </row>
    <row r="90" spans="1:4" x14ac:dyDescent="0.35">
      <c r="A90" t="s">
        <v>31</v>
      </c>
      <c r="B90" t="s">
        <v>496</v>
      </c>
      <c r="C90" s="5">
        <f>SUMIFS(Exploded_Detail_Relevant!$G$2:$G$491,Exploded_Detail_Relevant!$A$2:$A$491,$A90,Exploded_Detail_Relevant!$F$2:$F$491,$B90)</f>
        <v>5184000</v>
      </c>
      <c r="D90">
        <f>COUNTIFS(Exploded_Detail_Relevant!$A$2:$A$491,$A90,Exploded_Detail_Relevant!$F$2:$F$491,$B90)</f>
        <v>1</v>
      </c>
    </row>
    <row r="91" spans="1:4" x14ac:dyDescent="0.35">
      <c r="A91" t="s">
        <v>31</v>
      </c>
      <c r="B91" t="s">
        <v>499</v>
      </c>
      <c r="C91" s="5">
        <f>SUMIFS(Exploded_Detail_Relevant!$G$2:$G$491,Exploded_Detail_Relevant!$A$2:$A$491,$A91,Exploded_Detail_Relevant!$F$2:$F$491,$B91)</f>
        <v>3363601</v>
      </c>
      <c r="D91">
        <f>COUNTIFS(Exploded_Detail_Relevant!$A$2:$A$491,$A91,Exploded_Detail_Relevant!$F$2:$F$491,$B91)</f>
        <v>3</v>
      </c>
    </row>
    <row r="92" spans="1:4" x14ac:dyDescent="0.35">
      <c r="A92" t="s">
        <v>31</v>
      </c>
      <c r="B92" t="s">
        <v>504</v>
      </c>
      <c r="C92" s="5">
        <f>SUMIFS(Exploded_Detail_Relevant!$G$2:$G$491,Exploded_Detail_Relevant!$A$2:$A$491,$A92,Exploded_Detail_Relevant!$F$2:$F$491,$B92)</f>
        <v>15452872</v>
      </c>
      <c r="D92">
        <f>COUNTIFS(Exploded_Detail_Relevant!$A$2:$A$491,$A92,Exploded_Detail_Relevant!$F$2:$F$491,$B92)</f>
        <v>6</v>
      </c>
    </row>
    <row r="93" spans="1:4" x14ac:dyDescent="0.35">
      <c r="A93" t="s">
        <v>31</v>
      </c>
      <c r="B93" t="s">
        <v>507</v>
      </c>
      <c r="C93" s="5">
        <f>SUMIFS(Exploded_Detail_Relevant!$G$2:$G$491,Exploded_Detail_Relevant!$A$2:$A$491,$A93,Exploded_Detail_Relevant!$F$2:$F$491,$B93)</f>
        <v>11529944</v>
      </c>
      <c r="D93">
        <f>COUNTIFS(Exploded_Detail_Relevant!$A$2:$A$491,$A93,Exploded_Detail_Relevant!$F$2:$F$491,$B93)</f>
        <v>2</v>
      </c>
    </row>
    <row r="94" spans="1:4" x14ac:dyDescent="0.35">
      <c r="A94" t="s">
        <v>31</v>
      </c>
      <c r="B94" t="s">
        <v>512</v>
      </c>
      <c r="C94" s="5">
        <f>SUMIFS(Exploded_Detail_Relevant!$G$2:$G$491,Exploded_Detail_Relevant!$A$2:$A$491,$A94,Exploded_Detail_Relevant!$F$2:$F$491,$B94)</f>
        <v>22236581</v>
      </c>
      <c r="D94">
        <f>COUNTIFS(Exploded_Detail_Relevant!$A$2:$A$491,$A94,Exploded_Detail_Relevant!$F$2:$F$491,$B94)</f>
        <v>7</v>
      </c>
    </row>
    <row r="95" spans="1:4" x14ac:dyDescent="0.35">
      <c r="A95" t="s">
        <v>31</v>
      </c>
      <c r="B95" t="s">
        <v>517</v>
      </c>
      <c r="C95" s="5">
        <f>SUMIFS(Exploded_Detail_Relevant!$G$2:$G$491,Exploded_Detail_Relevant!$A$2:$A$491,$A95,Exploded_Detail_Relevant!$F$2:$F$491,$B95)</f>
        <v>3800929</v>
      </c>
      <c r="D95">
        <f>COUNTIFS(Exploded_Detail_Relevant!$A$2:$A$491,$A95,Exploded_Detail_Relevant!$F$2:$F$491,$B95)</f>
        <v>4</v>
      </c>
    </row>
    <row r="96" spans="1:4" x14ac:dyDescent="0.35">
      <c r="A96" t="s">
        <v>31</v>
      </c>
      <c r="B96" t="s">
        <v>522</v>
      </c>
      <c r="C96" s="5">
        <f>SUMIFS(Exploded_Detail_Relevant!$G$2:$G$491,Exploded_Detail_Relevant!$A$2:$A$491,$A96,Exploded_Detail_Relevant!$F$2:$F$491,$B96)</f>
        <v>4800000</v>
      </c>
      <c r="D96">
        <f>COUNTIFS(Exploded_Detail_Relevant!$A$2:$A$491,$A96,Exploded_Detail_Relevant!$F$2:$F$491,$B96)</f>
        <v>1</v>
      </c>
    </row>
    <row r="97" spans="1:4" x14ac:dyDescent="0.35">
      <c r="A97" t="s">
        <v>31</v>
      </c>
      <c r="B97" t="s">
        <v>523</v>
      </c>
      <c r="C97" s="5">
        <f>SUMIFS(Exploded_Detail_Relevant!$G$2:$G$491,Exploded_Detail_Relevant!$A$2:$A$491,$A97,Exploded_Detail_Relevant!$F$2:$F$491,$B97)</f>
        <v>14927739</v>
      </c>
      <c r="D97">
        <f>COUNTIFS(Exploded_Detail_Relevant!$A$2:$A$491,$A97,Exploded_Detail_Relevant!$F$2:$F$491,$B97)</f>
        <v>6</v>
      </c>
    </row>
    <row r="98" spans="1:4" x14ac:dyDescent="0.35">
      <c r="A98" t="s">
        <v>31</v>
      </c>
      <c r="B98" t="s">
        <v>526</v>
      </c>
      <c r="C98" s="5">
        <f>SUMIFS(Exploded_Detail_Relevant!$G$2:$G$491,Exploded_Detail_Relevant!$A$2:$A$491,$A98,Exploded_Detail_Relevant!$F$2:$F$491,$B98)</f>
        <v>4580000</v>
      </c>
      <c r="D98">
        <f>COUNTIFS(Exploded_Detail_Relevant!$A$2:$A$491,$A98,Exploded_Detail_Relevant!$F$2:$F$491,$B98)</f>
        <v>1</v>
      </c>
    </row>
    <row r="99" spans="1:4" x14ac:dyDescent="0.35">
      <c r="A99" t="s">
        <v>31</v>
      </c>
      <c r="B99" t="s">
        <v>527</v>
      </c>
      <c r="C99" s="5">
        <f>SUMIFS(Exploded_Detail_Relevant!$G$2:$G$491,Exploded_Detail_Relevant!$A$2:$A$491,$A99,Exploded_Detail_Relevant!$F$2:$F$491,$B99)</f>
        <v>3150000</v>
      </c>
      <c r="D99">
        <f>COUNTIFS(Exploded_Detail_Relevant!$A$2:$A$491,$A99,Exploded_Detail_Relevant!$F$2:$F$491,$B99)</f>
        <v>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3"/>
  <sheetViews>
    <sheetView workbookViewId="0">
      <pane ySplit="1" topLeftCell="A2" activePane="bottomLeft" state="frozen"/>
      <selection pane="bottomLeft" activeCell="C13" sqref="C13"/>
    </sheetView>
  </sheetViews>
  <sheetFormatPr defaultRowHeight="14.5" x14ac:dyDescent="0.35"/>
  <cols>
    <col min="1" max="2" width="18" customWidth="1"/>
    <col min="3" max="3" width="35.7265625" bestFit="1" customWidth="1"/>
    <col min="4" max="4" width="22" customWidth="1"/>
    <col min="5" max="5" width="18" customWidth="1"/>
  </cols>
  <sheetData>
    <row r="1" spans="1:5" x14ac:dyDescent="0.35">
      <c r="A1" s="4" t="s">
        <v>21</v>
      </c>
      <c r="B1" s="4" t="s">
        <v>22</v>
      </c>
      <c r="C1" s="4" t="s">
        <v>25</v>
      </c>
      <c r="D1" s="4" t="s">
        <v>528</v>
      </c>
      <c r="E1" s="4" t="s">
        <v>529</v>
      </c>
    </row>
    <row r="2" spans="1:5" x14ac:dyDescent="0.35">
      <c r="A2" t="s">
        <v>31</v>
      </c>
      <c r="B2" t="s">
        <v>32</v>
      </c>
      <c r="C2" t="s">
        <v>43</v>
      </c>
      <c r="D2" s="5">
        <f>SUMIFS(Exploded_Detail_Relevant!$G$2:$G$491,Exploded_Detail_Relevant!$A$2:$A$491,$A2,Exploded_Detail_Relevant!$B$2:$B$491,$B2,Exploded_Detail_Relevant!$E$2:$E$491,$C2)</f>
        <v>7501630</v>
      </c>
      <c r="E2">
        <f>COUNTIFS(Exploded_Detail_Relevant!$A$2:$A$491,$A2,Exploded_Detail_Relevant!$B$2:$B$491,$B2,Exploded_Detail_Relevant!$E$2:$E$491,$C2)</f>
        <v>14</v>
      </c>
    </row>
    <row r="3" spans="1:5" x14ac:dyDescent="0.35">
      <c r="A3" t="s">
        <v>31</v>
      </c>
      <c r="B3" t="s">
        <v>32</v>
      </c>
      <c r="C3" t="s">
        <v>48</v>
      </c>
      <c r="D3" s="5">
        <f>SUMIFS(Exploded_Detail_Relevant!$G$2:$G$491,Exploded_Detail_Relevant!$A$2:$A$491,$A3,Exploded_Detail_Relevant!$B$2:$B$491,$B3,Exploded_Detail_Relevant!$E$2:$E$491,$C3)</f>
        <v>78056254</v>
      </c>
      <c r="E3">
        <f>COUNTIFS(Exploded_Detail_Relevant!$A$2:$A$491,$A3,Exploded_Detail_Relevant!$B$2:$B$491,$B3,Exploded_Detail_Relevant!$E$2:$E$491,$C3)</f>
        <v>17</v>
      </c>
    </row>
    <row r="4" spans="1:5" x14ac:dyDescent="0.35">
      <c r="A4" t="s">
        <v>31</v>
      </c>
      <c r="B4" t="s">
        <v>32</v>
      </c>
      <c r="C4" t="s">
        <v>116</v>
      </c>
      <c r="D4" s="5">
        <f>SUMIFS(Exploded_Detail_Relevant!$G$2:$G$491,Exploded_Detail_Relevant!$A$2:$A$491,$A4,Exploded_Detail_Relevant!$B$2:$B$491,$B4,Exploded_Detail_Relevant!$E$2:$E$491,$C4)</f>
        <v>206520000</v>
      </c>
      <c r="E4">
        <f>COUNTIFS(Exploded_Detail_Relevant!$A$2:$A$491,$A4,Exploded_Detail_Relevant!$B$2:$B$491,$B4,Exploded_Detail_Relevant!$E$2:$E$491,$C4)</f>
        <v>11</v>
      </c>
    </row>
    <row r="5" spans="1:5" x14ac:dyDescent="0.35">
      <c r="A5" t="s">
        <v>31</v>
      </c>
      <c r="B5" t="s">
        <v>32</v>
      </c>
      <c r="C5" t="s">
        <v>70</v>
      </c>
      <c r="D5" s="5">
        <f>SUMIFS(Exploded_Detail_Relevant!$G$2:$G$491,Exploded_Detail_Relevant!$A$2:$A$491,$A5,Exploded_Detail_Relevant!$B$2:$B$491,$B5,Exploded_Detail_Relevant!$E$2:$E$491,$C5)</f>
        <v>48441164</v>
      </c>
      <c r="E5">
        <f>COUNTIFS(Exploded_Detail_Relevant!$A$2:$A$491,$A5,Exploded_Detail_Relevant!$B$2:$B$491,$B5,Exploded_Detail_Relevant!$E$2:$E$491,$C5)</f>
        <v>16</v>
      </c>
    </row>
    <row r="6" spans="1:5" x14ac:dyDescent="0.35">
      <c r="A6" t="s">
        <v>31</v>
      </c>
      <c r="B6" t="s">
        <v>32</v>
      </c>
      <c r="C6" t="s">
        <v>51</v>
      </c>
      <c r="D6" s="5">
        <f>SUMIFS(Exploded_Detail_Relevant!$G$2:$G$491,Exploded_Detail_Relevant!$A$2:$A$491,$A6,Exploded_Detail_Relevant!$B$2:$B$491,$B6,Exploded_Detail_Relevant!$E$2:$E$491,$C6)</f>
        <v>54291600</v>
      </c>
      <c r="E6">
        <f>COUNTIFS(Exploded_Detail_Relevant!$A$2:$A$491,$A6,Exploded_Detail_Relevant!$B$2:$B$491,$B6,Exploded_Detail_Relevant!$E$2:$E$491,$C6)</f>
        <v>21</v>
      </c>
    </row>
    <row r="7" spans="1:5" x14ac:dyDescent="0.35">
      <c r="A7" t="s">
        <v>31</v>
      </c>
      <c r="B7" t="s">
        <v>32</v>
      </c>
      <c r="C7" t="s">
        <v>60</v>
      </c>
      <c r="D7" s="5">
        <f>SUMIFS(Exploded_Detail_Relevant!$G$2:$G$491,Exploded_Detail_Relevant!$A$2:$A$491,$A7,Exploded_Detail_Relevant!$B$2:$B$491,$B7,Exploded_Detail_Relevant!$E$2:$E$491,$C7)</f>
        <v>11242000</v>
      </c>
      <c r="E7">
        <f>COUNTIFS(Exploded_Detail_Relevant!$A$2:$A$491,$A7,Exploded_Detail_Relevant!$B$2:$B$491,$B7,Exploded_Detail_Relevant!$E$2:$E$491,$C7)</f>
        <v>3</v>
      </c>
    </row>
    <row r="8" spans="1:5" x14ac:dyDescent="0.35">
      <c r="A8" t="s">
        <v>31</v>
      </c>
      <c r="B8" t="s">
        <v>32</v>
      </c>
      <c r="C8" t="s">
        <v>74</v>
      </c>
      <c r="D8" s="5">
        <f>SUMIFS(Exploded_Detail_Relevant!$G$2:$G$491,Exploded_Detail_Relevant!$A$2:$A$491,$A8,Exploded_Detail_Relevant!$B$2:$B$491,$B8,Exploded_Detail_Relevant!$E$2:$E$491,$C8)</f>
        <v>34739000</v>
      </c>
      <c r="E8">
        <f>COUNTIFS(Exploded_Detail_Relevant!$A$2:$A$491,$A8,Exploded_Detail_Relevant!$B$2:$B$491,$B8,Exploded_Detail_Relevant!$E$2:$E$491,$C8)</f>
        <v>2</v>
      </c>
    </row>
    <row r="9" spans="1:5" x14ac:dyDescent="0.35">
      <c r="A9" t="s">
        <v>31</v>
      </c>
      <c r="B9" t="s">
        <v>32</v>
      </c>
      <c r="C9" t="s">
        <v>35</v>
      </c>
      <c r="D9" s="5">
        <f>SUMIFS(Exploded_Detail_Relevant!$G$2:$G$491,Exploded_Detail_Relevant!$A$2:$A$491,$A9,Exploded_Detail_Relevant!$B$2:$B$491,$B9,Exploded_Detail_Relevant!$E$2:$E$491,$C9)</f>
        <v>272817403</v>
      </c>
      <c r="E9">
        <f>COUNTIFS(Exploded_Detail_Relevant!$A$2:$A$491,$A9,Exploded_Detail_Relevant!$B$2:$B$491,$B9,Exploded_Detail_Relevant!$E$2:$E$491,$C9)</f>
        <v>87</v>
      </c>
    </row>
    <row r="10" spans="1:5" x14ac:dyDescent="0.35">
      <c r="A10" t="s">
        <v>31</v>
      </c>
      <c r="B10" t="s">
        <v>32</v>
      </c>
      <c r="C10" t="s">
        <v>90</v>
      </c>
      <c r="D10" s="5">
        <f>SUMIFS(Exploded_Detail_Relevant!$G$2:$G$491,Exploded_Detail_Relevant!$A$2:$A$491,$A10,Exploded_Detail_Relevant!$B$2:$B$491,$B10,Exploded_Detail_Relevant!$E$2:$E$491,$C10)</f>
        <v>35189683</v>
      </c>
      <c r="E10">
        <f>COUNTIFS(Exploded_Detail_Relevant!$A$2:$A$491,$A10,Exploded_Detail_Relevant!$B$2:$B$491,$B10,Exploded_Detail_Relevant!$E$2:$E$491,$C10)</f>
        <v>16</v>
      </c>
    </row>
    <row r="11" spans="1:5" x14ac:dyDescent="0.35">
      <c r="A11" t="s">
        <v>31</v>
      </c>
      <c r="B11" t="s">
        <v>32</v>
      </c>
      <c r="C11" t="s">
        <v>255</v>
      </c>
      <c r="D11" s="5">
        <f>SUMIFS(Exploded_Detail_Relevant!$G$2:$G$491,Exploded_Detail_Relevant!$A$2:$A$491,$A11,Exploded_Detail_Relevant!$B$2:$B$491,$B11,Exploded_Detail_Relevant!$E$2:$E$491,$C11)</f>
        <v>96000</v>
      </c>
      <c r="E11">
        <f>COUNTIFS(Exploded_Detail_Relevant!$A$2:$A$491,$A11,Exploded_Detail_Relevant!$B$2:$B$491,$B11,Exploded_Detail_Relevant!$E$2:$E$491,$C11)</f>
        <v>1</v>
      </c>
    </row>
    <row r="12" spans="1:5" x14ac:dyDescent="0.35">
      <c r="A12" t="s">
        <v>31</v>
      </c>
      <c r="B12" t="s">
        <v>32</v>
      </c>
      <c r="C12" t="s">
        <v>64</v>
      </c>
      <c r="D12" s="5">
        <f>SUMIFS(Exploded_Detail_Relevant!$G$2:$G$491,Exploded_Detail_Relevant!$A$2:$A$491,$A12,Exploded_Detail_Relevant!$B$2:$B$491,$B12,Exploded_Detail_Relevant!$E$2:$E$491,$C12)</f>
        <v>499951</v>
      </c>
      <c r="E12">
        <f>COUNTIFS(Exploded_Detail_Relevant!$A$2:$A$491,$A12,Exploded_Detail_Relevant!$B$2:$B$491,$B12,Exploded_Detail_Relevant!$E$2:$E$491,$C12)</f>
        <v>2</v>
      </c>
    </row>
    <row r="13" spans="1:5" x14ac:dyDescent="0.35">
      <c r="A13" t="s">
        <v>31</v>
      </c>
      <c r="B13" t="s">
        <v>32</v>
      </c>
      <c r="C13" t="s">
        <v>98</v>
      </c>
      <c r="D13" s="5">
        <f>SUMIFS(Exploded_Detail_Relevant!$G$2:$G$491,Exploded_Detail_Relevant!$A$2:$A$491,$A13,Exploded_Detail_Relevant!$B$2:$B$491,$B13,Exploded_Detail_Relevant!$E$2:$E$491,$C13)</f>
        <v>198300</v>
      </c>
      <c r="E13">
        <f>COUNTIFS(Exploded_Detail_Relevant!$A$2:$A$491,$A13,Exploded_Detail_Relevant!$B$2:$B$491,$B13,Exploded_Detail_Relevant!$E$2:$E$491,$C13)</f>
        <v>1</v>
      </c>
    </row>
    <row r="14" spans="1:5" x14ac:dyDescent="0.35">
      <c r="A14" t="s">
        <v>31</v>
      </c>
      <c r="B14" t="s">
        <v>32</v>
      </c>
      <c r="C14" t="s">
        <v>195</v>
      </c>
      <c r="D14" s="5">
        <f>SUMIFS(Exploded_Detail_Relevant!$G$2:$G$491,Exploded_Detail_Relevant!$A$2:$A$491,$A14,Exploded_Detail_Relevant!$B$2:$B$491,$B14,Exploded_Detail_Relevant!$E$2:$E$491,$C14)</f>
        <v>19729143</v>
      </c>
      <c r="E14">
        <f>COUNTIFS(Exploded_Detail_Relevant!$A$2:$A$491,$A14,Exploded_Detail_Relevant!$B$2:$B$491,$B14,Exploded_Detail_Relevant!$E$2:$E$491,$C14)</f>
        <v>2</v>
      </c>
    </row>
    <row r="15" spans="1:5" x14ac:dyDescent="0.35">
      <c r="A15" t="s">
        <v>31</v>
      </c>
      <c r="B15" t="s">
        <v>32</v>
      </c>
      <c r="C15" t="s">
        <v>373</v>
      </c>
      <c r="D15" s="5">
        <f>SUMIFS(Exploded_Detail_Relevant!$G$2:$G$491,Exploded_Detail_Relevant!$A$2:$A$491,$A15,Exploded_Detail_Relevant!$B$2:$B$491,$B15,Exploded_Detail_Relevant!$E$2:$E$491,$C15)</f>
        <v>1139994</v>
      </c>
      <c r="E15">
        <f>COUNTIFS(Exploded_Detail_Relevant!$A$2:$A$491,$A15,Exploded_Detail_Relevant!$B$2:$B$491,$B15,Exploded_Detail_Relevant!$E$2:$E$491,$C15)</f>
        <v>1</v>
      </c>
    </row>
    <row r="16" spans="1:5" x14ac:dyDescent="0.35">
      <c r="A16" t="s">
        <v>31</v>
      </c>
      <c r="B16" t="s">
        <v>45</v>
      </c>
      <c r="C16" t="s">
        <v>43</v>
      </c>
      <c r="D16" s="5">
        <f>SUMIFS(Exploded_Detail_Relevant!$G$2:$G$491,Exploded_Detail_Relevant!$A$2:$A$491,$A16,Exploded_Detail_Relevant!$B$2:$B$491,$B16,Exploded_Detail_Relevant!$E$2:$E$491,$C16)</f>
        <v>35770632</v>
      </c>
      <c r="E16">
        <f>COUNTIFS(Exploded_Detail_Relevant!$A$2:$A$491,$A16,Exploded_Detail_Relevant!$B$2:$B$491,$B16,Exploded_Detail_Relevant!$E$2:$E$491,$C16)</f>
        <v>47</v>
      </c>
    </row>
    <row r="17" spans="1:5" x14ac:dyDescent="0.35">
      <c r="A17" t="s">
        <v>31</v>
      </c>
      <c r="B17" t="s">
        <v>45</v>
      </c>
      <c r="C17" t="s">
        <v>48</v>
      </c>
      <c r="D17" s="5">
        <f>SUMIFS(Exploded_Detail_Relevant!$G$2:$G$491,Exploded_Detail_Relevant!$A$2:$A$491,$A17,Exploded_Detail_Relevant!$B$2:$B$491,$B17,Exploded_Detail_Relevant!$E$2:$E$491,$C17)</f>
        <v>458407741</v>
      </c>
      <c r="E17">
        <f>COUNTIFS(Exploded_Detail_Relevant!$A$2:$A$491,$A17,Exploded_Detail_Relevant!$B$2:$B$491,$B17,Exploded_Detail_Relevant!$E$2:$E$491,$C17)</f>
        <v>31</v>
      </c>
    </row>
    <row r="18" spans="1:5" x14ac:dyDescent="0.35">
      <c r="A18" t="s">
        <v>31</v>
      </c>
      <c r="B18" t="s">
        <v>45</v>
      </c>
      <c r="C18" t="s">
        <v>116</v>
      </c>
      <c r="D18" s="5">
        <f>SUMIFS(Exploded_Detail_Relevant!$G$2:$G$491,Exploded_Detail_Relevant!$A$2:$A$491,$A18,Exploded_Detail_Relevant!$B$2:$B$491,$B18,Exploded_Detail_Relevant!$E$2:$E$491,$C18)</f>
        <v>122605497</v>
      </c>
      <c r="E18">
        <f>COUNTIFS(Exploded_Detail_Relevant!$A$2:$A$491,$A18,Exploded_Detail_Relevant!$B$2:$B$491,$B18,Exploded_Detail_Relevant!$E$2:$E$491,$C18)</f>
        <v>26</v>
      </c>
    </row>
    <row r="19" spans="1:5" x14ac:dyDescent="0.35">
      <c r="A19" t="s">
        <v>31</v>
      </c>
      <c r="B19" t="s">
        <v>45</v>
      </c>
      <c r="C19" t="s">
        <v>70</v>
      </c>
      <c r="D19" s="5">
        <f>SUMIFS(Exploded_Detail_Relevant!$G$2:$G$491,Exploded_Detail_Relevant!$A$2:$A$491,$A19,Exploded_Detail_Relevant!$B$2:$B$491,$B19,Exploded_Detail_Relevant!$E$2:$E$491,$C19)</f>
        <v>70958001</v>
      </c>
      <c r="E19">
        <f>COUNTIFS(Exploded_Detail_Relevant!$A$2:$A$491,$A19,Exploded_Detail_Relevant!$B$2:$B$491,$B19,Exploded_Detail_Relevant!$E$2:$E$491,$C19)</f>
        <v>2</v>
      </c>
    </row>
    <row r="20" spans="1:5" x14ac:dyDescent="0.35">
      <c r="A20" t="s">
        <v>31</v>
      </c>
      <c r="B20" t="s">
        <v>45</v>
      </c>
      <c r="C20" t="s">
        <v>160</v>
      </c>
      <c r="D20" s="5">
        <f>SUMIFS(Exploded_Detail_Relevant!$G$2:$G$491,Exploded_Detail_Relevant!$A$2:$A$491,$A20,Exploded_Detail_Relevant!$B$2:$B$491,$B20,Exploded_Detail_Relevant!$E$2:$E$491,$C20)</f>
        <v>14715309</v>
      </c>
      <c r="E20">
        <f>COUNTIFS(Exploded_Detail_Relevant!$A$2:$A$491,$A20,Exploded_Detail_Relevant!$B$2:$B$491,$B20,Exploded_Detail_Relevant!$E$2:$E$491,$C20)</f>
        <v>14</v>
      </c>
    </row>
    <row r="21" spans="1:5" x14ac:dyDescent="0.35">
      <c r="A21" t="s">
        <v>31</v>
      </c>
      <c r="B21" t="s">
        <v>45</v>
      </c>
      <c r="C21" t="s">
        <v>51</v>
      </c>
      <c r="D21" s="5">
        <f>SUMIFS(Exploded_Detail_Relevant!$G$2:$G$491,Exploded_Detail_Relevant!$A$2:$A$491,$A21,Exploded_Detail_Relevant!$B$2:$B$491,$B21,Exploded_Detail_Relevant!$E$2:$E$491,$C21)</f>
        <v>24459696</v>
      </c>
      <c r="E21">
        <f>COUNTIFS(Exploded_Detail_Relevant!$A$2:$A$491,$A21,Exploded_Detail_Relevant!$B$2:$B$491,$B21,Exploded_Detail_Relevant!$E$2:$E$491,$C21)</f>
        <v>23</v>
      </c>
    </row>
    <row r="22" spans="1:5" x14ac:dyDescent="0.35">
      <c r="A22" t="s">
        <v>31</v>
      </c>
      <c r="B22" t="s">
        <v>45</v>
      </c>
      <c r="C22" t="s">
        <v>293</v>
      </c>
      <c r="D22" s="5">
        <f>SUMIFS(Exploded_Detail_Relevant!$G$2:$G$491,Exploded_Detail_Relevant!$A$2:$A$491,$A22,Exploded_Detail_Relevant!$B$2:$B$491,$B22,Exploded_Detail_Relevant!$E$2:$E$491,$C22)</f>
        <v>13443680</v>
      </c>
      <c r="E22">
        <f>COUNTIFS(Exploded_Detail_Relevant!$A$2:$A$491,$A22,Exploded_Detail_Relevant!$B$2:$B$491,$B22,Exploded_Detail_Relevant!$E$2:$E$491,$C22)</f>
        <v>1</v>
      </c>
    </row>
    <row r="23" spans="1:5" x14ac:dyDescent="0.35">
      <c r="A23" t="s">
        <v>31</v>
      </c>
      <c r="B23" t="s">
        <v>45</v>
      </c>
      <c r="C23" t="s">
        <v>60</v>
      </c>
      <c r="D23" s="5">
        <f>SUMIFS(Exploded_Detail_Relevant!$G$2:$G$491,Exploded_Detail_Relevant!$A$2:$A$491,$A23,Exploded_Detail_Relevant!$B$2:$B$491,$B23,Exploded_Detail_Relevant!$E$2:$E$491,$C23)</f>
        <v>44706088</v>
      </c>
      <c r="E23">
        <f>COUNTIFS(Exploded_Detail_Relevant!$A$2:$A$491,$A23,Exploded_Detail_Relevant!$B$2:$B$491,$B23,Exploded_Detail_Relevant!$E$2:$E$491,$C23)</f>
        <v>4</v>
      </c>
    </row>
    <row r="24" spans="1:5" x14ac:dyDescent="0.35">
      <c r="A24" t="s">
        <v>31</v>
      </c>
      <c r="B24" t="s">
        <v>45</v>
      </c>
      <c r="C24" t="s">
        <v>74</v>
      </c>
      <c r="D24" s="5">
        <f>SUMIFS(Exploded_Detail_Relevant!$G$2:$G$491,Exploded_Detail_Relevant!$A$2:$A$491,$A24,Exploded_Detail_Relevant!$B$2:$B$491,$B24,Exploded_Detail_Relevant!$E$2:$E$491,$C24)</f>
        <v>28008748</v>
      </c>
      <c r="E24">
        <f>COUNTIFS(Exploded_Detail_Relevant!$A$2:$A$491,$A24,Exploded_Detail_Relevant!$B$2:$B$491,$B24,Exploded_Detail_Relevant!$E$2:$E$491,$C24)</f>
        <v>22</v>
      </c>
    </row>
    <row r="25" spans="1:5" x14ac:dyDescent="0.35">
      <c r="A25" t="s">
        <v>31</v>
      </c>
      <c r="B25" t="s">
        <v>45</v>
      </c>
      <c r="C25" t="s">
        <v>35</v>
      </c>
      <c r="D25" s="5">
        <f>SUMIFS(Exploded_Detail_Relevant!$G$2:$G$491,Exploded_Detail_Relevant!$A$2:$A$491,$A25,Exploded_Detail_Relevant!$B$2:$B$491,$B25,Exploded_Detail_Relevant!$E$2:$E$491,$C25)</f>
        <v>252902430</v>
      </c>
      <c r="E25">
        <f>COUNTIFS(Exploded_Detail_Relevant!$A$2:$A$491,$A25,Exploded_Detail_Relevant!$B$2:$B$491,$B25,Exploded_Detail_Relevant!$E$2:$E$491,$C25)</f>
        <v>74</v>
      </c>
    </row>
    <row r="26" spans="1:5" x14ac:dyDescent="0.35">
      <c r="A26" t="s">
        <v>31</v>
      </c>
      <c r="B26" t="s">
        <v>45</v>
      </c>
      <c r="C26" t="s">
        <v>90</v>
      </c>
      <c r="D26" s="5">
        <f>SUMIFS(Exploded_Detail_Relevant!$G$2:$G$491,Exploded_Detail_Relevant!$A$2:$A$491,$A26,Exploded_Detail_Relevant!$B$2:$B$491,$B26,Exploded_Detail_Relevant!$E$2:$E$491,$C26)</f>
        <v>28551299</v>
      </c>
      <c r="E26">
        <f>COUNTIFS(Exploded_Detail_Relevant!$A$2:$A$491,$A26,Exploded_Detail_Relevant!$B$2:$B$491,$B26,Exploded_Detail_Relevant!$E$2:$E$491,$C26)</f>
        <v>21</v>
      </c>
    </row>
    <row r="27" spans="1:5" x14ac:dyDescent="0.35">
      <c r="A27" t="s">
        <v>31</v>
      </c>
      <c r="B27" t="s">
        <v>45</v>
      </c>
      <c r="C27" t="s">
        <v>255</v>
      </c>
      <c r="D27" s="5">
        <f>SUMIFS(Exploded_Detail_Relevant!$G$2:$G$491,Exploded_Detail_Relevant!$A$2:$A$491,$A27,Exploded_Detail_Relevant!$B$2:$B$491,$B27,Exploded_Detail_Relevant!$E$2:$E$491,$C27)</f>
        <v>96000</v>
      </c>
      <c r="E27">
        <f>COUNTIFS(Exploded_Detail_Relevant!$A$2:$A$491,$A27,Exploded_Detail_Relevant!$B$2:$B$491,$B27,Exploded_Detail_Relevant!$E$2:$E$491,$C27)</f>
        <v>1</v>
      </c>
    </row>
    <row r="28" spans="1:5" x14ac:dyDescent="0.35">
      <c r="A28" t="s">
        <v>31</v>
      </c>
      <c r="B28" t="s">
        <v>45</v>
      </c>
      <c r="C28" t="s">
        <v>64</v>
      </c>
      <c r="D28" s="5">
        <f>SUMIFS(Exploded_Detail_Relevant!$G$2:$G$491,Exploded_Detail_Relevant!$A$2:$A$491,$A28,Exploded_Detail_Relevant!$B$2:$B$491,$B28,Exploded_Detail_Relevant!$E$2:$E$491,$C28)</f>
        <v>249951</v>
      </c>
      <c r="E28">
        <f>COUNTIFS(Exploded_Detail_Relevant!$A$2:$A$491,$A28,Exploded_Detail_Relevant!$B$2:$B$491,$B28,Exploded_Detail_Relevant!$E$2:$E$491,$C28)</f>
        <v>1</v>
      </c>
    </row>
    <row r="29" spans="1:5" x14ac:dyDescent="0.35">
      <c r="A29" t="s">
        <v>31</v>
      </c>
      <c r="B29" t="s">
        <v>45</v>
      </c>
      <c r="C29" t="s">
        <v>175</v>
      </c>
      <c r="D29" s="5">
        <f>SUMIFS(Exploded_Detail_Relevant!$G$2:$G$491,Exploded_Detail_Relevant!$A$2:$A$491,$A29,Exploded_Detail_Relevant!$B$2:$B$491,$B29,Exploded_Detail_Relevant!$E$2:$E$491,$C29)</f>
        <v>65222664</v>
      </c>
      <c r="E29">
        <f>COUNTIFS(Exploded_Detail_Relevant!$A$2:$A$491,$A29,Exploded_Detail_Relevant!$B$2:$B$491,$B29,Exploded_Detail_Relevant!$E$2:$E$491,$C29)</f>
        <v>8</v>
      </c>
    </row>
    <row r="30" spans="1:5" x14ac:dyDescent="0.35">
      <c r="A30" t="s">
        <v>31</v>
      </c>
      <c r="B30" t="s">
        <v>45</v>
      </c>
      <c r="C30" t="s">
        <v>98</v>
      </c>
      <c r="D30" s="5">
        <f>SUMIFS(Exploded_Detail_Relevant!$G$2:$G$491,Exploded_Detail_Relevant!$A$2:$A$491,$A30,Exploded_Detail_Relevant!$B$2:$B$491,$B30,Exploded_Detail_Relevant!$E$2:$E$491,$C30)</f>
        <v>14173283</v>
      </c>
      <c r="E30">
        <f>COUNTIFS(Exploded_Detail_Relevant!$A$2:$A$491,$A30,Exploded_Detail_Relevant!$B$2:$B$491,$B30,Exploded_Detail_Relevant!$E$2:$E$491,$C30)</f>
        <v>10</v>
      </c>
    </row>
    <row r="31" spans="1:5" x14ac:dyDescent="0.35">
      <c r="A31" t="s">
        <v>31</v>
      </c>
      <c r="B31" t="s">
        <v>45</v>
      </c>
      <c r="C31" t="s">
        <v>195</v>
      </c>
      <c r="D31" s="5">
        <f>SUMIFS(Exploded_Detail_Relevant!$G$2:$G$491,Exploded_Detail_Relevant!$A$2:$A$491,$A31,Exploded_Detail_Relevant!$B$2:$B$491,$B31,Exploded_Detail_Relevant!$E$2:$E$491,$C31)</f>
        <v>18332127</v>
      </c>
      <c r="E31">
        <f>COUNTIFS(Exploded_Detail_Relevant!$A$2:$A$491,$A31,Exploded_Detail_Relevant!$B$2:$B$491,$B31,Exploded_Detail_Relevant!$E$2:$E$491,$C31)</f>
        <v>7</v>
      </c>
    </row>
    <row r="32" spans="1:5" x14ac:dyDescent="0.35">
      <c r="A32" t="s">
        <v>31</v>
      </c>
      <c r="B32" t="s">
        <v>45</v>
      </c>
      <c r="C32" t="s">
        <v>331</v>
      </c>
      <c r="D32" s="5">
        <f>SUMIFS(Exploded_Detail_Relevant!$G$2:$G$491,Exploded_Detail_Relevant!$A$2:$A$491,$A32,Exploded_Detail_Relevant!$B$2:$B$491,$B32,Exploded_Detail_Relevant!$E$2:$E$491,$C32)</f>
        <v>2824192</v>
      </c>
      <c r="E32">
        <f>COUNTIFS(Exploded_Detail_Relevant!$A$2:$A$491,$A32,Exploded_Detail_Relevant!$B$2:$B$491,$B32,Exploded_Detail_Relevant!$E$2:$E$491,$C32)</f>
        <v>3</v>
      </c>
    </row>
    <row r="33" spans="1:5" x14ac:dyDescent="0.35">
      <c r="A33" t="s">
        <v>31</v>
      </c>
      <c r="B33" t="s">
        <v>45</v>
      </c>
      <c r="C33" t="s">
        <v>373</v>
      </c>
      <c r="D33" s="5">
        <f>SUMIFS(Exploded_Detail_Relevant!$G$2:$G$491,Exploded_Detail_Relevant!$A$2:$A$491,$A33,Exploded_Detail_Relevant!$B$2:$B$491,$B33,Exploded_Detail_Relevant!$E$2:$E$491,$C33)</f>
        <v>691619</v>
      </c>
      <c r="E33">
        <f>COUNTIFS(Exploded_Detail_Relevant!$A$2:$A$491,$A33,Exploded_Detail_Relevant!$B$2:$B$491,$B33,Exploded_Detail_Relevant!$E$2:$E$491,$C33)</f>
        <v>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89"/>
  <sheetViews>
    <sheetView tabSelected="1" workbookViewId="0">
      <pane ySplit="1" topLeftCell="A26" activePane="bottomLeft" state="frozen"/>
      <selection pane="bottomLeft" activeCell="E103" sqref="E103"/>
    </sheetView>
  </sheetViews>
  <sheetFormatPr defaultRowHeight="14.5" x14ac:dyDescent="0.35"/>
  <cols>
    <col min="1" max="1" width="12" customWidth="1"/>
    <col min="2" max="3" width="55" customWidth="1"/>
    <col min="4" max="4" width="39" customWidth="1"/>
    <col min="5" max="5" width="255.6328125" bestFit="1" customWidth="1"/>
    <col min="6" max="6" width="23" customWidth="1"/>
    <col min="7" max="7" width="18" customWidth="1"/>
    <col min="8" max="8" width="55" customWidth="1"/>
    <col min="9" max="9" width="17" customWidth="1"/>
    <col min="10" max="10" width="13" customWidth="1"/>
    <col min="11" max="12" width="22" customWidth="1"/>
    <col min="13" max="13" width="28" customWidth="1"/>
    <col min="14" max="14" width="23" customWidth="1"/>
    <col min="15" max="15" width="26" customWidth="1"/>
    <col min="16" max="16" width="24" customWidth="1"/>
    <col min="17" max="17" width="13" customWidth="1"/>
    <col min="18" max="18" width="17" customWidth="1"/>
  </cols>
  <sheetData>
    <row r="1" spans="1:18" x14ac:dyDescent="0.35">
      <c r="A1" s="4" t="s">
        <v>23</v>
      </c>
      <c r="B1" s="4" t="s">
        <v>24</v>
      </c>
      <c r="C1" s="4" t="s">
        <v>530</v>
      </c>
      <c r="D1" s="4" t="s">
        <v>25</v>
      </c>
      <c r="E1" s="4" t="s">
        <v>531</v>
      </c>
      <c r="F1" s="4" t="s">
        <v>532</v>
      </c>
      <c r="G1" s="4" t="s">
        <v>533</v>
      </c>
      <c r="H1" s="4" t="s">
        <v>534</v>
      </c>
      <c r="I1" s="4" t="s">
        <v>535</v>
      </c>
      <c r="J1" s="4" t="s">
        <v>536</v>
      </c>
      <c r="K1" s="4" t="s">
        <v>537</v>
      </c>
      <c r="L1" s="4" t="s">
        <v>538</v>
      </c>
      <c r="M1" s="4" t="s">
        <v>28</v>
      </c>
      <c r="N1" s="4" t="s">
        <v>29</v>
      </c>
      <c r="O1" s="4" t="s">
        <v>30</v>
      </c>
      <c r="P1" s="4" t="s">
        <v>539</v>
      </c>
      <c r="Q1" s="4" t="s">
        <v>21</v>
      </c>
      <c r="R1" s="4" t="s">
        <v>22</v>
      </c>
    </row>
    <row r="2" spans="1:18" hidden="1" x14ac:dyDescent="0.35">
      <c r="A2" t="s">
        <v>176</v>
      </c>
      <c r="B2" t="s">
        <v>177</v>
      </c>
      <c r="C2" t="s">
        <v>540</v>
      </c>
      <c r="D2" t="s">
        <v>98</v>
      </c>
      <c r="E2" t="s">
        <v>541</v>
      </c>
      <c r="F2" t="s">
        <v>542</v>
      </c>
      <c r="G2" t="s">
        <v>543</v>
      </c>
      <c r="H2" t="s">
        <v>123</v>
      </c>
      <c r="I2" t="s">
        <v>544</v>
      </c>
      <c r="J2" t="s">
        <v>545</v>
      </c>
      <c r="K2" t="s">
        <v>546</v>
      </c>
      <c r="L2" s="5">
        <v>4032000</v>
      </c>
      <c r="M2" t="s">
        <v>37</v>
      </c>
      <c r="N2" t="s">
        <v>37</v>
      </c>
      <c r="O2" t="s">
        <v>37</v>
      </c>
      <c r="P2" t="b">
        <v>1</v>
      </c>
      <c r="Q2" t="s">
        <v>31</v>
      </c>
      <c r="R2" t="s">
        <v>45</v>
      </c>
    </row>
    <row r="3" spans="1:18" hidden="1" x14ac:dyDescent="0.35">
      <c r="A3" t="s">
        <v>156</v>
      </c>
      <c r="B3" t="s">
        <v>157</v>
      </c>
      <c r="C3" t="s">
        <v>547</v>
      </c>
      <c r="D3" t="s">
        <v>70</v>
      </c>
      <c r="E3" t="s">
        <v>548</v>
      </c>
      <c r="F3" t="s">
        <v>549</v>
      </c>
      <c r="G3" t="s">
        <v>543</v>
      </c>
      <c r="H3" t="s">
        <v>123</v>
      </c>
      <c r="I3" t="s">
        <v>550</v>
      </c>
      <c r="J3" t="s">
        <v>551</v>
      </c>
      <c r="K3" t="s">
        <v>552</v>
      </c>
      <c r="L3" s="5">
        <v>958001</v>
      </c>
      <c r="M3" t="s">
        <v>40</v>
      </c>
      <c r="N3" t="s">
        <v>40</v>
      </c>
      <c r="O3" t="s">
        <v>40</v>
      </c>
      <c r="P3" t="b">
        <v>1</v>
      </c>
      <c r="Q3" t="s">
        <v>31</v>
      </c>
      <c r="R3" t="s">
        <v>45</v>
      </c>
    </row>
    <row r="4" spans="1:18" hidden="1" x14ac:dyDescent="0.35">
      <c r="A4" t="s">
        <v>156</v>
      </c>
      <c r="B4" t="s">
        <v>157</v>
      </c>
      <c r="C4" t="s">
        <v>547</v>
      </c>
      <c r="D4" t="s">
        <v>70</v>
      </c>
      <c r="E4" t="s">
        <v>548</v>
      </c>
      <c r="F4" t="s">
        <v>549</v>
      </c>
      <c r="G4" t="s">
        <v>543</v>
      </c>
      <c r="H4" t="s">
        <v>123</v>
      </c>
      <c r="I4" t="s">
        <v>553</v>
      </c>
      <c r="J4" t="s">
        <v>554</v>
      </c>
      <c r="K4" t="s">
        <v>555</v>
      </c>
      <c r="L4" s="5">
        <v>70000000</v>
      </c>
      <c r="M4" t="s">
        <v>40</v>
      </c>
      <c r="N4" t="s">
        <v>40</v>
      </c>
      <c r="O4" t="s">
        <v>40</v>
      </c>
      <c r="P4" t="b">
        <v>1</v>
      </c>
      <c r="Q4" t="s">
        <v>31</v>
      </c>
      <c r="R4" t="s">
        <v>45</v>
      </c>
    </row>
    <row r="5" spans="1:18" hidden="1" x14ac:dyDescent="0.35">
      <c r="A5" t="s">
        <v>165</v>
      </c>
      <c r="B5" t="s">
        <v>166</v>
      </c>
      <c r="C5" t="s">
        <v>556</v>
      </c>
      <c r="D5" t="s">
        <v>60</v>
      </c>
      <c r="E5" t="s">
        <v>557</v>
      </c>
      <c r="F5" t="s">
        <v>542</v>
      </c>
      <c r="G5" t="s">
        <v>543</v>
      </c>
      <c r="H5" t="s">
        <v>123</v>
      </c>
      <c r="I5" t="s">
        <v>558</v>
      </c>
      <c r="J5" t="s">
        <v>559</v>
      </c>
      <c r="K5" t="s">
        <v>560</v>
      </c>
      <c r="L5" s="5">
        <v>10189</v>
      </c>
      <c r="M5" t="s">
        <v>37</v>
      </c>
      <c r="N5" t="s">
        <v>37</v>
      </c>
      <c r="O5" t="s">
        <v>37</v>
      </c>
      <c r="P5" t="b">
        <v>1</v>
      </c>
      <c r="Q5" t="s">
        <v>31</v>
      </c>
      <c r="R5" t="s">
        <v>45</v>
      </c>
    </row>
    <row r="6" spans="1:18" hidden="1" x14ac:dyDescent="0.35">
      <c r="A6" t="s">
        <v>165</v>
      </c>
      <c r="B6" t="s">
        <v>166</v>
      </c>
      <c r="C6" t="s">
        <v>556</v>
      </c>
      <c r="D6" t="s">
        <v>60</v>
      </c>
      <c r="E6" t="s">
        <v>557</v>
      </c>
      <c r="F6" t="s">
        <v>542</v>
      </c>
      <c r="G6" t="s">
        <v>543</v>
      </c>
      <c r="H6" t="s">
        <v>123</v>
      </c>
      <c r="I6" t="s">
        <v>561</v>
      </c>
      <c r="J6" t="s">
        <v>562</v>
      </c>
      <c r="K6" t="s">
        <v>560</v>
      </c>
      <c r="L6" s="5">
        <v>43400000</v>
      </c>
      <c r="M6" t="s">
        <v>37</v>
      </c>
      <c r="N6" t="s">
        <v>37</v>
      </c>
      <c r="O6" t="s">
        <v>37</v>
      </c>
      <c r="P6" t="b">
        <v>1</v>
      </c>
      <c r="Q6" t="s">
        <v>31</v>
      </c>
      <c r="R6" t="s">
        <v>45</v>
      </c>
    </row>
    <row r="7" spans="1:18" hidden="1" x14ac:dyDescent="0.35">
      <c r="A7" t="s">
        <v>128</v>
      </c>
      <c r="B7" t="s">
        <v>129</v>
      </c>
      <c r="C7" t="s">
        <v>563</v>
      </c>
      <c r="D7" t="s">
        <v>48</v>
      </c>
      <c r="E7" t="s">
        <v>564</v>
      </c>
      <c r="F7" t="s">
        <v>565</v>
      </c>
      <c r="G7" t="s">
        <v>543</v>
      </c>
      <c r="H7" t="s">
        <v>123</v>
      </c>
      <c r="I7" t="s">
        <v>566</v>
      </c>
      <c r="J7" t="s">
        <v>567</v>
      </c>
      <c r="K7" t="s">
        <v>568</v>
      </c>
      <c r="L7" s="5">
        <v>15765919</v>
      </c>
      <c r="M7" t="s">
        <v>37</v>
      </c>
      <c r="N7" t="s">
        <v>37</v>
      </c>
      <c r="O7" t="s">
        <v>40</v>
      </c>
      <c r="P7" t="b">
        <v>1</v>
      </c>
      <c r="Q7" t="s">
        <v>31</v>
      </c>
      <c r="R7" t="s">
        <v>45</v>
      </c>
    </row>
    <row r="8" spans="1:18" hidden="1" x14ac:dyDescent="0.35">
      <c r="A8" t="s">
        <v>136</v>
      </c>
      <c r="B8" t="s">
        <v>137</v>
      </c>
      <c r="C8" t="s">
        <v>569</v>
      </c>
      <c r="D8" t="s">
        <v>48</v>
      </c>
      <c r="E8" t="s">
        <v>570</v>
      </c>
      <c r="F8" t="s">
        <v>542</v>
      </c>
      <c r="G8" t="s">
        <v>543</v>
      </c>
      <c r="H8" t="s">
        <v>123</v>
      </c>
      <c r="I8" t="s">
        <v>571</v>
      </c>
      <c r="J8" t="s">
        <v>572</v>
      </c>
      <c r="K8" t="s">
        <v>573</v>
      </c>
      <c r="L8" s="5">
        <v>9480000</v>
      </c>
      <c r="M8" t="s">
        <v>40</v>
      </c>
      <c r="N8" t="s">
        <v>40</v>
      </c>
      <c r="O8" t="s">
        <v>40</v>
      </c>
      <c r="P8" t="b">
        <v>1</v>
      </c>
      <c r="Q8" t="s">
        <v>31</v>
      </c>
      <c r="R8" t="s">
        <v>45</v>
      </c>
    </row>
    <row r="9" spans="1:18" hidden="1" x14ac:dyDescent="0.35">
      <c r="A9" t="s">
        <v>161</v>
      </c>
      <c r="B9" t="s">
        <v>162</v>
      </c>
      <c r="C9" t="s">
        <v>574</v>
      </c>
      <c r="D9" t="s">
        <v>51</v>
      </c>
      <c r="E9" t="s">
        <v>575</v>
      </c>
      <c r="F9" t="s">
        <v>565</v>
      </c>
      <c r="G9" t="s">
        <v>543</v>
      </c>
      <c r="H9" t="s">
        <v>123</v>
      </c>
      <c r="I9" t="s">
        <v>576</v>
      </c>
      <c r="J9" t="s">
        <v>577</v>
      </c>
      <c r="K9" t="s">
        <v>568</v>
      </c>
      <c r="L9" s="5">
        <v>2227441</v>
      </c>
      <c r="M9" t="s">
        <v>37</v>
      </c>
      <c r="N9" t="s">
        <v>37</v>
      </c>
      <c r="O9" t="s">
        <v>40</v>
      </c>
      <c r="P9" t="b">
        <v>1</v>
      </c>
      <c r="Q9" t="s">
        <v>31</v>
      </c>
      <c r="R9" t="s">
        <v>45</v>
      </c>
    </row>
    <row r="10" spans="1:18" hidden="1" x14ac:dyDescent="0.35">
      <c r="A10" t="s">
        <v>158</v>
      </c>
      <c r="B10" t="s">
        <v>159</v>
      </c>
      <c r="C10" t="s">
        <v>578</v>
      </c>
      <c r="D10" t="s">
        <v>160</v>
      </c>
      <c r="E10" t="s">
        <v>579</v>
      </c>
      <c r="F10" t="s">
        <v>565</v>
      </c>
      <c r="G10" t="s">
        <v>580</v>
      </c>
      <c r="H10" t="s">
        <v>581</v>
      </c>
      <c r="I10" t="s">
        <v>582</v>
      </c>
      <c r="J10" t="s">
        <v>583</v>
      </c>
      <c r="K10" t="s">
        <v>584</v>
      </c>
      <c r="L10" s="5">
        <v>145648</v>
      </c>
      <c r="M10" t="s">
        <v>37</v>
      </c>
      <c r="N10" t="s">
        <v>37</v>
      </c>
      <c r="O10" t="s">
        <v>40</v>
      </c>
      <c r="P10" t="b">
        <v>1</v>
      </c>
      <c r="Q10" t="s">
        <v>31</v>
      </c>
      <c r="R10" t="s">
        <v>45</v>
      </c>
    </row>
    <row r="11" spans="1:18" hidden="1" x14ac:dyDescent="0.35">
      <c r="A11" t="s">
        <v>158</v>
      </c>
      <c r="B11" t="s">
        <v>159</v>
      </c>
      <c r="C11" t="s">
        <v>578</v>
      </c>
      <c r="D11" t="s">
        <v>160</v>
      </c>
      <c r="E11" t="s">
        <v>579</v>
      </c>
      <c r="F11" t="s">
        <v>565</v>
      </c>
      <c r="G11" t="s">
        <v>580</v>
      </c>
      <c r="H11" t="s">
        <v>581</v>
      </c>
      <c r="I11" t="s">
        <v>585</v>
      </c>
      <c r="J11" t="s">
        <v>586</v>
      </c>
      <c r="K11" t="s">
        <v>584</v>
      </c>
      <c r="L11" s="5">
        <v>1956539</v>
      </c>
      <c r="M11" t="s">
        <v>37</v>
      </c>
      <c r="N11" t="s">
        <v>37</v>
      </c>
      <c r="O11" t="s">
        <v>40</v>
      </c>
      <c r="P11" t="b">
        <v>1</v>
      </c>
      <c r="Q11" t="s">
        <v>31</v>
      </c>
      <c r="R11" t="s">
        <v>45</v>
      </c>
    </row>
    <row r="12" spans="1:18" hidden="1" x14ac:dyDescent="0.35">
      <c r="A12" t="s">
        <v>138</v>
      </c>
      <c r="B12" t="s">
        <v>139</v>
      </c>
      <c r="C12" t="s">
        <v>587</v>
      </c>
      <c r="D12" t="s">
        <v>48</v>
      </c>
      <c r="E12" t="s">
        <v>588</v>
      </c>
      <c r="F12" t="s">
        <v>565</v>
      </c>
      <c r="G12" t="s">
        <v>543</v>
      </c>
      <c r="H12" t="s">
        <v>123</v>
      </c>
      <c r="I12" t="s">
        <v>589</v>
      </c>
      <c r="J12" t="s">
        <v>590</v>
      </c>
      <c r="K12" t="s">
        <v>591</v>
      </c>
      <c r="L12" s="5">
        <v>13140</v>
      </c>
      <c r="M12" t="s">
        <v>37</v>
      </c>
      <c r="N12" t="s">
        <v>37</v>
      </c>
      <c r="O12" t="s">
        <v>37</v>
      </c>
      <c r="P12" t="b">
        <v>1</v>
      </c>
      <c r="Q12" t="s">
        <v>31</v>
      </c>
      <c r="R12" t="s">
        <v>45</v>
      </c>
    </row>
    <row r="13" spans="1:18" hidden="1" x14ac:dyDescent="0.35">
      <c r="A13" t="s">
        <v>114</v>
      </c>
      <c r="B13" t="s">
        <v>115</v>
      </c>
      <c r="C13" t="s">
        <v>592</v>
      </c>
      <c r="D13" t="s">
        <v>116</v>
      </c>
      <c r="E13" t="s">
        <v>593</v>
      </c>
      <c r="F13" t="s">
        <v>565</v>
      </c>
      <c r="G13" t="s">
        <v>543</v>
      </c>
      <c r="H13" t="s">
        <v>594</v>
      </c>
      <c r="I13" t="s">
        <v>595</v>
      </c>
      <c r="J13" t="s">
        <v>596</v>
      </c>
      <c r="K13" t="s">
        <v>568</v>
      </c>
      <c r="L13" s="5">
        <v>28262658</v>
      </c>
      <c r="M13" t="s">
        <v>37</v>
      </c>
      <c r="N13" t="s">
        <v>37</v>
      </c>
      <c r="O13" t="s">
        <v>40</v>
      </c>
      <c r="P13" t="b">
        <v>1</v>
      </c>
      <c r="Q13" t="s">
        <v>31</v>
      </c>
      <c r="R13" t="s">
        <v>45</v>
      </c>
    </row>
    <row r="14" spans="1:18" hidden="1" x14ac:dyDescent="0.35">
      <c r="A14" t="s">
        <v>114</v>
      </c>
      <c r="B14" t="s">
        <v>115</v>
      </c>
      <c r="C14" t="s">
        <v>592</v>
      </c>
      <c r="D14" t="s">
        <v>116</v>
      </c>
      <c r="E14" t="s">
        <v>593</v>
      </c>
      <c r="F14" t="s">
        <v>565</v>
      </c>
      <c r="G14" t="s">
        <v>543</v>
      </c>
      <c r="H14" t="s">
        <v>594</v>
      </c>
      <c r="I14" t="s">
        <v>597</v>
      </c>
      <c r="J14" t="s">
        <v>598</v>
      </c>
      <c r="K14" t="s">
        <v>591</v>
      </c>
      <c r="L14" s="5">
        <v>28800</v>
      </c>
      <c r="M14" t="s">
        <v>37</v>
      </c>
      <c r="N14" t="s">
        <v>37</v>
      </c>
      <c r="O14" t="s">
        <v>40</v>
      </c>
      <c r="P14" t="b">
        <v>1</v>
      </c>
      <c r="Q14" t="s">
        <v>31</v>
      </c>
      <c r="R14" t="s">
        <v>45</v>
      </c>
    </row>
    <row r="15" spans="1:18" hidden="1" x14ac:dyDescent="0.35">
      <c r="A15" t="s">
        <v>114</v>
      </c>
      <c r="B15" t="s">
        <v>115</v>
      </c>
      <c r="C15" t="s">
        <v>592</v>
      </c>
      <c r="D15" t="s">
        <v>116</v>
      </c>
      <c r="E15" t="s">
        <v>593</v>
      </c>
      <c r="F15" t="s">
        <v>565</v>
      </c>
      <c r="G15" t="s">
        <v>543</v>
      </c>
      <c r="H15" t="s">
        <v>594</v>
      </c>
      <c r="I15" t="s">
        <v>597</v>
      </c>
      <c r="J15" t="s">
        <v>598</v>
      </c>
      <c r="K15" t="s">
        <v>599</v>
      </c>
      <c r="L15" s="5">
        <v>34466</v>
      </c>
      <c r="M15" t="s">
        <v>37</v>
      </c>
      <c r="N15" t="s">
        <v>37</v>
      </c>
      <c r="O15" t="s">
        <v>40</v>
      </c>
      <c r="P15" t="b">
        <v>1</v>
      </c>
      <c r="Q15" t="s">
        <v>31</v>
      </c>
      <c r="R15" t="s">
        <v>45</v>
      </c>
    </row>
    <row r="16" spans="1:18" hidden="1" x14ac:dyDescent="0.35">
      <c r="A16" t="s">
        <v>114</v>
      </c>
      <c r="B16" t="s">
        <v>115</v>
      </c>
      <c r="C16" t="s">
        <v>592</v>
      </c>
      <c r="D16" t="s">
        <v>116</v>
      </c>
      <c r="E16" t="s">
        <v>593</v>
      </c>
      <c r="F16" t="s">
        <v>565</v>
      </c>
      <c r="G16" t="s">
        <v>543</v>
      </c>
      <c r="H16" t="s">
        <v>594</v>
      </c>
      <c r="I16" t="s">
        <v>597</v>
      </c>
      <c r="J16" t="s">
        <v>598</v>
      </c>
      <c r="K16" t="s">
        <v>568</v>
      </c>
      <c r="L16" s="5">
        <v>58500</v>
      </c>
      <c r="M16" t="s">
        <v>37</v>
      </c>
      <c r="N16" t="s">
        <v>37</v>
      </c>
      <c r="O16" t="s">
        <v>40</v>
      </c>
      <c r="P16" t="b">
        <v>1</v>
      </c>
      <c r="Q16" t="s">
        <v>31</v>
      </c>
      <c r="R16" t="s">
        <v>45</v>
      </c>
    </row>
    <row r="17" spans="1:18" hidden="1" x14ac:dyDescent="0.35">
      <c r="A17" t="s">
        <v>171</v>
      </c>
      <c r="B17" t="s">
        <v>172</v>
      </c>
      <c r="C17" t="s">
        <v>600</v>
      </c>
      <c r="D17" t="s">
        <v>35</v>
      </c>
      <c r="E17" t="s">
        <v>601</v>
      </c>
      <c r="F17" t="s">
        <v>565</v>
      </c>
      <c r="G17" t="s">
        <v>543</v>
      </c>
      <c r="H17" t="s">
        <v>123</v>
      </c>
      <c r="I17" t="s">
        <v>602</v>
      </c>
      <c r="J17" t="s">
        <v>603</v>
      </c>
      <c r="K17" t="s">
        <v>573</v>
      </c>
      <c r="L17" s="5">
        <v>572000</v>
      </c>
      <c r="M17" t="s">
        <v>40</v>
      </c>
      <c r="N17" t="s">
        <v>40</v>
      </c>
      <c r="O17" t="s">
        <v>37</v>
      </c>
      <c r="P17" t="b">
        <v>1</v>
      </c>
      <c r="Q17" t="s">
        <v>31</v>
      </c>
      <c r="R17" t="s">
        <v>45</v>
      </c>
    </row>
    <row r="18" spans="1:18" hidden="1" x14ac:dyDescent="0.35">
      <c r="A18" t="s">
        <v>140</v>
      </c>
      <c r="B18" t="s">
        <v>141</v>
      </c>
      <c r="C18" t="s">
        <v>604</v>
      </c>
      <c r="D18" t="s">
        <v>48</v>
      </c>
      <c r="E18" t="s">
        <v>605</v>
      </c>
      <c r="F18" t="s">
        <v>565</v>
      </c>
      <c r="G18" t="s">
        <v>543</v>
      </c>
      <c r="H18" t="s">
        <v>123</v>
      </c>
      <c r="I18" t="s">
        <v>606</v>
      </c>
      <c r="J18" t="s">
        <v>607</v>
      </c>
      <c r="K18" t="s">
        <v>568</v>
      </c>
      <c r="L18" s="5">
        <v>14197643</v>
      </c>
      <c r="M18" t="s">
        <v>40</v>
      </c>
      <c r="N18" t="s">
        <v>40</v>
      </c>
      <c r="O18" t="s">
        <v>40</v>
      </c>
      <c r="P18" t="b">
        <v>1</v>
      </c>
      <c r="Q18" t="s">
        <v>31</v>
      </c>
      <c r="R18" t="s">
        <v>45</v>
      </c>
    </row>
    <row r="19" spans="1:18" hidden="1" x14ac:dyDescent="0.35">
      <c r="A19" t="s">
        <v>144</v>
      </c>
      <c r="B19" t="s">
        <v>145</v>
      </c>
      <c r="C19" t="s">
        <v>608</v>
      </c>
      <c r="D19" t="s">
        <v>116</v>
      </c>
      <c r="E19" t="s">
        <v>609</v>
      </c>
      <c r="F19" t="s">
        <v>565</v>
      </c>
      <c r="G19" t="s">
        <v>543</v>
      </c>
      <c r="H19" t="s">
        <v>123</v>
      </c>
      <c r="I19" t="s">
        <v>610</v>
      </c>
      <c r="J19" t="s">
        <v>611</v>
      </c>
      <c r="K19" t="s">
        <v>612</v>
      </c>
      <c r="L19" s="5">
        <v>588210</v>
      </c>
      <c r="M19" t="s">
        <v>37</v>
      </c>
      <c r="N19" t="s">
        <v>37</v>
      </c>
      <c r="O19" t="s">
        <v>37</v>
      </c>
      <c r="P19" t="b">
        <v>1</v>
      </c>
      <c r="Q19" t="s">
        <v>31</v>
      </c>
      <c r="R19" t="s">
        <v>45</v>
      </c>
    </row>
    <row r="20" spans="1:18" hidden="1" x14ac:dyDescent="0.35">
      <c r="A20" t="s">
        <v>146</v>
      </c>
      <c r="B20" t="s">
        <v>147</v>
      </c>
      <c r="C20" t="s">
        <v>608</v>
      </c>
      <c r="D20" t="s">
        <v>116</v>
      </c>
      <c r="E20" t="s">
        <v>609</v>
      </c>
      <c r="F20" t="s">
        <v>565</v>
      </c>
      <c r="G20" t="s">
        <v>543</v>
      </c>
      <c r="H20" t="s">
        <v>123</v>
      </c>
      <c r="I20" t="s">
        <v>613</v>
      </c>
      <c r="J20" t="s">
        <v>614</v>
      </c>
      <c r="K20" t="s">
        <v>612</v>
      </c>
      <c r="L20" s="5">
        <v>907501</v>
      </c>
      <c r="M20" t="s">
        <v>37</v>
      </c>
      <c r="N20" t="s">
        <v>37</v>
      </c>
      <c r="O20" t="s">
        <v>37</v>
      </c>
      <c r="P20" t="b">
        <v>1</v>
      </c>
      <c r="Q20" t="s">
        <v>31</v>
      </c>
      <c r="R20" t="s">
        <v>45</v>
      </c>
    </row>
    <row r="21" spans="1:18" hidden="1" x14ac:dyDescent="0.35">
      <c r="A21" t="s">
        <v>148</v>
      </c>
      <c r="B21" t="s">
        <v>149</v>
      </c>
      <c r="C21" t="s">
        <v>608</v>
      </c>
      <c r="D21" t="s">
        <v>116</v>
      </c>
      <c r="E21" t="s">
        <v>609</v>
      </c>
      <c r="F21" t="s">
        <v>565</v>
      </c>
      <c r="G21" t="s">
        <v>543</v>
      </c>
      <c r="H21" t="s">
        <v>123</v>
      </c>
      <c r="I21" t="s">
        <v>615</v>
      </c>
      <c r="J21" t="s">
        <v>616</v>
      </c>
      <c r="K21" t="s">
        <v>612</v>
      </c>
      <c r="L21" s="5">
        <v>1242900</v>
      </c>
      <c r="M21" t="s">
        <v>37</v>
      </c>
      <c r="N21" t="s">
        <v>37</v>
      </c>
      <c r="O21" t="s">
        <v>37</v>
      </c>
      <c r="P21" t="b">
        <v>1</v>
      </c>
      <c r="Q21" t="s">
        <v>31</v>
      </c>
      <c r="R21" t="s">
        <v>45</v>
      </c>
    </row>
    <row r="22" spans="1:18" hidden="1" x14ac:dyDescent="0.35">
      <c r="A22" t="s">
        <v>150</v>
      </c>
      <c r="B22" t="s">
        <v>151</v>
      </c>
      <c r="C22" t="s">
        <v>608</v>
      </c>
      <c r="D22" t="s">
        <v>116</v>
      </c>
      <c r="E22" t="s">
        <v>609</v>
      </c>
      <c r="F22" t="s">
        <v>565</v>
      </c>
      <c r="G22" t="s">
        <v>543</v>
      </c>
      <c r="H22" t="s">
        <v>123</v>
      </c>
      <c r="I22" t="s">
        <v>617</v>
      </c>
      <c r="J22" t="s">
        <v>618</v>
      </c>
      <c r="K22" t="s">
        <v>612</v>
      </c>
      <c r="L22" s="5">
        <v>867252</v>
      </c>
      <c r="M22" t="s">
        <v>37</v>
      </c>
      <c r="N22" t="s">
        <v>37</v>
      </c>
      <c r="O22" t="s">
        <v>37</v>
      </c>
      <c r="P22" t="b">
        <v>1</v>
      </c>
      <c r="Q22" t="s">
        <v>31</v>
      </c>
      <c r="R22" t="s">
        <v>45</v>
      </c>
    </row>
    <row r="23" spans="1:18" hidden="1" x14ac:dyDescent="0.35">
      <c r="A23" t="s">
        <v>169</v>
      </c>
      <c r="B23" t="s">
        <v>170</v>
      </c>
      <c r="C23" t="s">
        <v>619</v>
      </c>
      <c r="D23" t="s">
        <v>35</v>
      </c>
      <c r="E23" t="s">
        <v>620</v>
      </c>
      <c r="F23" t="s">
        <v>565</v>
      </c>
      <c r="G23" t="s">
        <v>543</v>
      </c>
      <c r="H23" t="s">
        <v>621</v>
      </c>
      <c r="I23" t="s">
        <v>622</v>
      </c>
      <c r="J23" t="s">
        <v>623</v>
      </c>
      <c r="K23" t="s">
        <v>568</v>
      </c>
      <c r="L23" s="5">
        <v>2400000</v>
      </c>
      <c r="M23" t="s">
        <v>37</v>
      </c>
      <c r="N23" t="s">
        <v>37</v>
      </c>
      <c r="O23" t="s">
        <v>37</v>
      </c>
      <c r="P23" t="b">
        <v>1</v>
      </c>
      <c r="Q23" t="s">
        <v>31</v>
      </c>
      <c r="R23" t="s">
        <v>45</v>
      </c>
    </row>
    <row r="24" spans="1:18" hidden="1" x14ac:dyDescent="0.35">
      <c r="A24" t="s">
        <v>624</v>
      </c>
      <c r="B24" t="s">
        <v>625</v>
      </c>
      <c r="C24" t="s">
        <v>626</v>
      </c>
      <c r="D24" t="s">
        <v>627</v>
      </c>
      <c r="E24" t="s">
        <v>628</v>
      </c>
      <c r="F24" t="s">
        <v>629</v>
      </c>
      <c r="G24" t="s">
        <v>543</v>
      </c>
      <c r="H24" t="s">
        <v>123</v>
      </c>
      <c r="I24" t="s">
        <v>630</v>
      </c>
      <c r="J24" t="s">
        <v>631</v>
      </c>
      <c r="K24" t="s">
        <v>632</v>
      </c>
      <c r="L24" s="5">
        <v>573200</v>
      </c>
      <c r="M24" t="s">
        <v>37</v>
      </c>
      <c r="N24" t="s">
        <v>37</v>
      </c>
      <c r="O24" t="s">
        <v>37</v>
      </c>
      <c r="P24" t="b">
        <v>0</v>
      </c>
      <c r="Q24" t="s">
        <v>31</v>
      </c>
      <c r="R24" t="s">
        <v>45</v>
      </c>
    </row>
    <row r="25" spans="1:18" hidden="1" x14ac:dyDescent="0.35">
      <c r="A25" t="s">
        <v>121</v>
      </c>
      <c r="B25" t="s">
        <v>122</v>
      </c>
      <c r="C25" t="s">
        <v>633</v>
      </c>
      <c r="D25" t="s">
        <v>43</v>
      </c>
      <c r="E25" t="s">
        <v>634</v>
      </c>
      <c r="F25" t="s">
        <v>542</v>
      </c>
      <c r="G25" t="s">
        <v>543</v>
      </c>
      <c r="H25" t="s">
        <v>123</v>
      </c>
      <c r="I25" t="s">
        <v>635</v>
      </c>
      <c r="J25" t="s">
        <v>636</v>
      </c>
      <c r="K25" t="s">
        <v>637</v>
      </c>
      <c r="L25" s="5">
        <v>1000000</v>
      </c>
      <c r="M25" t="s">
        <v>40</v>
      </c>
      <c r="N25" t="s">
        <v>40</v>
      </c>
      <c r="O25" t="s">
        <v>37</v>
      </c>
      <c r="P25" t="b">
        <v>1</v>
      </c>
      <c r="Q25" t="s">
        <v>31</v>
      </c>
      <c r="R25" t="s">
        <v>45</v>
      </c>
    </row>
    <row r="26" spans="1:18" x14ac:dyDescent="0.35">
      <c r="A26" t="s">
        <v>124</v>
      </c>
      <c r="B26" t="s">
        <v>125</v>
      </c>
      <c r="C26" t="s">
        <v>638</v>
      </c>
      <c r="D26" t="s">
        <v>43</v>
      </c>
      <c r="E26" t="s">
        <v>639</v>
      </c>
      <c r="F26" t="s">
        <v>542</v>
      </c>
      <c r="G26" t="s">
        <v>543</v>
      </c>
      <c r="H26" t="s">
        <v>123</v>
      </c>
      <c r="I26" t="s">
        <v>640</v>
      </c>
      <c r="J26" t="s">
        <v>641</v>
      </c>
      <c r="K26" t="s">
        <v>642</v>
      </c>
      <c r="L26" s="5">
        <v>864706</v>
      </c>
      <c r="M26" t="s">
        <v>40</v>
      </c>
      <c r="N26" t="s">
        <v>37</v>
      </c>
      <c r="O26" t="s">
        <v>40</v>
      </c>
      <c r="P26" t="b">
        <v>1</v>
      </c>
      <c r="Q26" t="s">
        <v>31</v>
      </c>
      <c r="R26" t="s">
        <v>45</v>
      </c>
    </row>
    <row r="27" spans="1:18" x14ac:dyDescent="0.35">
      <c r="A27" t="s">
        <v>124</v>
      </c>
      <c r="B27" t="s">
        <v>125</v>
      </c>
      <c r="C27" t="s">
        <v>638</v>
      </c>
      <c r="D27" t="s">
        <v>43</v>
      </c>
      <c r="E27" t="s">
        <v>639</v>
      </c>
      <c r="F27" t="s">
        <v>542</v>
      </c>
      <c r="G27" t="s">
        <v>543</v>
      </c>
      <c r="H27" t="s">
        <v>123</v>
      </c>
      <c r="I27" t="s">
        <v>640</v>
      </c>
      <c r="J27" t="s">
        <v>641</v>
      </c>
      <c r="K27" t="s">
        <v>546</v>
      </c>
      <c r="L27" s="5">
        <v>196543</v>
      </c>
      <c r="M27" t="s">
        <v>40</v>
      </c>
      <c r="N27" t="s">
        <v>37</v>
      </c>
      <c r="O27" t="s">
        <v>40</v>
      </c>
      <c r="P27" t="b">
        <v>1</v>
      </c>
      <c r="Q27" t="s">
        <v>31</v>
      </c>
      <c r="R27" t="s">
        <v>45</v>
      </c>
    </row>
    <row r="28" spans="1:18" hidden="1" x14ac:dyDescent="0.35">
      <c r="A28" t="s">
        <v>351</v>
      </c>
      <c r="B28" t="s">
        <v>352</v>
      </c>
      <c r="C28" t="s">
        <v>643</v>
      </c>
      <c r="D28" t="s">
        <v>35</v>
      </c>
      <c r="E28" t="s">
        <v>644</v>
      </c>
      <c r="F28" t="s">
        <v>645</v>
      </c>
      <c r="G28" t="s">
        <v>543</v>
      </c>
      <c r="H28" t="s">
        <v>342</v>
      </c>
      <c r="I28" t="s">
        <v>646</v>
      </c>
      <c r="J28" t="s">
        <v>647</v>
      </c>
      <c r="K28" t="s">
        <v>648</v>
      </c>
      <c r="L28" s="5">
        <v>44680</v>
      </c>
      <c r="M28" t="s">
        <v>37</v>
      </c>
      <c r="N28" t="s">
        <v>37</v>
      </c>
      <c r="O28" t="s">
        <v>37</v>
      </c>
      <c r="P28" t="b">
        <v>1</v>
      </c>
      <c r="Q28" t="s">
        <v>31</v>
      </c>
      <c r="R28" t="s">
        <v>45</v>
      </c>
    </row>
    <row r="29" spans="1:18" x14ac:dyDescent="0.35">
      <c r="A29" t="s">
        <v>474</v>
      </c>
      <c r="B29" t="s">
        <v>475</v>
      </c>
      <c r="C29" t="s">
        <v>649</v>
      </c>
      <c r="D29" t="s">
        <v>43</v>
      </c>
      <c r="E29" t="s">
        <v>650</v>
      </c>
      <c r="F29" t="s">
        <v>645</v>
      </c>
      <c r="G29" t="s">
        <v>543</v>
      </c>
      <c r="H29" t="s">
        <v>476</v>
      </c>
      <c r="I29" t="s">
        <v>651</v>
      </c>
      <c r="J29" t="s">
        <v>652</v>
      </c>
      <c r="K29" t="s">
        <v>653</v>
      </c>
      <c r="L29" s="5">
        <v>1600000</v>
      </c>
      <c r="M29" t="s">
        <v>40</v>
      </c>
      <c r="N29" t="s">
        <v>37</v>
      </c>
      <c r="O29" t="s">
        <v>40</v>
      </c>
      <c r="P29" t="b">
        <v>1</v>
      </c>
      <c r="Q29" t="s">
        <v>31</v>
      </c>
      <c r="R29" t="s">
        <v>45</v>
      </c>
    </row>
    <row r="30" spans="1:18" hidden="1" x14ac:dyDescent="0.35">
      <c r="A30" t="s">
        <v>236</v>
      </c>
      <c r="B30" t="s">
        <v>237</v>
      </c>
      <c r="C30" t="s">
        <v>654</v>
      </c>
      <c r="D30" t="s">
        <v>90</v>
      </c>
      <c r="E30" t="s">
        <v>655</v>
      </c>
      <c r="F30" t="s">
        <v>645</v>
      </c>
      <c r="G30" t="s">
        <v>543</v>
      </c>
      <c r="H30" t="s">
        <v>235</v>
      </c>
      <c r="I30" t="s">
        <v>656</v>
      </c>
      <c r="J30" t="s">
        <v>657</v>
      </c>
      <c r="K30" t="s">
        <v>658</v>
      </c>
      <c r="L30" s="5">
        <v>104957</v>
      </c>
      <c r="M30" t="s">
        <v>40</v>
      </c>
      <c r="N30" t="s">
        <v>40</v>
      </c>
      <c r="O30" t="s">
        <v>37</v>
      </c>
      <c r="P30" t="b">
        <v>1</v>
      </c>
      <c r="Q30" t="s">
        <v>31</v>
      </c>
      <c r="R30" t="s">
        <v>45</v>
      </c>
    </row>
    <row r="31" spans="1:18" hidden="1" x14ac:dyDescent="0.35">
      <c r="A31" t="s">
        <v>259</v>
      </c>
      <c r="B31" t="s">
        <v>260</v>
      </c>
      <c r="C31" t="s">
        <v>659</v>
      </c>
      <c r="D31" t="s">
        <v>51</v>
      </c>
      <c r="E31" t="s">
        <v>660</v>
      </c>
      <c r="F31" t="s">
        <v>645</v>
      </c>
      <c r="G31" t="s">
        <v>543</v>
      </c>
      <c r="H31" t="s">
        <v>261</v>
      </c>
      <c r="I31" t="s">
        <v>661</v>
      </c>
      <c r="J31" t="s">
        <v>662</v>
      </c>
      <c r="K31" t="s">
        <v>546</v>
      </c>
      <c r="L31" s="5">
        <v>347939</v>
      </c>
      <c r="M31" t="s">
        <v>40</v>
      </c>
      <c r="N31" t="s">
        <v>40</v>
      </c>
      <c r="O31" t="s">
        <v>40</v>
      </c>
      <c r="P31" t="b">
        <v>1</v>
      </c>
      <c r="Q31" t="s">
        <v>31</v>
      </c>
      <c r="R31" t="s">
        <v>45</v>
      </c>
    </row>
    <row r="32" spans="1:18" hidden="1" x14ac:dyDescent="0.35">
      <c r="A32" t="s">
        <v>238</v>
      </c>
      <c r="B32" t="s">
        <v>239</v>
      </c>
      <c r="C32" t="s">
        <v>663</v>
      </c>
      <c r="D32" t="s">
        <v>90</v>
      </c>
      <c r="E32" t="s">
        <v>664</v>
      </c>
      <c r="F32" t="s">
        <v>645</v>
      </c>
      <c r="G32" t="s">
        <v>543</v>
      </c>
      <c r="H32" t="s">
        <v>235</v>
      </c>
      <c r="I32" t="s">
        <v>665</v>
      </c>
      <c r="J32" t="s">
        <v>666</v>
      </c>
      <c r="K32" t="s">
        <v>573</v>
      </c>
      <c r="L32" s="5">
        <v>4806815</v>
      </c>
      <c r="M32" t="s">
        <v>40</v>
      </c>
      <c r="N32" t="s">
        <v>40</v>
      </c>
      <c r="O32" t="s">
        <v>40</v>
      </c>
      <c r="P32" t="b">
        <v>1</v>
      </c>
      <c r="Q32" t="s">
        <v>31</v>
      </c>
      <c r="R32" t="s">
        <v>45</v>
      </c>
    </row>
    <row r="33" spans="1:18" hidden="1" x14ac:dyDescent="0.35">
      <c r="A33" t="s">
        <v>481</v>
      </c>
      <c r="B33" t="s">
        <v>482</v>
      </c>
      <c r="C33" t="s">
        <v>667</v>
      </c>
      <c r="D33" t="s">
        <v>98</v>
      </c>
      <c r="E33" t="s">
        <v>541</v>
      </c>
      <c r="F33" t="s">
        <v>565</v>
      </c>
      <c r="G33" t="s">
        <v>543</v>
      </c>
      <c r="H33" t="s">
        <v>476</v>
      </c>
      <c r="I33" t="s">
        <v>668</v>
      </c>
      <c r="J33" t="s">
        <v>669</v>
      </c>
      <c r="K33" t="s">
        <v>546</v>
      </c>
      <c r="L33" s="5">
        <v>996761</v>
      </c>
      <c r="M33" t="s">
        <v>37</v>
      </c>
      <c r="N33" t="s">
        <v>37</v>
      </c>
      <c r="O33" t="s">
        <v>37</v>
      </c>
      <c r="P33" t="b">
        <v>1</v>
      </c>
      <c r="Q33" t="s">
        <v>31</v>
      </c>
      <c r="R33" t="s">
        <v>45</v>
      </c>
    </row>
    <row r="34" spans="1:18" hidden="1" x14ac:dyDescent="0.35">
      <c r="A34" t="s">
        <v>310</v>
      </c>
      <c r="B34" t="s">
        <v>311</v>
      </c>
      <c r="C34" t="s">
        <v>670</v>
      </c>
      <c r="D34" t="s">
        <v>98</v>
      </c>
      <c r="E34" t="s">
        <v>541</v>
      </c>
      <c r="F34" t="s">
        <v>565</v>
      </c>
      <c r="G34" t="s">
        <v>543</v>
      </c>
      <c r="H34" t="s">
        <v>305</v>
      </c>
      <c r="I34" t="s">
        <v>668</v>
      </c>
      <c r="J34" t="s">
        <v>669</v>
      </c>
      <c r="K34" t="s">
        <v>546</v>
      </c>
      <c r="L34" s="5">
        <v>996761</v>
      </c>
      <c r="M34" t="s">
        <v>37</v>
      </c>
      <c r="N34" t="s">
        <v>37</v>
      </c>
      <c r="O34" t="s">
        <v>37</v>
      </c>
      <c r="P34" t="b">
        <v>1</v>
      </c>
      <c r="Q34" t="s">
        <v>31</v>
      </c>
      <c r="R34" t="s">
        <v>45</v>
      </c>
    </row>
    <row r="35" spans="1:18" hidden="1" x14ac:dyDescent="0.35">
      <c r="A35" t="s">
        <v>483</v>
      </c>
      <c r="B35" t="s">
        <v>484</v>
      </c>
      <c r="C35" t="s">
        <v>671</v>
      </c>
      <c r="D35" t="s">
        <v>98</v>
      </c>
      <c r="E35" t="s">
        <v>541</v>
      </c>
      <c r="F35" t="s">
        <v>565</v>
      </c>
      <c r="G35" t="s">
        <v>543</v>
      </c>
      <c r="H35" t="s">
        <v>476</v>
      </c>
      <c r="I35" t="s">
        <v>668</v>
      </c>
      <c r="J35" t="s">
        <v>669</v>
      </c>
      <c r="K35" t="s">
        <v>546</v>
      </c>
      <c r="L35" s="5">
        <v>996761</v>
      </c>
      <c r="M35" t="s">
        <v>37</v>
      </c>
      <c r="N35" t="s">
        <v>37</v>
      </c>
      <c r="O35" t="s">
        <v>37</v>
      </c>
      <c r="P35" t="b">
        <v>1</v>
      </c>
      <c r="Q35" t="s">
        <v>31</v>
      </c>
      <c r="R35" t="s">
        <v>45</v>
      </c>
    </row>
    <row r="36" spans="1:18" hidden="1" x14ac:dyDescent="0.35">
      <c r="A36" t="s">
        <v>375</v>
      </c>
      <c r="B36" t="s">
        <v>376</v>
      </c>
      <c r="C36" t="s">
        <v>672</v>
      </c>
      <c r="D36" t="s">
        <v>90</v>
      </c>
      <c r="E36" t="s">
        <v>673</v>
      </c>
      <c r="F36" t="s">
        <v>645</v>
      </c>
      <c r="G36" t="s">
        <v>543</v>
      </c>
      <c r="H36" t="s">
        <v>374</v>
      </c>
      <c r="I36" t="s">
        <v>674</v>
      </c>
      <c r="J36" t="s">
        <v>675</v>
      </c>
      <c r="K36" t="s">
        <v>573</v>
      </c>
      <c r="L36" s="5">
        <v>3504200</v>
      </c>
      <c r="M36" t="s">
        <v>40</v>
      </c>
      <c r="N36" t="s">
        <v>40</v>
      </c>
      <c r="O36" t="s">
        <v>40</v>
      </c>
      <c r="P36" t="b">
        <v>1</v>
      </c>
      <c r="Q36" t="s">
        <v>31</v>
      </c>
      <c r="R36" t="s">
        <v>45</v>
      </c>
    </row>
    <row r="37" spans="1:18" hidden="1" x14ac:dyDescent="0.35">
      <c r="A37" t="s">
        <v>240</v>
      </c>
      <c r="B37" t="s">
        <v>241</v>
      </c>
      <c r="C37" t="s">
        <v>676</v>
      </c>
      <c r="D37" t="s">
        <v>64</v>
      </c>
      <c r="E37" t="s">
        <v>677</v>
      </c>
      <c r="F37" t="s">
        <v>645</v>
      </c>
      <c r="G37" t="s">
        <v>543</v>
      </c>
      <c r="H37" t="s">
        <v>235</v>
      </c>
      <c r="I37" t="s">
        <v>678</v>
      </c>
      <c r="J37" t="s">
        <v>679</v>
      </c>
      <c r="K37" t="s">
        <v>680</v>
      </c>
      <c r="L37" s="5">
        <v>249951</v>
      </c>
      <c r="M37" t="s">
        <v>40</v>
      </c>
      <c r="N37" t="s">
        <v>40</v>
      </c>
      <c r="O37" t="s">
        <v>40</v>
      </c>
      <c r="P37" t="b">
        <v>1</v>
      </c>
      <c r="Q37" t="s">
        <v>31</v>
      </c>
      <c r="R37" t="s">
        <v>45</v>
      </c>
    </row>
    <row r="38" spans="1:18" hidden="1" x14ac:dyDescent="0.35">
      <c r="A38" t="s">
        <v>463</v>
      </c>
      <c r="B38" t="s">
        <v>464</v>
      </c>
      <c r="C38" t="s">
        <v>681</v>
      </c>
      <c r="D38" t="s">
        <v>90</v>
      </c>
      <c r="E38" t="s">
        <v>682</v>
      </c>
      <c r="F38" t="s">
        <v>683</v>
      </c>
      <c r="G38" t="s">
        <v>543</v>
      </c>
      <c r="H38" t="s">
        <v>452</v>
      </c>
      <c r="I38" t="s">
        <v>684</v>
      </c>
      <c r="J38" t="s">
        <v>685</v>
      </c>
      <c r="K38" t="s">
        <v>546</v>
      </c>
      <c r="L38" s="5">
        <v>1200000</v>
      </c>
      <c r="M38" t="s">
        <v>37</v>
      </c>
      <c r="N38" t="s">
        <v>37</v>
      </c>
      <c r="O38" t="s">
        <v>37</v>
      </c>
      <c r="P38" t="b">
        <v>1</v>
      </c>
      <c r="Q38" t="s">
        <v>31</v>
      </c>
      <c r="R38" t="s">
        <v>45</v>
      </c>
    </row>
    <row r="39" spans="1:18" hidden="1" x14ac:dyDescent="0.35">
      <c r="A39" t="s">
        <v>463</v>
      </c>
      <c r="B39" t="s">
        <v>464</v>
      </c>
      <c r="C39" t="s">
        <v>681</v>
      </c>
      <c r="D39" t="s">
        <v>90</v>
      </c>
      <c r="E39" t="s">
        <v>682</v>
      </c>
      <c r="F39" t="s">
        <v>683</v>
      </c>
      <c r="G39" t="s">
        <v>543</v>
      </c>
      <c r="H39" t="s">
        <v>452</v>
      </c>
      <c r="I39" t="s">
        <v>684</v>
      </c>
      <c r="J39" t="s">
        <v>685</v>
      </c>
      <c r="K39" t="s">
        <v>573</v>
      </c>
      <c r="L39" s="5">
        <v>625000</v>
      </c>
      <c r="M39" t="s">
        <v>37</v>
      </c>
      <c r="N39" t="s">
        <v>37</v>
      </c>
      <c r="O39" t="s">
        <v>37</v>
      </c>
      <c r="P39" t="b">
        <v>1</v>
      </c>
      <c r="Q39" t="s">
        <v>31</v>
      </c>
      <c r="R39" t="s">
        <v>45</v>
      </c>
    </row>
    <row r="40" spans="1:18" hidden="1" x14ac:dyDescent="0.35">
      <c r="A40" t="s">
        <v>49</v>
      </c>
      <c r="B40" t="s">
        <v>50</v>
      </c>
      <c r="C40" t="s">
        <v>686</v>
      </c>
      <c r="D40" t="s">
        <v>51</v>
      </c>
      <c r="E40" t="s">
        <v>687</v>
      </c>
      <c r="F40" t="s">
        <v>683</v>
      </c>
      <c r="G40" t="s">
        <v>543</v>
      </c>
      <c r="H40" t="s">
        <v>688</v>
      </c>
      <c r="I40" t="s">
        <v>689</v>
      </c>
      <c r="J40" t="s">
        <v>690</v>
      </c>
      <c r="K40" t="s">
        <v>573</v>
      </c>
      <c r="L40" s="5">
        <v>152000</v>
      </c>
      <c r="M40" t="s">
        <v>40</v>
      </c>
      <c r="N40" t="s">
        <v>40</v>
      </c>
      <c r="O40" t="s">
        <v>37</v>
      </c>
      <c r="P40" t="b">
        <v>1</v>
      </c>
      <c r="Q40" t="s">
        <v>31</v>
      </c>
      <c r="R40" t="s">
        <v>45</v>
      </c>
    </row>
    <row r="41" spans="1:18" hidden="1" x14ac:dyDescent="0.35">
      <c r="A41" t="s">
        <v>49</v>
      </c>
      <c r="B41" t="s">
        <v>50</v>
      </c>
      <c r="C41" t="s">
        <v>686</v>
      </c>
      <c r="D41" t="s">
        <v>51</v>
      </c>
      <c r="E41" t="s">
        <v>687</v>
      </c>
      <c r="F41" t="s">
        <v>683</v>
      </c>
      <c r="G41" t="s">
        <v>543</v>
      </c>
      <c r="H41" t="s">
        <v>688</v>
      </c>
      <c r="I41" t="s">
        <v>691</v>
      </c>
      <c r="J41" t="s">
        <v>692</v>
      </c>
      <c r="K41" t="s">
        <v>573</v>
      </c>
      <c r="L41" s="5">
        <v>2956000</v>
      </c>
      <c r="M41" t="s">
        <v>40</v>
      </c>
      <c r="N41" t="s">
        <v>40</v>
      </c>
      <c r="O41" t="s">
        <v>37</v>
      </c>
      <c r="P41" t="b">
        <v>1</v>
      </c>
      <c r="Q41" t="s">
        <v>31</v>
      </c>
      <c r="R41" t="s">
        <v>45</v>
      </c>
    </row>
    <row r="42" spans="1:18" hidden="1" x14ac:dyDescent="0.35">
      <c r="A42" t="s">
        <v>500</v>
      </c>
      <c r="B42" t="s">
        <v>501</v>
      </c>
      <c r="C42" t="s">
        <v>693</v>
      </c>
      <c r="D42" t="s">
        <v>74</v>
      </c>
      <c r="E42" t="s">
        <v>694</v>
      </c>
      <c r="F42" t="s">
        <v>683</v>
      </c>
      <c r="G42" t="s">
        <v>543</v>
      </c>
      <c r="H42" t="s">
        <v>499</v>
      </c>
      <c r="I42" t="s">
        <v>695</v>
      </c>
      <c r="J42" t="s">
        <v>696</v>
      </c>
      <c r="K42" t="s">
        <v>573</v>
      </c>
      <c r="L42" s="5">
        <v>3150000</v>
      </c>
      <c r="M42" t="s">
        <v>40</v>
      </c>
      <c r="N42" t="s">
        <v>40</v>
      </c>
      <c r="O42" t="s">
        <v>40</v>
      </c>
      <c r="P42" t="b">
        <v>1</v>
      </c>
      <c r="Q42" t="s">
        <v>31</v>
      </c>
      <c r="R42" t="s">
        <v>45</v>
      </c>
    </row>
    <row r="43" spans="1:18" hidden="1" x14ac:dyDescent="0.35">
      <c r="A43" t="s">
        <v>500</v>
      </c>
      <c r="B43" t="s">
        <v>501</v>
      </c>
      <c r="C43" t="s">
        <v>693</v>
      </c>
      <c r="D43" t="s">
        <v>74</v>
      </c>
      <c r="E43" t="s">
        <v>694</v>
      </c>
      <c r="F43" t="s">
        <v>683</v>
      </c>
      <c r="G43" t="s">
        <v>543</v>
      </c>
      <c r="H43" t="s">
        <v>499</v>
      </c>
      <c r="I43" t="s">
        <v>697</v>
      </c>
      <c r="J43" t="s">
        <v>698</v>
      </c>
      <c r="K43" t="s">
        <v>699</v>
      </c>
      <c r="L43" s="5">
        <v>29601</v>
      </c>
      <c r="M43" t="s">
        <v>40</v>
      </c>
      <c r="N43" t="s">
        <v>40</v>
      </c>
      <c r="O43" t="s">
        <v>40</v>
      </c>
      <c r="P43" t="b">
        <v>1</v>
      </c>
      <c r="Q43" t="s">
        <v>31</v>
      </c>
      <c r="R43" t="s">
        <v>45</v>
      </c>
    </row>
    <row r="44" spans="1:18" hidden="1" x14ac:dyDescent="0.35">
      <c r="A44" t="s">
        <v>285</v>
      </c>
      <c r="B44" t="s">
        <v>286</v>
      </c>
      <c r="C44" t="s">
        <v>700</v>
      </c>
      <c r="D44" t="s">
        <v>90</v>
      </c>
      <c r="E44" t="s">
        <v>701</v>
      </c>
      <c r="F44" t="s">
        <v>565</v>
      </c>
      <c r="G44" t="s">
        <v>543</v>
      </c>
      <c r="H44" t="s">
        <v>280</v>
      </c>
      <c r="I44" t="s">
        <v>702</v>
      </c>
      <c r="J44" t="s">
        <v>703</v>
      </c>
      <c r="K44" t="s">
        <v>704</v>
      </c>
      <c r="L44" s="5">
        <v>1949828</v>
      </c>
      <c r="M44" t="s">
        <v>40</v>
      </c>
      <c r="N44" t="s">
        <v>40</v>
      </c>
      <c r="O44" t="s">
        <v>37</v>
      </c>
      <c r="P44" t="b">
        <v>1</v>
      </c>
      <c r="Q44" t="s">
        <v>31</v>
      </c>
      <c r="R44" t="s">
        <v>45</v>
      </c>
    </row>
    <row r="45" spans="1:18" hidden="1" x14ac:dyDescent="0.35">
      <c r="A45" t="s">
        <v>285</v>
      </c>
      <c r="B45" t="s">
        <v>286</v>
      </c>
      <c r="C45" t="s">
        <v>700</v>
      </c>
      <c r="D45" t="s">
        <v>90</v>
      </c>
      <c r="E45" t="s">
        <v>701</v>
      </c>
      <c r="F45" t="s">
        <v>565</v>
      </c>
      <c r="G45" t="s">
        <v>543</v>
      </c>
      <c r="H45" t="s">
        <v>280</v>
      </c>
      <c r="I45" t="s">
        <v>702</v>
      </c>
      <c r="J45" t="s">
        <v>703</v>
      </c>
      <c r="K45" t="s">
        <v>705</v>
      </c>
      <c r="L45" s="5">
        <v>1895172</v>
      </c>
      <c r="M45" t="s">
        <v>40</v>
      </c>
      <c r="N45" t="s">
        <v>40</v>
      </c>
      <c r="O45" t="s">
        <v>37</v>
      </c>
      <c r="P45" t="b">
        <v>1</v>
      </c>
      <c r="Q45" t="s">
        <v>31</v>
      </c>
      <c r="R45" t="s">
        <v>45</v>
      </c>
    </row>
    <row r="46" spans="1:18" hidden="1" x14ac:dyDescent="0.35">
      <c r="A46" t="s">
        <v>285</v>
      </c>
      <c r="B46" t="s">
        <v>286</v>
      </c>
      <c r="C46" t="s">
        <v>700</v>
      </c>
      <c r="D46" t="s">
        <v>90</v>
      </c>
      <c r="E46" t="s">
        <v>701</v>
      </c>
      <c r="F46" t="s">
        <v>565</v>
      </c>
      <c r="G46" t="s">
        <v>543</v>
      </c>
      <c r="H46" t="s">
        <v>280</v>
      </c>
      <c r="I46" t="s">
        <v>702</v>
      </c>
      <c r="J46" t="s">
        <v>703</v>
      </c>
      <c r="K46" t="s">
        <v>706</v>
      </c>
      <c r="L46" s="5">
        <v>96707</v>
      </c>
      <c r="M46" t="s">
        <v>40</v>
      </c>
      <c r="N46" t="s">
        <v>40</v>
      </c>
      <c r="O46" t="s">
        <v>37</v>
      </c>
      <c r="P46" t="b">
        <v>1</v>
      </c>
      <c r="Q46" t="s">
        <v>31</v>
      </c>
      <c r="R46" t="s">
        <v>45</v>
      </c>
    </row>
    <row r="47" spans="1:18" hidden="1" x14ac:dyDescent="0.35">
      <c r="A47" t="s">
        <v>285</v>
      </c>
      <c r="B47" t="s">
        <v>286</v>
      </c>
      <c r="C47" t="s">
        <v>700</v>
      </c>
      <c r="D47" t="s">
        <v>90</v>
      </c>
      <c r="E47" t="s">
        <v>701</v>
      </c>
      <c r="F47" t="s">
        <v>565</v>
      </c>
      <c r="G47" t="s">
        <v>543</v>
      </c>
      <c r="H47" t="s">
        <v>280</v>
      </c>
      <c r="I47" t="s">
        <v>702</v>
      </c>
      <c r="J47" t="s">
        <v>703</v>
      </c>
      <c r="K47" t="s">
        <v>584</v>
      </c>
      <c r="L47" s="5">
        <v>2460858</v>
      </c>
      <c r="M47" t="s">
        <v>40</v>
      </c>
      <c r="N47" t="s">
        <v>40</v>
      </c>
      <c r="O47" t="s">
        <v>37</v>
      </c>
      <c r="P47" t="b">
        <v>1</v>
      </c>
      <c r="Q47" t="s">
        <v>31</v>
      </c>
      <c r="R47" t="s">
        <v>45</v>
      </c>
    </row>
    <row r="48" spans="1:18" hidden="1" x14ac:dyDescent="0.35">
      <c r="A48" t="s">
        <v>453</v>
      </c>
      <c r="B48" t="s">
        <v>454</v>
      </c>
      <c r="C48" t="s">
        <v>707</v>
      </c>
      <c r="D48" t="s">
        <v>43</v>
      </c>
      <c r="E48" t="s">
        <v>708</v>
      </c>
      <c r="F48" t="s">
        <v>683</v>
      </c>
      <c r="G48" t="s">
        <v>543</v>
      </c>
      <c r="H48" t="s">
        <v>452</v>
      </c>
      <c r="I48" t="s">
        <v>709</v>
      </c>
      <c r="J48" t="s">
        <v>710</v>
      </c>
      <c r="K48" t="s">
        <v>711</v>
      </c>
      <c r="L48" s="5">
        <v>516000</v>
      </c>
      <c r="M48" t="s">
        <v>40</v>
      </c>
      <c r="N48" t="s">
        <v>37</v>
      </c>
      <c r="O48" t="s">
        <v>37</v>
      </c>
      <c r="P48" t="b">
        <v>1</v>
      </c>
      <c r="Q48" t="s">
        <v>31</v>
      </c>
      <c r="R48" t="s">
        <v>45</v>
      </c>
    </row>
    <row r="49" spans="1:18" hidden="1" x14ac:dyDescent="0.35">
      <c r="A49" t="s">
        <v>202</v>
      </c>
      <c r="B49" t="s">
        <v>203</v>
      </c>
      <c r="C49" t="s">
        <v>712</v>
      </c>
      <c r="D49" t="s">
        <v>35</v>
      </c>
      <c r="E49" t="s">
        <v>713</v>
      </c>
      <c r="F49" t="s">
        <v>565</v>
      </c>
      <c r="G49" t="s">
        <v>543</v>
      </c>
      <c r="H49" t="s">
        <v>714</v>
      </c>
      <c r="I49" t="s">
        <v>715</v>
      </c>
      <c r="J49" t="s">
        <v>716</v>
      </c>
      <c r="K49" t="s">
        <v>573</v>
      </c>
      <c r="L49" s="5">
        <v>4621448</v>
      </c>
      <c r="M49" t="s">
        <v>40</v>
      </c>
      <c r="N49" t="s">
        <v>40</v>
      </c>
      <c r="O49" t="s">
        <v>37</v>
      </c>
      <c r="P49" t="b">
        <v>1</v>
      </c>
      <c r="Q49" t="s">
        <v>31</v>
      </c>
      <c r="R49" t="s">
        <v>45</v>
      </c>
    </row>
    <row r="50" spans="1:18" hidden="1" x14ac:dyDescent="0.35">
      <c r="A50" t="s">
        <v>46</v>
      </c>
      <c r="B50" t="s">
        <v>47</v>
      </c>
      <c r="C50" t="s">
        <v>717</v>
      </c>
      <c r="D50" t="s">
        <v>48</v>
      </c>
      <c r="E50" t="s">
        <v>718</v>
      </c>
      <c r="F50" t="s">
        <v>565</v>
      </c>
      <c r="G50" t="s">
        <v>543</v>
      </c>
      <c r="H50" t="s">
        <v>719</v>
      </c>
      <c r="I50" t="s">
        <v>720</v>
      </c>
      <c r="J50" t="s">
        <v>721</v>
      </c>
      <c r="K50" t="s">
        <v>568</v>
      </c>
      <c r="L50" s="5">
        <v>9696318</v>
      </c>
      <c r="M50" t="s">
        <v>40</v>
      </c>
      <c r="N50" t="s">
        <v>40</v>
      </c>
      <c r="O50" t="s">
        <v>40</v>
      </c>
      <c r="P50" t="b">
        <v>1</v>
      </c>
      <c r="Q50" t="s">
        <v>31</v>
      </c>
      <c r="R50" t="s">
        <v>45</v>
      </c>
    </row>
    <row r="51" spans="1:18" hidden="1" x14ac:dyDescent="0.35">
      <c r="A51" t="s">
        <v>46</v>
      </c>
      <c r="B51" t="s">
        <v>47</v>
      </c>
      <c r="C51" t="s">
        <v>717</v>
      </c>
      <c r="D51" t="s">
        <v>48</v>
      </c>
      <c r="E51" t="s">
        <v>718</v>
      </c>
      <c r="F51" t="s">
        <v>565</v>
      </c>
      <c r="G51" t="s">
        <v>543</v>
      </c>
      <c r="H51" t="s">
        <v>719</v>
      </c>
      <c r="I51" t="s">
        <v>722</v>
      </c>
      <c r="J51" t="s">
        <v>723</v>
      </c>
      <c r="K51" t="s">
        <v>568</v>
      </c>
      <c r="L51" s="5">
        <v>34631474</v>
      </c>
      <c r="M51" t="s">
        <v>40</v>
      </c>
      <c r="N51" t="s">
        <v>40</v>
      </c>
      <c r="O51" t="s">
        <v>40</v>
      </c>
      <c r="P51" t="b">
        <v>1</v>
      </c>
      <c r="Q51" t="s">
        <v>31</v>
      </c>
      <c r="R51" t="s">
        <v>45</v>
      </c>
    </row>
    <row r="52" spans="1:18" hidden="1" x14ac:dyDescent="0.35">
      <c r="A52" t="s">
        <v>46</v>
      </c>
      <c r="B52" t="s">
        <v>47</v>
      </c>
      <c r="C52" t="s">
        <v>717</v>
      </c>
      <c r="D52" t="s">
        <v>48</v>
      </c>
      <c r="E52" t="s">
        <v>718</v>
      </c>
      <c r="F52" t="s">
        <v>565</v>
      </c>
      <c r="G52" t="s">
        <v>543</v>
      </c>
      <c r="H52" t="s">
        <v>719</v>
      </c>
      <c r="I52" t="s">
        <v>724</v>
      </c>
      <c r="J52" t="s">
        <v>725</v>
      </c>
      <c r="K52" t="s">
        <v>591</v>
      </c>
      <c r="L52" s="5">
        <v>16253</v>
      </c>
      <c r="M52" t="s">
        <v>40</v>
      </c>
      <c r="N52" t="s">
        <v>40</v>
      </c>
      <c r="O52" t="s">
        <v>40</v>
      </c>
      <c r="P52" t="b">
        <v>1</v>
      </c>
      <c r="Q52" t="s">
        <v>31</v>
      </c>
      <c r="R52" t="s">
        <v>45</v>
      </c>
    </row>
    <row r="53" spans="1:18" hidden="1" x14ac:dyDescent="0.35">
      <c r="A53" t="s">
        <v>46</v>
      </c>
      <c r="B53" t="s">
        <v>47</v>
      </c>
      <c r="C53" t="s">
        <v>717</v>
      </c>
      <c r="D53" t="s">
        <v>48</v>
      </c>
      <c r="E53" t="s">
        <v>718</v>
      </c>
      <c r="F53" t="s">
        <v>565</v>
      </c>
      <c r="G53" t="s">
        <v>543</v>
      </c>
      <c r="H53" t="s">
        <v>719</v>
      </c>
      <c r="I53" t="s">
        <v>726</v>
      </c>
      <c r="J53" t="s">
        <v>727</v>
      </c>
      <c r="K53" t="s">
        <v>568</v>
      </c>
      <c r="L53" s="5">
        <v>86904481</v>
      </c>
      <c r="M53" t="s">
        <v>40</v>
      </c>
      <c r="N53" t="s">
        <v>40</v>
      </c>
      <c r="O53" t="s">
        <v>40</v>
      </c>
      <c r="P53" t="b">
        <v>1</v>
      </c>
      <c r="Q53" t="s">
        <v>31</v>
      </c>
      <c r="R53" t="s">
        <v>45</v>
      </c>
    </row>
    <row r="54" spans="1:18" hidden="1" x14ac:dyDescent="0.35">
      <c r="A54" t="s">
        <v>215</v>
      </c>
      <c r="B54" t="s">
        <v>216</v>
      </c>
      <c r="C54" t="s">
        <v>728</v>
      </c>
      <c r="D54" t="s">
        <v>48</v>
      </c>
      <c r="E54" t="s">
        <v>729</v>
      </c>
      <c r="F54" t="s">
        <v>683</v>
      </c>
      <c r="G54" t="s">
        <v>543</v>
      </c>
      <c r="H54" t="s">
        <v>217</v>
      </c>
      <c r="I54" t="s">
        <v>730</v>
      </c>
      <c r="J54" t="s">
        <v>731</v>
      </c>
      <c r="K54" t="s">
        <v>732</v>
      </c>
      <c r="L54" s="5">
        <v>205202</v>
      </c>
      <c r="M54" t="s">
        <v>37</v>
      </c>
      <c r="N54" t="s">
        <v>37</v>
      </c>
      <c r="O54" t="s">
        <v>37</v>
      </c>
      <c r="P54" t="b">
        <v>1</v>
      </c>
      <c r="Q54" t="s">
        <v>31</v>
      </c>
      <c r="R54" t="s">
        <v>45</v>
      </c>
    </row>
    <row r="55" spans="1:18" hidden="1" x14ac:dyDescent="0.35">
      <c r="A55" t="s">
        <v>215</v>
      </c>
      <c r="B55" t="s">
        <v>216</v>
      </c>
      <c r="C55" t="s">
        <v>728</v>
      </c>
      <c r="D55" t="s">
        <v>48</v>
      </c>
      <c r="E55" t="s">
        <v>729</v>
      </c>
      <c r="F55" t="s">
        <v>683</v>
      </c>
      <c r="G55" t="s">
        <v>543</v>
      </c>
      <c r="H55" t="s">
        <v>217</v>
      </c>
      <c r="I55" t="s">
        <v>730</v>
      </c>
      <c r="J55" t="s">
        <v>731</v>
      </c>
      <c r="K55" t="s">
        <v>733</v>
      </c>
      <c r="L55" s="5">
        <v>564</v>
      </c>
      <c r="M55" t="s">
        <v>37</v>
      </c>
      <c r="N55" t="s">
        <v>37</v>
      </c>
      <c r="O55" t="s">
        <v>37</v>
      </c>
      <c r="P55" t="b">
        <v>1</v>
      </c>
      <c r="Q55" t="s">
        <v>31</v>
      </c>
      <c r="R55" t="s">
        <v>45</v>
      </c>
    </row>
    <row r="56" spans="1:18" hidden="1" x14ac:dyDescent="0.35">
      <c r="A56" t="s">
        <v>215</v>
      </c>
      <c r="B56" t="s">
        <v>216</v>
      </c>
      <c r="C56" t="s">
        <v>728</v>
      </c>
      <c r="D56" t="s">
        <v>48</v>
      </c>
      <c r="E56" t="s">
        <v>729</v>
      </c>
      <c r="F56" t="s">
        <v>683</v>
      </c>
      <c r="G56" t="s">
        <v>543</v>
      </c>
      <c r="H56" t="s">
        <v>217</v>
      </c>
      <c r="I56" t="s">
        <v>734</v>
      </c>
      <c r="J56" t="s">
        <v>735</v>
      </c>
      <c r="K56" t="s">
        <v>736</v>
      </c>
      <c r="L56" s="5">
        <v>3072000</v>
      </c>
      <c r="M56" t="s">
        <v>37</v>
      </c>
      <c r="N56" t="s">
        <v>37</v>
      </c>
      <c r="O56" t="s">
        <v>37</v>
      </c>
      <c r="P56" t="b">
        <v>1</v>
      </c>
      <c r="Q56" t="s">
        <v>31</v>
      </c>
      <c r="R56" t="s">
        <v>45</v>
      </c>
    </row>
    <row r="57" spans="1:18" hidden="1" x14ac:dyDescent="0.35">
      <c r="A57" t="s">
        <v>360</v>
      </c>
      <c r="B57" t="s">
        <v>361</v>
      </c>
      <c r="C57" t="s">
        <v>737</v>
      </c>
      <c r="D57" t="s">
        <v>51</v>
      </c>
      <c r="E57" t="s">
        <v>738</v>
      </c>
      <c r="F57" t="s">
        <v>683</v>
      </c>
      <c r="G57" t="s">
        <v>543</v>
      </c>
      <c r="H57" t="s">
        <v>355</v>
      </c>
      <c r="I57" t="s">
        <v>739</v>
      </c>
      <c r="J57" t="s">
        <v>740</v>
      </c>
      <c r="K57" t="s">
        <v>642</v>
      </c>
      <c r="L57" s="5">
        <v>125381</v>
      </c>
      <c r="M57" t="s">
        <v>40</v>
      </c>
      <c r="N57" t="s">
        <v>40</v>
      </c>
      <c r="O57" t="s">
        <v>37</v>
      </c>
      <c r="P57" t="b">
        <v>1</v>
      </c>
      <c r="Q57" t="s">
        <v>31</v>
      </c>
      <c r="R57" t="s">
        <v>45</v>
      </c>
    </row>
    <row r="58" spans="1:18" hidden="1" x14ac:dyDescent="0.35">
      <c r="A58" t="s">
        <v>360</v>
      </c>
      <c r="B58" t="s">
        <v>361</v>
      </c>
      <c r="C58" t="s">
        <v>737</v>
      </c>
      <c r="D58" t="s">
        <v>51</v>
      </c>
      <c r="E58" t="s">
        <v>738</v>
      </c>
      <c r="F58" t="s">
        <v>683</v>
      </c>
      <c r="G58" t="s">
        <v>543</v>
      </c>
      <c r="H58" t="s">
        <v>355</v>
      </c>
      <c r="I58" t="s">
        <v>739</v>
      </c>
      <c r="J58" t="s">
        <v>740</v>
      </c>
      <c r="K58" t="s">
        <v>546</v>
      </c>
      <c r="L58" s="5">
        <v>885901</v>
      </c>
      <c r="M58" t="s">
        <v>40</v>
      </c>
      <c r="N58" t="s">
        <v>40</v>
      </c>
      <c r="O58" t="s">
        <v>37</v>
      </c>
      <c r="P58" t="b">
        <v>1</v>
      </c>
      <c r="Q58" t="s">
        <v>31</v>
      </c>
      <c r="R58" t="s">
        <v>45</v>
      </c>
    </row>
    <row r="59" spans="1:18" hidden="1" x14ac:dyDescent="0.35">
      <c r="A59" t="s">
        <v>400</v>
      </c>
      <c r="B59" t="s">
        <v>401</v>
      </c>
      <c r="C59" t="s">
        <v>741</v>
      </c>
      <c r="D59" t="s">
        <v>48</v>
      </c>
      <c r="E59" t="s">
        <v>742</v>
      </c>
      <c r="F59" t="s">
        <v>683</v>
      </c>
      <c r="G59" t="s">
        <v>543</v>
      </c>
      <c r="H59" t="s">
        <v>399</v>
      </c>
      <c r="I59" t="s">
        <v>743</v>
      </c>
      <c r="J59" t="s">
        <v>744</v>
      </c>
      <c r="K59" t="s">
        <v>732</v>
      </c>
      <c r="L59" s="5">
        <v>126755</v>
      </c>
      <c r="M59" t="s">
        <v>40</v>
      </c>
      <c r="N59" t="s">
        <v>40</v>
      </c>
      <c r="O59" t="s">
        <v>37</v>
      </c>
      <c r="P59" t="b">
        <v>1</v>
      </c>
      <c r="Q59" t="s">
        <v>31</v>
      </c>
      <c r="R59" t="s">
        <v>45</v>
      </c>
    </row>
    <row r="60" spans="1:18" hidden="1" x14ac:dyDescent="0.35">
      <c r="A60" t="s">
        <v>402</v>
      </c>
      <c r="B60" t="s">
        <v>403</v>
      </c>
      <c r="C60" t="s">
        <v>745</v>
      </c>
      <c r="D60" t="s">
        <v>48</v>
      </c>
      <c r="E60" t="s">
        <v>746</v>
      </c>
      <c r="F60" t="s">
        <v>565</v>
      </c>
      <c r="G60" t="s">
        <v>543</v>
      </c>
      <c r="H60" t="s">
        <v>399</v>
      </c>
      <c r="I60" t="s">
        <v>747</v>
      </c>
      <c r="J60" t="s">
        <v>748</v>
      </c>
      <c r="K60" t="s">
        <v>568</v>
      </c>
      <c r="L60" s="5">
        <v>2593120</v>
      </c>
      <c r="M60" t="s">
        <v>37</v>
      </c>
      <c r="N60" t="s">
        <v>37</v>
      </c>
      <c r="O60" t="s">
        <v>37</v>
      </c>
      <c r="P60" t="b">
        <v>1</v>
      </c>
      <c r="Q60" t="s">
        <v>31</v>
      </c>
      <c r="R60" t="s">
        <v>45</v>
      </c>
    </row>
    <row r="61" spans="1:18" hidden="1" x14ac:dyDescent="0.35">
      <c r="A61" t="s">
        <v>222</v>
      </c>
      <c r="B61" t="s">
        <v>223</v>
      </c>
      <c r="C61" t="s">
        <v>749</v>
      </c>
      <c r="D61" t="s">
        <v>90</v>
      </c>
      <c r="E61" t="s">
        <v>750</v>
      </c>
      <c r="F61" t="s">
        <v>683</v>
      </c>
      <c r="G61" t="s">
        <v>543</v>
      </c>
      <c r="H61" t="s">
        <v>217</v>
      </c>
      <c r="I61" t="s">
        <v>751</v>
      </c>
      <c r="J61" t="s">
        <v>752</v>
      </c>
      <c r="K61" t="s">
        <v>573</v>
      </c>
      <c r="L61" s="5">
        <v>745147</v>
      </c>
      <c r="M61" t="s">
        <v>40</v>
      </c>
      <c r="N61" t="s">
        <v>40</v>
      </c>
      <c r="O61" t="s">
        <v>37</v>
      </c>
      <c r="P61" t="b">
        <v>1</v>
      </c>
      <c r="Q61" t="s">
        <v>31</v>
      </c>
      <c r="R61" t="s">
        <v>45</v>
      </c>
    </row>
    <row r="62" spans="1:18" hidden="1" x14ac:dyDescent="0.35">
      <c r="A62" t="s">
        <v>224</v>
      </c>
      <c r="B62" t="s">
        <v>225</v>
      </c>
      <c r="C62" t="s">
        <v>753</v>
      </c>
      <c r="D62" t="s">
        <v>90</v>
      </c>
      <c r="E62" t="s">
        <v>750</v>
      </c>
      <c r="F62" t="s">
        <v>683</v>
      </c>
      <c r="G62" t="s">
        <v>543</v>
      </c>
      <c r="H62" t="s">
        <v>217</v>
      </c>
      <c r="I62" t="s">
        <v>754</v>
      </c>
      <c r="J62" t="s">
        <v>755</v>
      </c>
      <c r="K62" t="s">
        <v>756</v>
      </c>
      <c r="L62" s="5">
        <v>917985</v>
      </c>
      <c r="M62" t="s">
        <v>40</v>
      </c>
      <c r="N62" t="s">
        <v>40</v>
      </c>
      <c r="O62" t="s">
        <v>37</v>
      </c>
      <c r="P62" t="b">
        <v>1</v>
      </c>
      <c r="Q62" t="s">
        <v>31</v>
      </c>
      <c r="R62" t="s">
        <v>45</v>
      </c>
    </row>
    <row r="63" spans="1:18" hidden="1" x14ac:dyDescent="0.35">
      <c r="A63" t="s">
        <v>220</v>
      </c>
      <c r="B63" t="s">
        <v>221</v>
      </c>
      <c r="C63" t="s">
        <v>757</v>
      </c>
      <c r="D63" t="s">
        <v>90</v>
      </c>
      <c r="E63" t="s">
        <v>758</v>
      </c>
      <c r="F63" t="s">
        <v>683</v>
      </c>
      <c r="G63" t="s">
        <v>543</v>
      </c>
      <c r="H63" t="s">
        <v>217</v>
      </c>
      <c r="I63" t="s">
        <v>759</v>
      </c>
      <c r="J63" t="s">
        <v>760</v>
      </c>
      <c r="K63" t="s">
        <v>761</v>
      </c>
      <c r="L63" s="5">
        <v>500000</v>
      </c>
      <c r="M63" t="s">
        <v>40</v>
      </c>
      <c r="N63" t="s">
        <v>40</v>
      </c>
      <c r="O63" t="s">
        <v>40</v>
      </c>
      <c r="P63" t="b">
        <v>1</v>
      </c>
      <c r="Q63" t="s">
        <v>31</v>
      </c>
      <c r="R63" t="s">
        <v>45</v>
      </c>
    </row>
    <row r="64" spans="1:18" hidden="1" x14ac:dyDescent="0.35">
      <c r="A64" t="s">
        <v>465</v>
      </c>
      <c r="B64" t="s">
        <v>466</v>
      </c>
      <c r="C64" t="s">
        <v>762</v>
      </c>
      <c r="D64" t="s">
        <v>90</v>
      </c>
      <c r="E64" t="s">
        <v>763</v>
      </c>
      <c r="F64" t="s">
        <v>683</v>
      </c>
      <c r="G64" t="s">
        <v>543</v>
      </c>
      <c r="H64" t="s">
        <v>452</v>
      </c>
      <c r="I64" t="s">
        <v>764</v>
      </c>
      <c r="J64" t="s">
        <v>765</v>
      </c>
      <c r="K64" t="s">
        <v>766</v>
      </c>
      <c r="L64" s="5">
        <v>52296</v>
      </c>
      <c r="M64" t="s">
        <v>40</v>
      </c>
      <c r="N64" t="s">
        <v>40</v>
      </c>
      <c r="O64" t="s">
        <v>40</v>
      </c>
      <c r="P64" t="b">
        <v>1</v>
      </c>
      <c r="Q64" t="s">
        <v>31</v>
      </c>
      <c r="R64" t="s">
        <v>45</v>
      </c>
    </row>
    <row r="65" spans="1:18" hidden="1" x14ac:dyDescent="0.35">
      <c r="A65" t="s">
        <v>767</v>
      </c>
      <c r="B65" t="s">
        <v>768</v>
      </c>
      <c r="C65" t="s">
        <v>769</v>
      </c>
      <c r="D65" t="s">
        <v>90</v>
      </c>
      <c r="E65" t="s">
        <v>770</v>
      </c>
      <c r="F65" t="s">
        <v>683</v>
      </c>
      <c r="G65" t="s">
        <v>543</v>
      </c>
      <c r="H65" t="s">
        <v>771</v>
      </c>
      <c r="I65" t="s">
        <v>772</v>
      </c>
      <c r="J65" t="s">
        <v>773</v>
      </c>
      <c r="K65" t="s">
        <v>573</v>
      </c>
      <c r="L65" s="5">
        <v>3150000</v>
      </c>
      <c r="M65" t="s">
        <v>40</v>
      </c>
      <c r="N65" t="s">
        <v>40</v>
      </c>
      <c r="O65" t="s">
        <v>37</v>
      </c>
      <c r="P65" t="b">
        <v>1</v>
      </c>
      <c r="Q65" t="s">
        <v>31</v>
      </c>
      <c r="R65" t="s">
        <v>45</v>
      </c>
    </row>
    <row r="66" spans="1:18" hidden="1" x14ac:dyDescent="0.35">
      <c r="A66" t="s">
        <v>358</v>
      </c>
      <c r="B66" t="s">
        <v>359</v>
      </c>
      <c r="C66" t="s">
        <v>774</v>
      </c>
      <c r="D66" t="s">
        <v>51</v>
      </c>
      <c r="E66" t="s">
        <v>775</v>
      </c>
      <c r="F66" t="s">
        <v>683</v>
      </c>
      <c r="G66" t="s">
        <v>543</v>
      </c>
      <c r="H66" t="s">
        <v>355</v>
      </c>
      <c r="I66" t="s">
        <v>776</v>
      </c>
      <c r="J66" t="s">
        <v>777</v>
      </c>
      <c r="K66" t="s">
        <v>778</v>
      </c>
      <c r="L66" s="5">
        <v>1685060</v>
      </c>
      <c r="M66" t="s">
        <v>40</v>
      </c>
      <c r="N66" t="s">
        <v>40</v>
      </c>
      <c r="O66" t="s">
        <v>40</v>
      </c>
      <c r="P66" t="b">
        <v>1</v>
      </c>
      <c r="Q66" t="s">
        <v>31</v>
      </c>
      <c r="R66" t="s">
        <v>45</v>
      </c>
    </row>
    <row r="67" spans="1:18" hidden="1" x14ac:dyDescent="0.35">
      <c r="A67" t="s">
        <v>442</v>
      </c>
      <c r="B67" t="s">
        <v>443</v>
      </c>
      <c r="C67" t="s">
        <v>779</v>
      </c>
      <c r="D67" t="s">
        <v>90</v>
      </c>
      <c r="E67" t="s">
        <v>780</v>
      </c>
      <c r="F67" t="s">
        <v>683</v>
      </c>
      <c r="G67" t="s">
        <v>543</v>
      </c>
      <c r="H67" t="s">
        <v>439</v>
      </c>
      <c r="I67" t="s">
        <v>781</v>
      </c>
      <c r="J67" t="s">
        <v>782</v>
      </c>
      <c r="K67" t="s">
        <v>766</v>
      </c>
      <c r="L67" s="5">
        <v>99000</v>
      </c>
      <c r="M67" t="s">
        <v>40</v>
      </c>
      <c r="N67" t="s">
        <v>40</v>
      </c>
      <c r="O67" t="s">
        <v>37</v>
      </c>
      <c r="P67" t="b">
        <v>1</v>
      </c>
      <c r="Q67" t="s">
        <v>31</v>
      </c>
      <c r="R67" t="s">
        <v>45</v>
      </c>
    </row>
    <row r="68" spans="1:18" hidden="1" x14ac:dyDescent="0.35">
      <c r="A68" t="s">
        <v>497</v>
      </c>
      <c r="B68" t="s">
        <v>498</v>
      </c>
      <c r="C68" t="s">
        <v>783</v>
      </c>
      <c r="D68" t="s">
        <v>43</v>
      </c>
      <c r="E68" t="s">
        <v>784</v>
      </c>
      <c r="F68" t="s">
        <v>683</v>
      </c>
      <c r="G68" t="s">
        <v>543</v>
      </c>
      <c r="H68" t="s">
        <v>499</v>
      </c>
      <c r="I68" t="s">
        <v>785</v>
      </c>
      <c r="J68" t="s">
        <v>786</v>
      </c>
      <c r="K68" t="s">
        <v>680</v>
      </c>
      <c r="L68" s="5">
        <v>184000</v>
      </c>
      <c r="M68" t="s">
        <v>40</v>
      </c>
      <c r="N68" t="s">
        <v>40</v>
      </c>
      <c r="O68" t="s">
        <v>37</v>
      </c>
      <c r="P68" t="b">
        <v>1</v>
      </c>
      <c r="Q68" t="s">
        <v>31</v>
      </c>
      <c r="R68" t="s">
        <v>45</v>
      </c>
    </row>
    <row r="69" spans="1:18" hidden="1" x14ac:dyDescent="0.35">
      <c r="A69" t="s">
        <v>440</v>
      </c>
      <c r="B69" t="s">
        <v>441</v>
      </c>
      <c r="C69" t="s">
        <v>787</v>
      </c>
      <c r="D69" t="s">
        <v>48</v>
      </c>
      <c r="E69" t="s">
        <v>788</v>
      </c>
      <c r="F69" t="s">
        <v>683</v>
      </c>
      <c r="G69" t="s">
        <v>543</v>
      </c>
      <c r="H69" t="s">
        <v>439</v>
      </c>
      <c r="I69" t="s">
        <v>789</v>
      </c>
      <c r="J69" t="s">
        <v>790</v>
      </c>
      <c r="K69" t="s">
        <v>658</v>
      </c>
      <c r="L69" s="5">
        <v>88225</v>
      </c>
      <c r="M69" t="s">
        <v>37</v>
      </c>
      <c r="N69" t="s">
        <v>37</v>
      </c>
      <c r="O69" t="s">
        <v>37</v>
      </c>
      <c r="P69" t="b">
        <v>1</v>
      </c>
      <c r="Q69" t="s">
        <v>31</v>
      </c>
      <c r="R69" t="s">
        <v>45</v>
      </c>
    </row>
    <row r="70" spans="1:18" hidden="1" x14ac:dyDescent="0.35">
      <c r="A70" t="s">
        <v>437</v>
      </c>
      <c r="B70" t="s">
        <v>438</v>
      </c>
      <c r="C70" t="s">
        <v>791</v>
      </c>
      <c r="D70" t="s">
        <v>43</v>
      </c>
      <c r="E70" t="s">
        <v>792</v>
      </c>
      <c r="F70" t="s">
        <v>683</v>
      </c>
      <c r="G70" t="s">
        <v>543</v>
      </c>
      <c r="H70" t="s">
        <v>439</v>
      </c>
      <c r="I70" t="s">
        <v>793</v>
      </c>
      <c r="J70" t="s">
        <v>794</v>
      </c>
      <c r="K70" t="s">
        <v>795</v>
      </c>
      <c r="L70" s="5">
        <v>127031</v>
      </c>
      <c r="M70" t="s">
        <v>40</v>
      </c>
      <c r="N70" t="s">
        <v>37</v>
      </c>
      <c r="O70" t="s">
        <v>37</v>
      </c>
      <c r="P70" t="b">
        <v>1</v>
      </c>
      <c r="Q70" t="s">
        <v>31</v>
      </c>
      <c r="R70" t="s">
        <v>45</v>
      </c>
    </row>
    <row r="71" spans="1:18" x14ac:dyDescent="0.35">
      <c r="A71" t="s">
        <v>278</v>
      </c>
      <c r="B71" t="s">
        <v>279</v>
      </c>
      <c r="C71" t="s">
        <v>796</v>
      </c>
      <c r="D71" t="s">
        <v>43</v>
      </c>
      <c r="E71" t="s">
        <v>797</v>
      </c>
      <c r="F71" t="s">
        <v>683</v>
      </c>
      <c r="G71" t="s">
        <v>543</v>
      </c>
      <c r="H71" t="s">
        <v>280</v>
      </c>
      <c r="I71" t="s">
        <v>798</v>
      </c>
      <c r="J71" t="s">
        <v>799</v>
      </c>
      <c r="K71" t="s">
        <v>680</v>
      </c>
      <c r="L71" s="5">
        <v>53800</v>
      </c>
      <c r="M71" t="s">
        <v>40</v>
      </c>
      <c r="N71" t="s">
        <v>37</v>
      </c>
      <c r="O71" t="s">
        <v>40</v>
      </c>
      <c r="P71" t="b">
        <v>1</v>
      </c>
      <c r="Q71" t="s">
        <v>31</v>
      </c>
      <c r="R71" t="s">
        <v>45</v>
      </c>
    </row>
    <row r="72" spans="1:18" hidden="1" x14ac:dyDescent="0.35">
      <c r="A72" t="s">
        <v>421</v>
      </c>
      <c r="B72" t="s">
        <v>422</v>
      </c>
      <c r="C72" t="s">
        <v>800</v>
      </c>
      <c r="D72" t="s">
        <v>43</v>
      </c>
      <c r="E72" t="s">
        <v>801</v>
      </c>
      <c r="F72" t="s">
        <v>683</v>
      </c>
      <c r="G72" t="s">
        <v>543</v>
      </c>
      <c r="H72" t="s">
        <v>423</v>
      </c>
      <c r="I72" t="s">
        <v>802</v>
      </c>
      <c r="J72" t="s">
        <v>803</v>
      </c>
      <c r="K72" t="s">
        <v>637</v>
      </c>
      <c r="L72" s="5">
        <v>593573</v>
      </c>
      <c r="M72" t="s">
        <v>40</v>
      </c>
      <c r="N72" t="s">
        <v>40</v>
      </c>
      <c r="O72" t="s">
        <v>37</v>
      </c>
      <c r="P72" t="b">
        <v>1</v>
      </c>
      <c r="Q72" t="s">
        <v>31</v>
      </c>
      <c r="R72" t="s">
        <v>45</v>
      </c>
    </row>
    <row r="73" spans="1:18" hidden="1" x14ac:dyDescent="0.35">
      <c r="A73" t="s">
        <v>421</v>
      </c>
      <c r="B73" t="s">
        <v>422</v>
      </c>
      <c r="C73" t="s">
        <v>800</v>
      </c>
      <c r="D73" t="s">
        <v>43</v>
      </c>
      <c r="E73" t="s">
        <v>801</v>
      </c>
      <c r="F73" t="s">
        <v>683</v>
      </c>
      <c r="G73" t="s">
        <v>543</v>
      </c>
      <c r="H73" t="s">
        <v>423</v>
      </c>
      <c r="I73" t="s">
        <v>804</v>
      </c>
      <c r="J73" t="s">
        <v>805</v>
      </c>
      <c r="K73" t="s">
        <v>546</v>
      </c>
      <c r="L73" s="5">
        <v>113766</v>
      </c>
      <c r="M73" t="s">
        <v>40</v>
      </c>
      <c r="N73" t="s">
        <v>40</v>
      </c>
      <c r="O73" t="s">
        <v>37</v>
      </c>
      <c r="P73" t="b">
        <v>1</v>
      </c>
      <c r="Q73" t="s">
        <v>31</v>
      </c>
      <c r="R73" t="s">
        <v>45</v>
      </c>
    </row>
    <row r="74" spans="1:18" hidden="1" x14ac:dyDescent="0.35">
      <c r="A74" t="s">
        <v>204</v>
      </c>
      <c r="B74" t="s">
        <v>205</v>
      </c>
      <c r="C74" t="s">
        <v>600</v>
      </c>
      <c r="D74" t="s">
        <v>35</v>
      </c>
      <c r="E74" t="s">
        <v>601</v>
      </c>
      <c r="F74" t="s">
        <v>565</v>
      </c>
      <c r="G74" t="s">
        <v>543</v>
      </c>
      <c r="H74" t="s">
        <v>199</v>
      </c>
      <c r="I74" t="s">
        <v>806</v>
      </c>
      <c r="J74" t="s">
        <v>807</v>
      </c>
      <c r="K74" t="s">
        <v>573</v>
      </c>
      <c r="L74" s="5">
        <v>2494960</v>
      </c>
      <c r="M74" t="s">
        <v>40</v>
      </c>
      <c r="N74" t="s">
        <v>40</v>
      </c>
      <c r="O74" t="s">
        <v>37</v>
      </c>
      <c r="P74" t="b">
        <v>1</v>
      </c>
      <c r="Q74" t="s">
        <v>31</v>
      </c>
      <c r="R74" t="s">
        <v>45</v>
      </c>
    </row>
    <row r="75" spans="1:18" hidden="1" x14ac:dyDescent="0.35">
      <c r="A75" t="s">
        <v>364</v>
      </c>
      <c r="B75" t="s">
        <v>365</v>
      </c>
      <c r="C75" t="s">
        <v>608</v>
      </c>
      <c r="D75" t="s">
        <v>116</v>
      </c>
      <c r="E75" t="s">
        <v>609</v>
      </c>
      <c r="F75" t="s">
        <v>565</v>
      </c>
      <c r="G75" t="s">
        <v>543</v>
      </c>
      <c r="H75" t="s">
        <v>366</v>
      </c>
      <c r="I75" t="s">
        <v>808</v>
      </c>
      <c r="J75" t="s">
        <v>809</v>
      </c>
      <c r="K75" t="s">
        <v>568</v>
      </c>
      <c r="L75" s="5">
        <v>1516633</v>
      </c>
      <c r="M75" t="s">
        <v>37</v>
      </c>
      <c r="N75" t="s">
        <v>37</v>
      </c>
      <c r="O75" t="s">
        <v>37</v>
      </c>
      <c r="P75" t="b">
        <v>1</v>
      </c>
      <c r="Q75" t="s">
        <v>31</v>
      </c>
      <c r="R75" t="s">
        <v>45</v>
      </c>
    </row>
    <row r="76" spans="1:18" hidden="1" x14ac:dyDescent="0.35">
      <c r="A76" t="s">
        <v>810</v>
      </c>
      <c r="B76" t="s">
        <v>811</v>
      </c>
      <c r="C76" t="s">
        <v>812</v>
      </c>
      <c r="D76" t="s">
        <v>35</v>
      </c>
      <c r="E76" t="s">
        <v>813</v>
      </c>
      <c r="F76" t="s">
        <v>683</v>
      </c>
      <c r="G76" t="s">
        <v>543</v>
      </c>
      <c r="H76" t="s">
        <v>814</v>
      </c>
      <c r="I76" t="s">
        <v>815</v>
      </c>
      <c r="J76" t="s">
        <v>816</v>
      </c>
      <c r="K76" t="s">
        <v>573</v>
      </c>
      <c r="L76" s="5">
        <v>792122</v>
      </c>
      <c r="M76" t="s">
        <v>40</v>
      </c>
      <c r="N76" t="s">
        <v>40</v>
      </c>
      <c r="O76" t="s">
        <v>40</v>
      </c>
      <c r="P76" t="b">
        <v>1</v>
      </c>
      <c r="Q76" t="s">
        <v>31</v>
      </c>
      <c r="R76" t="s">
        <v>45</v>
      </c>
    </row>
    <row r="77" spans="1:18" hidden="1" x14ac:dyDescent="0.35">
      <c r="A77" t="s">
        <v>283</v>
      </c>
      <c r="B77" t="s">
        <v>284</v>
      </c>
      <c r="C77" t="s">
        <v>817</v>
      </c>
      <c r="D77" t="s">
        <v>35</v>
      </c>
      <c r="E77" t="s">
        <v>818</v>
      </c>
      <c r="F77" t="s">
        <v>683</v>
      </c>
      <c r="G77" t="s">
        <v>543</v>
      </c>
      <c r="H77" t="s">
        <v>280</v>
      </c>
      <c r="I77" t="s">
        <v>819</v>
      </c>
      <c r="J77" t="s">
        <v>820</v>
      </c>
      <c r="K77" t="s">
        <v>573</v>
      </c>
      <c r="L77" s="5">
        <v>726000</v>
      </c>
      <c r="M77" t="s">
        <v>40</v>
      </c>
      <c r="N77" t="s">
        <v>40</v>
      </c>
      <c r="O77" t="s">
        <v>37</v>
      </c>
      <c r="P77" t="b">
        <v>1</v>
      </c>
      <c r="Q77" t="s">
        <v>31</v>
      </c>
      <c r="R77" t="s">
        <v>45</v>
      </c>
    </row>
    <row r="78" spans="1:18" x14ac:dyDescent="0.35">
      <c r="A78" t="s">
        <v>356</v>
      </c>
      <c r="B78" t="s">
        <v>357</v>
      </c>
      <c r="C78" t="s">
        <v>821</v>
      </c>
      <c r="D78" t="s">
        <v>43</v>
      </c>
      <c r="E78" t="s">
        <v>822</v>
      </c>
      <c r="F78" t="s">
        <v>683</v>
      </c>
      <c r="G78" t="s">
        <v>543</v>
      </c>
      <c r="H78" t="s">
        <v>355</v>
      </c>
      <c r="I78" t="s">
        <v>823</v>
      </c>
      <c r="J78" t="s">
        <v>824</v>
      </c>
      <c r="K78" t="s">
        <v>761</v>
      </c>
      <c r="L78" s="5">
        <v>517400</v>
      </c>
      <c r="M78" t="s">
        <v>40</v>
      </c>
      <c r="N78" t="s">
        <v>40</v>
      </c>
      <c r="O78" t="s">
        <v>40</v>
      </c>
      <c r="P78" t="b">
        <v>1</v>
      </c>
      <c r="Q78" t="s">
        <v>31</v>
      </c>
      <c r="R78" t="s">
        <v>45</v>
      </c>
    </row>
    <row r="79" spans="1:18" hidden="1" x14ac:dyDescent="0.35">
      <c r="A79" t="s">
        <v>206</v>
      </c>
      <c r="B79" t="s">
        <v>207</v>
      </c>
      <c r="C79" t="s">
        <v>619</v>
      </c>
      <c r="D79" t="s">
        <v>35</v>
      </c>
      <c r="E79" t="s">
        <v>620</v>
      </c>
      <c r="F79" t="s">
        <v>565</v>
      </c>
      <c r="G79" t="s">
        <v>543</v>
      </c>
      <c r="H79" t="s">
        <v>825</v>
      </c>
      <c r="I79" t="s">
        <v>826</v>
      </c>
      <c r="J79" t="s">
        <v>827</v>
      </c>
      <c r="K79" t="s">
        <v>568</v>
      </c>
      <c r="L79" s="5">
        <v>650817</v>
      </c>
      <c r="M79" t="s">
        <v>37</v>
      </c>
      <c r="N79" t="s">
        <v>37</v>
      </c>
      <c r="O79" t="s">
        <v>37</v>
      </c>
      <c r="P79" t="b">
        <v>1</v>
      </c>
      <c r="Q79" t="s">
        <v>31</v>
      </c>
      <c r="R79" t="s">
        <v>45</v>
      </c>
    </row>
    <row r="80" spans="1:18" hidden="1" x14ac:dyDescent="0.35">
      <c r="A80" t="s">
        <v>54</v>
      </c>
      <c r="B80" t="s">
        <v>55</v>
      </c>
      <c r="C80" t="s">
        <v>828</v>
      </c>
      <c r="D80" t="s">
        <v>51</v>
      </c>
      <c r="E80" t="s">
        <v>829</v>
      </c>
      <c r="F80" t="s">
        <v>565</v>
      </c>
      <c r="G80" t="s">
        <v>543</v>
      </c>
      <c r="H80" t="s">
        <v>830</v>
      </c>
      <c r="I80" t="s">
        <v>831</v>
      </c>
      <c r="J80" t="s">
        <v>832</v>
      </c>
      <c r="K80" t="s">
        <v>573</v>
      </c>
      <c r="L80" s="5">
        <v>217590</v>
      </c>
      <c r="M80" t="s">
        <v>37</v>
      </c>
      <c r="N80" t="s">
        <v>37</v>
      </c>
      <c r="O80" t="s">
        <v>37</v>
      </c>
      <c r="P80" t="b">
        <v>1</v>
      </c>
      <c r="Q80" t="s">
        <v>31</v>
      </c>
      <c r="R80" t="s">
        <v>45</v>
      </c>
    </row>
    <row r="81" spans="1:18" hidden="1" x14ac:dyDescent="0.35">
      <c r="A81" t="s">
        <v>54</v>
      </c>
      <c r="B81" t="s">
        <v>55</v>
      </c>
      <c r="C81" t="s">
        <v>828</v>
      </c>
      <c r="D81" t="s">
        <v>51</v>
      </c>
      <c r="E81" t="s">
        <v>829</v>
      </c>
      <c r="F81" t="s">
        <v>565</v>
      </c>
      <c r="G81" t="s">
        <v>543</v>
      </c>
      <c r="H81" t="s">
        <v>830</v>
      </c>
      <c r="I81" t="s">
        <v>831</v>
      </c>
      <c r="J81" t="s">
        <v>832</v>
      </c>
      <c r="K81" t="s">
        <v>568</v>
      </c>
      <c r="L81" s="5">
        <v>691256</v>
      </c>
      <c r="M81" t="s">
        <v>37</v>
      </c>
      <c r="N81" t="s">
        <v>37</v>
      </c>
      <c r="O81" t="s">
        <v>37</v>
      </c>
      <c r="P81" t="b">
        <v>1</v>
      </c>
      <c r="Q81" t="s">
        <v>31</v>
      </c>
      <c r="R81" t="s">
        <v>45</v>
      </c>
    </row>
    <row r="82" spans="1:18" hidden="1" x14ac:dyDescent="0.35">
      <c r="A82" t="s">
        <v>281</v>
      </c>
      <c r="B82" t="s">
        <v>282</v>
      </c>
      <c r="C82" t="s">
        <v>833</v>
      </c>
      <c r="D82" t="s">
        <v>35</v>
      </c>
      <c r="E82" t="s">
        <v>601</v>
      </c>
      <c r="F82" t="s">
        <v>565</v>
      </c>
      <c r="G82" t="s">
        <v>543</v>
      </c>
      <c r="H82" t="s">
        <v>834</v>
      </c>
      <c r="I82" t="s">
        <v>835</v>
      </c>
      <c r="J82" t="s">
        <v>836</v>
      </c>
      <c r="K82" t="s">
        <v>637</v>
      </c>
      <c r="L82" s="5">
        <v>200000</v>
      </c>
      <c r="M82" t="s">
        <v>40</v>
      </c>
      <c r="N82" t="s">
        <v>40</v>
      </c>
      <c r="O82" t="s">
        <v>37</v>
      </c>
      <c r="P82" t="b">
        <v>1</v>
      </c>
      <c r="Q82" t="s">
        <v>31</v>
      </c>
      <c r="R82" t="s">
        <v>45</v>
      </c>
    </row>
    <row r="83" spans="1:18" hidden="1" x14ac:dyDescent="0.35">
      <c r="A83" t="s">
        <v>467</v>
      </c>
      <c r="B83" t="s">
        <v>468</v>
      </c>
      <c r="C83" t="s">
        <v>837</v>
      </c>
      <c r="D83" t="s">
        <v>90</v>
      </c>
      <c r="E83" t="s">
        <v>838</v>
      </c>
      <c r="F83" t="s">
        <v>683</v>
      </c>
      <c r="G83" t="s">
        <v>543</v>
      </c>
      <c r="H83" t="s">
        <v>452</v>
      </c>
      <c r="I83" t="s">
        <v>839</v>
      </c>
      <c r="J83" t="s">
        <v>840</v>
      </c>
      <c r="K83" t="s">
        <v>573</v>
      </c>
      <c r="L83" s="5">
        <v>3200000</v>
      </c>
      <c r="M83" t="s">
        <v>40</v>
      </c>
      <c r="N83" t="s">
        <v>40</v>
      </c>
      <c r="O83" t="s">
        <v>40</v>
      </c>
      <c r="P83" t="b">
        <v>1</v>
      </c>
      <c r="Q83" t="s">
        <v>31</v>
      </c>
      <c r="R83" t="s">
        <v>45</v>
      </c>
    </row>
    <row r="84" spans="1:18" hidden="1" x14ac:dyDescent="0.35">
      <c r="A84" t="s">
        <v>841</v>
      </c>
      <c r="B84" t="s">
        <v>842</v>
      </c>
      <c r="C84" t="s">
        <v>843</v>
      </c>
      <c r="D84" t="s">
        <v>627</v>
      </c>
      <c r="E84" t="s">
        <v>628</v>
      </c>
      <c r="F84" t="s">
        <v>629</v>
      </c>
      <c r="G84" t="s">
        <v>543</v>
      </c>
      <c r="H84" t="s">
        <v>439</v>
      </c>
      <c r="I84" t="s">
        <v>844</v>
      </c>
      <c r="J84" t="s">
        <v>845</v>
      </c>
      <c r="K84" t="s">
        <v>632</v>
      </c>
      <c r="L84" s="5">
        <v>722098</v>
      </c>
      <c r="M84" t="s">
        <v>37</v>
      </c>
      <c r="N84" t="s">
        <v>37</v>
      </c>
      <c r="O84" t="s">
        <v>37</v>
      </c>
      <c r="P84" t="b">
        <v>0</v>
      </c>
      <c r="Q84" t="s">
        <v>31</v>
      </c>
      <c r="R84" t="s">
        <v>45</v>
      </c>
    </row>
    <row r="85" spans="1:18" hidden="1" x14ac:dyDescent="0.35">
      <c r="A85" t="s">
        <v>41</v>
      </c>
      <c r="B85" t="s">
        <v>42</v>
      </c>
      <c r="C85" t="s">
        <v>846</v>
      </c>
      <c r="D85" t="s">
        <v>43</v>
      </c>
      <c r="E85" t="s">
        <v>847</v>
      </c>
      <c r="F85" t="s">
        <v>683</v>
      </c>
      <c r="G85" t="s">
        <v>543</v>
      </c>
      <c r="H85" t="s">
        <v>44</v>
      </c>
      <c r="I85" t="s">
        <v>848</v>
      </c>
      <c r="J85" t="s">
        <v>849</v>
      </c>
      <c r="K85" t="s">
        <v>761</v>
      </c>
      <c r="L85" s="5">
        <v>480000</v>
      </c>
      <c r="M85" t="s">
        <v>40</v>
      </c>
      <c r="N85" t="s">
        <v>40</v>
      </c>
      <c r="O85" t="s">
        <v>37</v>
      </c>
      <c r="P85" t="b">
        <v>1</v>
      </c>
      <c r="Q85" t="s">
        <v>31</v>
      </c>
      <c r="R85" t="s">
        <v>45</v>
      </c>
    </row>
    <row r="86" spans="1:18" hidden="1" x14ac:dyDescent="0.35">
      <c r="A86" t="s">
        <v>58</v>
      </c>
      <c r="B86" t="s">
        <v>59</v>
      </c>
      <c r="C86" t="s">
        <v>850</v>
      </c>
      <c r="D86" t="s">
        <v>60</v>
      </c>
      <c r="E86" t="s">
        <v>851</v>
      </c>
      <c r="F86" t="s">
        <v>683</v>
      </c>
      <c r="G86" t="s">
        <v>543</v>
      </c>
      <c r="H86" t="s">
        <v>61</v>
      </c>
      <c r="I86" t="s">
        <v>852</v>
      </c>
      <c r="J86" t="s">
        <v>853</v>
      </c>
      <c r="K86" t="s">
        <v>637</v>
      </c>
      <c r="L86" s="5">
        <v>500000</v>
      </c>
      <c r="M86" t="s">
        <v>40</v>
      </c>
      <c r="N86" t="s">
        <v>40</v>
      </c>
      <c r="O86" t="s">
        <v>40</v>
      </c>
      <c r="P86" t="b">
        <v>1</v>
      </c>
      <c r="Q86" t="s">
        <v>31</v>
      </c>
      <c r="R86" t="s">
        <v>45</v>
      </c>
    </row>
    <row r="87" spans="1:18" hidden="1" x14ac:dyDescent="0.35">
      <c r="A87" t="s">
        <v>190</v>
      </c>
      <c r="B87" t="s">
        <v>191</v>
      </c>
      <c r="C87" t="s">
        <v>854</v>
      </c>
      <c r="D87" t="s">
        <v>74</v>
      </c>
      <c r="E87" t="s">
        <v>855</v>
      </c>
      <c r="F87" t="s">
        <v>856</v>
      </c>
      <c r="G87" t="s">
        <v>857</v>
      </c>
      <c r="H87" t="s">
        <v>858</v>
      </c>
      <c r="I87" t="s">
        <v>859</v>
      </c>
      <c r="J87" t="s">
        <v>860</v>
      </c>
      <c r="K87" t="s">
        <v>861</v>
      </c>
      <c r="L87" s="5">
        <v>127551</v>
      </c>
      <c r="M87" t="s">
        <v>37</v>
      </c>
      <c r="N87" t="s">
        <v>37</v>
      </c>
      <c r="O87" t="s">
        <v>40</v>
      </c>
      <c r="P87" t="b">
        <v>1</v>
      </c>
      <c r="Q87" t="s">
        <v>31</v>
      </c>
      <c r="R87" t="s">
        <v>45</v>
      </c>
    </row>
    <row r="88" spans="1:18" hidden="1" x14ac:dyDescent="0.35">
      <c r="A88" t="s">
        <v>190</v>
      </c>
      <c r="B88" t="s">
        <v>191</v>
      </c>
      <c r="C88" t="s">
        <v>854</v>
      </c>
      <c r="D88" t="s">
        <v>74</v>
      </c>
      <c r="E88" t="s">
        <v>855</v>
      </c>
      <c r="F88" t="s">
        <v>856</v>
      </c>
      <c r="G88" t="s">
        <v>857</v>
      </c>
      <c r="H88" t="s">
        <v>858</v>
      </c>
      <c r="I88" t="s">
        <v>862</v>
      </c>
      <c r="J88" t="s">
        <v>863</v>
      </c>
      <c r="K88" t="s">
        <v>546</v>
      </c>
      <c r="L88" s="5">
        <v>12316512</v>
      </c>
      <c r="M88" t="s">
        <v>37</v>
      </c>
      <c r="N88" t="s">
        <v>37</v>
      </c>
      <c r="O88" t="s">
        <v>40</v>
      </c>
      <c r="P88" t="b">
        <v>1</v>
      </c>
      <c r="Q88" t="s">
        <v>31</v>
      </c>
      <c r="R88" t="s">
        <v>45</v>
      </c>
    </row>
    <row r="89" spans="1:18" hidden="1" x14ac:dyDescent="0.35">
      <c r="A89" t="s">
        <v>72</v>
      </c>
      <c r="B89" t="s">
        <v>73</v>
      </c>
      <c r="C89" t="s">
        <v>864</v>
      </c>
      <c r="D89" t="s">
        <v>74</v>
      </c>
      <c r="E89" t="s">
        <v>865</v>
      </c>
      <c r="F89" t="s">
        <v>565</v>
      </c>
      <c r="G89" t="s">
        <v>543</v>
      </c>
      <c r="H89" t="s">
        <v>866</v>
      </c>
      <c r="I89" t="s">
        <v>867</v>
      </c>
      <c r="J89" t="s">
        <v>868</v>
      </c>
      <c r="K89" t="s">
        <v>591</v>
      </c>
      <c r="L89" s="5">
        <v>284512</v>
      </c>
      <c r="M89" t="s">
        <v>37</v>
      </c>
      <c r="N89" t="s">
        <v>37</v>
      </c>
      <c r="O89" t="s">
        <v>40</v>
      </c>
      <c r="P89" t="b">
        <v>1</v>
      </c>
      <c r="Q89" t="s">
        <v>31</v>
      </c>
      <c r="R89" t="s">
        <v>45</v>
      </c>
    </row>
    <row r="90" spans="1:18" hidden="1" x14ac:dyDescent="0.35">
      <c r="A90" t="s">
        <v>72</v>
      </c>
      <c r="B90" t="s">
        <v>73</v>
      </c>
      <c r="C90" t="s">
        <v>864</v>
      </c>
      <c r="D90" t="s">
        <v>74</v>
      </c>
      <c r="E90" t="s">
        <v>865</v>
      </c>
      <c r="F90" t="s">
        <v>565</v>
      </c>
      <c r="G90" t="s">
        <v>543</v>
      </c>
      <c r="H90" t="s">
        <v>866</v>
      </c>
      <c r="I90" t="s">
        <v>867</v>
      </c>
      <c r="J90" t="s">
        <v>868</v>
      </c>
      <c r="K90" t="s">
        <v>568</v>
      </c>
      <c r="L90" s="5">
        <v>1085043</v>
      </c>
      <c r="M90" t="s">
        <v>37</v>
      </c>
      <c r="N90" t="s">
        <v>37</v>
      </c>
      <c r="O90" t="s">
        <v>40</v>
      </c>
      <c r="P90" t="b">
        <v>1</v>
      </c>
      <c r="Q90" t="s">
        <v>31</v>
      </c>
      <c r="R90" t="s">
        <v>45</v>
      </c>
    </row>
    <row r="91" spans="1:18" hidden="1" x14ac:dyDescent="0.35">
      <c r="A91" t="s">
        <v>472</v>
      </c>
      <c r="B91" t="s">
        <v>473</v>
      </c>
      <c r="C91" t="s">
        <v>869</v>
      </c>
      <c r="D91" t="s">
        <v>51</v>
      </c>
      <c r="E91" t="s">
        <v>870</v>
      </c>
      <c r="F91" t="s">
        <v>871</v>
      </c>
      <c r="G91" t="s">
        <v>543</v>
      </c>
      <c r="H91" t="s">
        <v>469</v>
      </c>
      <c r="I91" t="s">
        <v>872</v>
      </c>
      <c r="J91" t="s">
        <v>873</v>
      </c>
      <c r="K91" t="s">
        <v>573</v>
      </c>
      <c r="L91" s="5">
        <v>2592000</v>
      </c>
      <c r="M91" t="s">
        <v>37</v>
      </c>
      <c r="N91" t="s">
        <v>37</v>
      </c>
      <c r="O91" t="s">
        <v>37</v>
      </c>
      <c r="P91" t="b">
        <v>1</v>
      </c>
      <c r="Q91" t="s">
        <v>31</v>
      </c>
      <c r="R91" t="s">
        <v>45</v>
      </c>
    </row>
    <row r="92" spans="1:18" hidden="1" x14ac:dyDescent="0.35">
      <c r="A92" t="s">
        <v>472</v>
      </c>
      <c r="B92" t="s">
        <v>473</v>
      </c>
      <c r="C92" t="s">
        <v>869</v>
      </c>
      <c r="D92" t="s">
        <v>51</v>
      </c>
      <c r="E92" t="s">
        <v>870</v>
      </c>
      <c r="F92" t="s">
        <v>871</v>
      </c>
      <c r="G92" t="s">
        <v>543</v>
      </c>
      <c r="H92" t="s">
        <v>469</v>
      </c>
      <c r="I92" t="s">
        <v>874</v>
      </c>
      <c r="J92" t="s">
        <v>875</v>
      </c>
      <c r="K92" t="s">
        <v>573</v>
      </c>
      <c r="L92" s="5">
        <v>224000</v>
      </c>
      <c r="M92" t="s">
        <v>37</v>
      </c>
      <c r="N92" t="s">
        <v>37</v>
      </c>
      <c r="O92" t="s">
        <v>37</v>
      </c>
      <c r="P92" t="b">
        <v>1</v>
      </c>
      <c r="Q92" t="s">
        <v>31</v>
      </c>
      <c r="R92" t="s">
        <v>45</v>
      </c>
    </row>
    <row r="93" spans="1:18" hidden="1" x14ac:dyDescent="0.35">
      <c r="A93" t="s">
        <v>513</v>
      </c>
      <c r="B93" t="s">
        <v>514</v>
      </c>
      <c r="C93" t="s">
        <v>876</v>
      </c>
      <c r="D93" t="s">
        <v>90</v>
      </c>
      <c r="E93" t="s">
        <v>877</v>
      </c>
      <c r="F93" t="s">
        <v>871</v>
      </c>
      <c r="G93" t="s">
        <v>543</v>
      </c>
      <c r="H93" t="s">
        <v>512</v>
      </c>
      <c r="I93" t="s">
        <v>878</v>
      </c>
      <c r="J93" t="s">
        <v>879</v>
      </c>
      <c r="K93" t="s">
        <v>573</v>
      </c>
      <c r="L93" s="5">
        <v>1674977</v>
      </c>
      <c r="M93" t="s">
        <v>37</v>
      </c>
      <c r="N93" t="s">
        <v>37</v>
      </c>
      <c r="O93" t="s">
        <v>37</v>
      </c>
      <c r="P93" t="b">
        <v>1</v>
      </c>
      <c r="Q93" t="s">
        <v>31</v>
      </c>
      <c r="R93" t="s">
        <v>45</v>
      </c>
    </row>
    <row r="94" spans="1:18" hidden="1" x14ac:dyDescent="0.35">
      <c r="A94" t="s">
        <v>227</v>
      </c>
      <c r="B94" t="s">
        <v>228</v>
      </c>
      <c r="C94" t="s">
        <v>880</v>
      </c>
      <c r="D94" t="s">
        <v>60</v>
      </c>
      <c r="E94" t="s">
        <v>557</v>
      </c>
      <c r="F94" t="s">
        <v>871</v>
      </c>
      <c r="G94" t="s">
        <v>543</v>
      </c>
      <c r="H94" t="s">
        <v>226</v>
      </c>
      <c r="I94" t="s">
        <v>881</v>
      </c>
      <c r="J94" t="s">
        <v>882</v>
      </c>
      <c r="K94" t="s">
        <v>573</v>
      </c>
      <c r="L94" s="5">
        <v>795899</v>
      </c>
      <c r="M94" t="s">
        <v>37</v>
      </c>
      <c r="N94" t="s">
        <v>37</v>
      </c>
      <c r="O94" t="s">
        <v>37</v>
      </c>
      <c r="P94" t="b">
        <v>1</v>
      </c>
      <c r="Q94" t="s">
        <v>31</v>
      </c>
      <c r="R94" t="s">
        <v>45</v>
      </c>
    </row>
    <row r="95" spans="1:18" hidden="1" x14ac:dyDescent="0.35">
      <c r="A95" t="s">
        <v>332</v>
      </c>
      <c r="B95" t="s">
        <v>333</v>
      </c>
      <c r="C95" t="s">
        <v>883</v>
      </c>
      <c r="D95" t="s">
        <v>48</v>
      </c>
      <c r="E95" t="s">
        <v>884</v>
      </c>
      <c r="F95" t="s">
        <v>871</v>
      </c>
      <c r="G95" t="s">
        <v>543</v>
      </c>
      <c r="H95" t="s">
        <v>334</v>
      </c>
      <c r="I95" t="s">
        <v>885</v>
      </c>
      <c r="J95" t="s">
        <v>886</v>
      </c>
      <c r="K95" t="s">
        <v>612</v>
      </c>
      <c r="L95" s="5">
        <v>212000</v>
      </c>
      <c r="M95" t="s">
        <v>37</v>
      </c>
      <c r="N95" t="s">
        <v>37</v>
      </c>
      <c r="O95" t="s">
        <v>37</v>
      </c>
      <c r="P95" t="b">
        <v>1</v>
      </c>
      <c r="Q95" t="s">
        <v>31</v>
      </c>
      <c r="R95" t="s">
        <v>45</v>
      </c>
    </row>
    <row r="96" spans="1:18" hidden="1" x14ac:dyDescent="0.35">
      <c r="A96" t="s">
        <v>126</v>
      </c>
      <c r="B96" t="s">
        <v>127</v>
      </c>
      <c r="C96" t="s">
        <v>887</v>
      </c>
      <c r="D96" t="s">
        <v>43</v>
      </c>
      <c r="E96" t="s">
        <v>888</v>
      </c>
      <c r="F96" t="s">
        <v>871</v>
      </c>
      <c r="G96" t="s">
        <v>543</v>
      </c>
      <c r="H96" t="s">
        <v>889</v>
      </c>
      <c r="I96" t="s">
        <v>890</v>
      </c>
      <c r="J96" t="s">
        <v>891</v>
      </c>
      <c r="K96" t="s">
        <v>892</v>
      </c>
      <c r="L96" s="5">
        <v>2524900</v>
      </c>
      <c r="M96" t="s">
        <v>40</v>
      </c>
      <c r="N96" t="s">
        <v>37</v>
      </c>
      <c r="O96" t="s">
        <v>37</v>
      </c>
      <c r="P96" t="b">
        <v>1</v>
      </c>
      <c r="Q96" t="s">
        <v>31</v>
      </c>
      <c r="R96" t="s">
        <v>45</v>
      </c>
    </row>
    <row r="97" spans="1:18" hidden="1" x14ac:dyDescent="0.35">
      <c r="A97" t="s">
        <v>126</v>
      </c>
      <c r="B97" t="s">
        <v>127</v>
      </c>
      <c r="C97" t="s">
        <v>887</v>
      </c>
      <c r="D97" t="s">
        <v>43</v>
      </c>
      <c r="E97" t="s">
        <v>888</v>
      </c>
      <c r="F97" t="s">
        <v>871</v>
      </c>
      <c r="G97" t="s">
        <v>543</v>
      </c>
      <c r="H97" t="s">
        <v>889</v>
      </c>
      <c r="I97" t="s">
        <v>893</v>
      </c>
      <c r="J97" t="s">
        <v>894</v>
      </c>
      <c r="K97" t="s">
        <v>680</v>
      </c>
      <c r="L97" s="5">
        <v>257400</v>
      </c>
      <c r="M97" t="s">
        <v>40</v>
      </c>
      <c r="N97" t="s">
        <v>37</v>
      </c>
      <c r="O97" t="s">
        <v>37</v>
      </c>
      <c r="P97" t="b">
        <v>1</v>
      </c>
      <c r="Q97" t="s">
        <v>31</v>
      </c>
      <c r="R97" t="s">
        <v>45</v>
      </c>
    </row>
    <row r="98" spans="1:18" hidden="1" x14ac:dyDescent="0.35">
      <c r="A98" t="s">
        <v>126</v>
      </c>
      <c r="B98" t="s">
        <v>127</v>
      </c>
      <c r="C98" t="s">
        <v>887</v>
      </c>
      <c r="D98" t="s">
        <v>43</v>
      </c>
      <c r="E98" t="s">
        <v>888</v>
      </c>
      <c r="F98" t="s">
        <v>871</v>
      </c>
      <c r="G98" t="s">
        <v>543</v>
      </c>
      <c r="H98" t="s">
        <v>889</v>
      </c>
      <c r="I98" t="s">
        <v>895</v>
      </c>
      <c r="J98" t="s">
        <v>896</v>
      </c>
      <c r="K98" t="s">
        <v>861</v>
      </c>
      <c r="L98" s="5">
        <v>163300</v>
      </c>
      <c r="M98" t="s">
        <v>40</v>
      </c>
      <c r="N98" t="s">
        <v>37</v>
      </c>
      <c r="O98" t="s">
        <v>37</v>
      </c>
      <c r="P98" t="b">
        <v>1</v>
      </c>
      <c r="Q98" t="s">
        <v>31</v>
      </c>
      <c r="R98" t="s">
        <v>45</v>
      </c>
    </row>
    <row r="99" spans="1:18" hidden="1" x14ac:dyDescent="0.35">
      <c r="A99" t="s">
        <v>335</v>
      </c>
      <c r="B99" t="s">
        <v>336</v>
      </c>
      <c r="C99" t="s">
        <v>897</v>
      </c>
      <c r="D99" t="s">
        <v>35</v>
      </c>
      <c r="E99" t="s">
        <v>898</v>
      </c>
      <c r="F99" t="s">
        <v>871</v>
      </c>
      <c r="G99" t="s">
        <v>543</v>
      </c>
      <c r="H99" t="s">
        <v>334</v>
      </c>
      <c r="I99" t="s">
        <v>899</v>
      </c>
      <c r="J99" t="s">
        <v>900</v>
      </c>
      <c r="K99" t="s">
        <v>766</v>
      </c>
      <c r="L99" s="5">
        <v>38385</v>
      </c>
      <c r="M99" t="s">
        <v>40</v>
      </c>
      <c r="N99" t="s">
        <v>40</v>
      </c>
      <c r="O99" t="s">
        <v>40</v>
      </c>
      <c r="P99" t="b">
        <v>1</v>
      </c>
      <c r="Q99" t="s">
        <v>31</v>
      </c>
      <c r="R99" t="s">
        <v>45</v>
      </c>
    </row>
    <row r="100" spans="1:18" hidden="1" x14ac:dyDescent="0.35">
      <c r="A100" t="s">
        <v>335</v>
      </c>
      <c r="B100" t="s">
        <v>336</v>
      </c>
      <c r="C100" t="s">
        <v>897</v>
      </c>
      <c r="D100" t="s">
        <v>35</v>
      </c>
      <c r="E100" t="s">
        <v>898</v>
      </c>
      <c r="F100" t="s">
        <v>871</v>
      </c>
      <c r="G100" t="s">
        <v>543</v>
      </c>
      <c r="H100" t="s">
        <v>334</v>
      </c>
      <c r="I100" t="s">
        <v>899</v>
      </c>
      <c r="J100" t="s">
        <v>900</v>
      </c>
      <c r="K100" t="s">
        <v>573</v>
      </c>
      <c r="L100" s="5">
        <v>321199</v>
      </c>
      <c r="M100" t="s">
        <v>40</v>
      </c>
      <c r="N100" t="s">
        <v>40</v>
      </c>
      <c r="O100" t="s">
        <v>40</v>
      </c>
      <c r="P100" t="b">
        <v>1</v>
      </c>
      <c r="Q100" t="s">
        <v>31</v>
      </c>
      <c r="R100" t="s">
        <v>45</v>
      </c>
    </row>
    <row r="101" spans="1:18" hidden="1" x14ac:dyDescent="0.35">
      <c r="A101" t="s">
        <v>445</v>
      </c>
      <c r="B101" t="s">
        <v>446</v>
      </c>
      <c r="C101" t="s">
        <v>901</v>
      </c>
      <c r="D101" t="s">
        <v>90</v>
      </c>
      <c r="E101" t="s">
        <v>902</v>
      </c>
      <c r="F101" t="s">
        <v>871</v>
      </c>
      <c r="G101" t="s">
        <v>543</v>
      </c>
      <c r="H101" t="s">
        <v>444</v>
      </c>
      <c r="I101" t="s">
        <v>903</v>
      </c>
      <c r="J101" t="s">
        <v>904</v>
      </c>
      <c r="K101" t="s">
        <v>705</v>
      </c>
      <c r="L101" s="5">
        <v>159373</v>
      </c>
      <c r="M101" t="s">
        <v>40</v>
      </c>
      <c r="N101" t="s">
        <v>37</v>
      </c>
      <c r="O101" t="s">
        <v>40</v>
      </c>
      <c r="P101" t="b">
        <v>1</v>
      </c>
      <c r="Q101" t="s">
        <v>31</v>
      </c>
      <c r="R101" t="s">
        <v>45</v>
      </c>
    </row>
    <row r="102" spans="1:18" hidden="1" x14ac:dyDescent="0.35">
      <c r="A102" t="s">
        <v>322</v>
      </c>
      <c r="B102" t="s">
        <v>323</v>
      </c>
      <c r="C102" t="s">
        <v>905</v>
      </c>
      <c r="D102" t="s">
        <v>35</v>
      </c>
      <c r="E102" t="s">
        <v>906</v>
      </c>
      <c r="F102" t="s">
        <v>871</v>
      </c>
      <c r="G102" t="s">
        <v>543</v>
      </c>
      <c r="H102" t="s">
        <v>321</v>
      </c>
      <c r="I102" t="s">
        <v>907</v>
      </c>
      <c r="J102" t="s">
        <v>908</v>
      </c>
      <c r="K102" t="s">
        <v>573</v>
      </c>
      <c r="L102" s="5">
        <v>2433000</v>
      </c>
      <c r="M102" t="s">
        <v>40</v>
      </c>
      <c r="N102" t="s">
        <v>40</v>
      </c>
      <c r="O102" t="s">
        <v>40</v>
      </c>
      <c r="P102" t="b">
        <v>1</v>
      </c>
      <c r="Q102" t="s">
        <v>31</v>
      </c>
      <c r="R102" t="s">
        <v>45</v>
      </c>
    </row>
    <row r="103" spans="1:18" x14ac:dyDescent="0.35">
      <c r="A103" t="s">
        <v>100</v>
      </c>
      <c r="B103" t="s">
        <v>101</v>
      </c>
      <c r="C103" t="s">
        <v>909</v>
      </c>
      <c r="D103" t="s">
        <v>43</v>
      </c>
      <c r="E103" t="s">
        <v>910</v>
      </c>
      <c r="F103" t="s">
        <v>871</v>
      </c>
      <c r="G103" t="s">
        <v>543</v>
      </c>
      <c r="H103" t="s">
        <v>102</v>
      </c>
      <c r="I103" t="s">
        <v>911</v>
      </c>
      <c r="J103" t="s">
        <v>912</v>
      </c>
      <c r="K103" t="s">
        <v>653</v>
      </c>
      <c r="L103" s="5">
        <v>234884</v>
      </c>
      <c r="M103" t="s">
        <v>40</v>
      </c>
      <c r="N103" t="s">
        <v>37</v>
      </c>
      <c r="O103" t="s">
        <v>40</v>
      </c>
      <c r="P103" t="b">
        <v>1</v>
      </c>
      <c r="Q103" t="s">
        <v>31</v>
      </c>
      <c r="R103" t="s">
        <v>45</v>
      </c>
    </row>
    <row r="104" spans="1:18" hidden="1" x14ac:dyDescent="0.35">
      <c r="A104" t="s">
        <v>378</v>
      </c>
      <c r="B104" t="s">
        <v>379</v>
      </c>
      <c r="C104" t="s">
        <v>913</v>
      </c>
      <c r="D104" t="s">
        <v>48</v>
      </c>
      <c r="E104" t="s">
        <v>914</v>
      </c>
      <c r="F104" t="s">
        <v>871</v>
      </c>
      <c r="G104" t="s">
        <v>543</v>
      </c>
      <c r="H104" t="s">
        <v>380</v>
      </c>
      <c r="I104" t="s">
        <v>915</v>
      </c>
      <c r="J104" t="s">
        <v>916</v>
      </c>
      <c r="K104" t="s">
        <v>917</v>
      </c>
      <c r="L104" s="5">
        <v>88828</v>
      </c>
      <c r="M104" t="s">
        <v>40</v>
      </c>
      <c r="N104" t="s">
        <v>37</v>
      </c>
      <c r="O104" t="s">
        <v>37</v>
      </c>
      <c r="P104" t="b">
        <v>1</v>
      </c>
      <c r="Q104" t="s">
        <v>31</v>
      </c>
      <c r="R104" t="s">
        <v>45</v>
      </c>
    </row>
    <row r="105" spans="1:18" hidden="1" x14ac:dyDescent="0.35">
      <c r="A105" t="s">
        <v>378</v>
      </c>
      <c r="B105" t="s">
        <v>379</v>
      </c>
      <c r="C105" t="s">
        <v>913</v>
      </c>
      <c r="D105" t="s">
        <v>48</v>
      </c>
      <c r="E105" t="s">
        <v>914</v>
      </c>
      <c r="F105" t="s">
        <v>871</v>
      </c>
      <c r="G105" t="s">
        <v>543</v>
      </c>
      <c r="H105" t="s">
        <v>380</v>
      </c>
      <c r="I105" t="s">
        <v>915</v>
      </c>
      <c r="J105" t="s">
        <v>916</v>
      </c>
      <c r="K105" t="s">
        <v>733</v>
      </c>
      <c r="L105" s="5">
        <v>7172</v>
      </c>
      <c r="M105" t="s">
        <v>40</v>
      </c>
      <c r="N105" t="s">
        <v>37</v>
      </c>
      <c r="O105" t="s">
        <v>37</v>
      </c>
      <c r="P105" t="b">
        <v>1</v>
      </c>
      <c r="Q105" t="s">
        <v>31</v>
      </c>
      <c r="R105" t="s">
        <v>45</v>
      </c>
    </row>
    <row r="106" spans="1:18" hidden="1" x14ac:dyDescent="0.35">
      <c r="A106" t="s">
        <v>378</v>
      </c>
      <c r="B106" t="s">
        <v>379</v>
      </c>
      <c r="C106" t="s">
        <v>913</v>
      </c>
      <c r="D106" t="s">
        <v>48</v>
      </c>
      <c r="E106" t="s">
        <v>914</v>
      </c>
      <c r="F106" t="s">
        <v>871</v>
      </c>
      <c r="G106" t="s">
        <v>543</v>
      </c>
      <c r="H106" t="s">
        <v>380</v>
      </c>
      <c r="I106" t="s">
        <v>918</v>
      </c>
      <c r="J106" t="s">
        <v>919</v>
      </c>
      <c r="K106" t="s">
        <v>917</v>
      </c>
      <c r="L106" s="5">
        <v>449600</v>
      </c>
      <c r="M106" t="s">
        <v>40</v>
      </c>
      <c r="N106" t="s">
        <v>37</v>
      </c>
      <c r="O106" t="s">
        <v>37</v>
      </c>
      <c r="P106" t="b">
        <v>1</v>
      </c>
      <c r="Q106" t="s">
        <v>31</v>
      </c>
      <c r="R106" t="s">
        <v>45</v>
      </c>
    </row>
    <row r="107" spans="1:18" hidden="1" x14ac:dyDescent="0.35">
      <c r="A107" t="s">
        <v>229</v>
      </c>
      <c r="B107" t="s">
        <v>230</v>
      </c>
      <c r="C107" t="s">
        <v>920</v>
      </c>
      <c r="D107" t="s">
        <v>35</v>
      </c>
      <c r="E107" t="s">
        <v>921</v>
      </c>
      <c r="F107" t="s">
        <v>565</v>
      </c>
      <c r="G107" t="s">
        <v>543</v>
      </c>
      <c r="H107" t="s">
        <v>922</v>
      </c>
      <c r="I107" t="s">
        <v>923</v>
      </c>
      <c r="J107" t="s">
        <v>924</v>
      </c>
      <c r="K107" t="s">
        <v>756</v>
      </c>
      <c r="L107" s="5">
        <v>1360000</v>
      </c>
      <c r="M107" t="s">
        <v>40</v>
      </c>
      <c r="N107" t="s">
        <v>40</v>
      </c>
      <c r="O107" t="s">
        <v>37</v>
      </c>
      <c r="P107" t="b">
        <v>1</v>
      </c>
      <c r="Q107" t="s">
        <v>31</v>
      </c>
      <c r="R107" t="s">
        <v>45</v>
      </c>
    </row>
    <row r="108" spans="1:18" hidden="1" x14ac:dyDescent="0.35">
      <c r="A108" t="s">
        <v>383</v>
      </c>
      <c r="B108" t="s">
        <v>384</v>
      </c>
      <c r="C108" t="s">
        <v>925</v>
      </c>
      <c r="D108" t="s">
        <v>98</v>
      </c>
      <c r="E108" t="s">
        <v>926</v>
      </c>
      <c r="F108" t="s">
        <v>871</v>
      </c>
      <c r="G108" t="s">
        <v>543</v>
      </c>
      <c r="H108" t="s">
        <v>380</v>
      </c>
      <c r="I108" t="s">
        <v>927</v>
      </c>
      <c r="J108" t="s">
        <v>928</v>
      </c>
      <c r="K108" t="s">
        <v>766</v>
      </c>
      <c r="L108" s="5">
        <v>92328</v>
      </c>
      <c r="M108" t="s">
        <v>37</v>
      </c>
      <c r="N108" t="s">
        <v>37</v>
      </c>
      <c r="O108" t="s">
        <v>40</v>
      </c>
      <c r="P108" t="b">
        <v>1</v>
      </c>
      <c r="Q108" t="s">
        <v>31</v>
      </c>
      <c r="R108" t="s">
        <v>45</v>
      </c>
    </row>
    <row r="109" spans="1:18" hidden="1" x14ac:dyDescent="0.35">
      <c r="A109" t="s">
        <v>383</v>
      </c>
      <c r="B109" t="s">
        <v>384</v>
      </c>
      <c r="C109" t="s">
        <v>925</v>
      </c>
      <c r="D109" t="s">
        <v>98</v>
      </c>
      <c r="E109" t="s">
        <v>926</v>
      </c>
      <c r="F109" t="s">
        <v>871</v>
      </c>
      <c r="G109" t="s">
        <v>543</v>
      </c>
      <c r="H109" t="s">
        <v>380</v>
      </c>
      <c r="I109" t="s">
        <v>927</v>
      </c>
      <c r="J109" t="s">
        <v>928</v>
      </c>
      <c r="K109" t="s">
        <v>573</v>
      </c>
      <c r="L109" s="5">
        <v>156765</v>
      </c>
      <c r="M109" t="s">
        <v>37</v>
      </c>
      <c r="N109" t="s">
        <v>37</v>
      </c>
      <c r="O109" t="s">
        <v>40</v>
      </c>
      <c r="P109" t="b">
        <v>1</v>
      </c>
      <c r="Q109" t="s">
        <v>31</v>
      </c>
      <c r="R109" t="s">
        <v>45</v>
      </c>
    </row>
    <row r="110" spans="1:18" hidden="1" x14ac:dyDescent="0.35">
      <c r="A110" t="s">
        <v>381</v>
      </c>
      <c r="B110" t="s">
        <v>382</v>
      </c>
      <c r="C110" t="s">
        <v>929</v>
      </c>
      <c r="D110" t="s">
        <v>90</v>
      </c>
      <c r="E110" t="s">
        <v>930</v>
      </c>
      <c r="F110" t="s">
        <v>871</v>
      </c>
      <c r="G110" t="s">
        <v>543</v>
      </c>
      <c r="H110" t="s">
        <v>380</v>
      </c>
      <c r="I110" t="s">
        <v>931</v>
      </c>
      <c r="J110" t="s">
        <v>932</v>
      </c>
      <c r="K110" t="s">
        <v>573</v>
      </c>
      <c r="L110" s="5">
        <v>480832</v>
      </c>
      <c r="M110" t="s">
        <v>37</v>
      </c>
      <c r="N110" t="s">
        <v>37</v>
      </c>
      <c r="O110" t="s">
        <v>40</v>
      </c>
      <c r="P110" t="b">
        <v>1</v>
      </c>
      <c r="Q110" t="s">
        <v>31</v>
      </c>
      <c r="R110" t="s">
        <v>45</v>
      </c>
    </row>
    <row r="111" spans="1:18" hidden="1" x14ac:dyDescent="0.35">
      <c r="A111" t="s">
        <v>324</v>
      </c>
      <c r="B111" t="s">
        <v>325</v>
      </c>
      <c r="C111" t="s">
        <v>933</v>
      </c>
      <c r="D111" t="s">
        <v>35</v>
      </c>
      <c r="E111" t="s">
        <v>934</v>
      </c>
      <c r="F111" t="s">
        <v>871</v>
      </c>
      <c r="G111" t="s">
        <v>543</v>
      </c>
      <c r="H111" t="s">
        <v>935</v>
      </c>
      <c r="I111" t="s">
        <v>936</v>
      </c>
      <c r="J111" t="s">
        <v>937</v>
      </c>
      <c r="K111" t="s">
        <v>573</v>
      </c>
      <c r="L111" s="5">
        <v>42462</v>
      </c>
      <c r="M111" t="s">
        <v>40</v>
      </c>
      <c r="N111" t="s">
        <v>40</v>
      </c>
      <c r="O111" t="s">
        <v>40</v>
      </c>
      <c r="P111" t="b">
        <v>1</v>
      </c>
      <c r="Q111" t="s">
        <v>31</v>
      </c>
      <c r="R111" t="s">
        <v>45</v>
      </c>
    </row>
    <row r="112" spans="1:18" hidden="1" x14ac:dyDescent="0.35">
      <c r="A112" t="s">
        <v>324</v>
      </c>
      <c r="B112" t="s">
        <v>325</v>
      </c>
      <c r="C112" t="s">
        <v>933</v>
      </c>
      <c r="D112" t="s">
        <v>35</v>
      </c>
      <c r="E112" t="s">
        <v>934</v>
      </c>
      <c r="F112" t="s">
        <v>871</v>
      </c>
      <c r="G112" t="s">
        <v>543</v>
      </c>
      <c r="H112" t="s">
        <v>935</v>
      </c>
      <c r="I112" t="s">
        <v>936</v>
      </c>
      <c r="J112" t="s">
        <v>937</v>
      </c>
      <c r="K112" t="s">
        <v>658</v>
      </c>
      <c r="L112" s="5">
        <v>433538</v>
      </c>
      <c r="M112" t="s">
        <v>40</v>
      </c>
      <c r="N112" t="s">
        <v>40</v>
      </c>
      <c r="O112" t="s">
        <v>40</v>
      </c>
      <c r="P112" t="b">
        <v>1</v>
      </c>
      <c r="Q112" t="s">
        <v>31</v>
      </c>
      <c r="R112" t="s">
        <v>45</v>
      </c>
    </row>
    <row r="113" spans="1:18" hidden="1" x14ac:dyDescent="0.35">
      <c r="A113" t="s">
        <v>107</v>
      </c>
      <c r="B113" t="s">
        <v>108</v>
      </c>
      <c r="C113" t="s">
        <v>938</v>
      </c>
      <c r="D113" t="s">
        <v>98</v>
      </c>
      <c r="E113" t="s">
        <v>541</v>
      </c>
      <c r="F113" t="s">
        <v>565</v>
      </c>
      <c r="G113" t="s">
        <v>543</v>
      </c>
      <c r="H113" t="s">
        <v>102</v>
      </c>
      <c r="I113" t="s">
        <v>939</v>
      </c>
      <c r="J113" t="s">
        <v>940</v>
      </c>
      <c r="K113" t="s">
        <v>546</v>
      </c>
      <c r="L113" s="5">
        <v>1968382</v>
      </c>
      <c r="M113" t="s">
        <v>37</v>
      </c>
      <c r="N113" t="s">
        <v>37</v>
      </c>
      <c r="O113" t="s">
        <v>37</v>
      </c>
      <c r="P113" t="b">
        <v>1</v>
      </c>
      <c r="Q113" t="s">
        <v>31</v>
      </c>
      <c r="R113" t="s">
        <v>45</v>
      </c>
    </row>
    <row r="114" spans="1:18" hidden="1" x14ac:dyDescent="0.35">
      <c r="A114" t="s">
        <v>231</v>
      </c>
      <c r="B114" t="s">
        <v>232</v>
      </c>
      <c r="C114" t="s">
        <v>941</v>
      </c>
      <c r="D114" t="s">
        <v>98</v>
      </c>
      <c r="E114" t="s">
        <v>541</v>
      </c>
      <c r="F114" t="s">
        <v>565</v>
      </c>
      <c r="G114" t="s">
        <v>543</v>
      </c>
      <c r="H114" t="s">
        <v>226</v>
      </c>
      <c r="I114" t="s">
        <v>668</v>
      </c>
      <c r="J114" t="s">
        <v>669</v>
      </c>
      <c r="K114" t="s">
        <v>546</v>
      </c>
      <c r="L114" s="5">
        <v>996761</v>
      </c>
      <c r="M114" t="s">
        <v>37</v>
      </c>
      <c r="N114" t="s">
        <v>37</v>
      </c>
      <c r="O114" t="s">
        <v>37</v>
      </c>
      <c r="P114" t="b">
        <v>1</v>
      </c>
      <c r="Q114" t="s">
        <v>31</v>
      </c>
      <c r="R114" t="s">
        <v>45</v>
      </c>
    </row>
    <row r="115" spans="1:18" hidden="1" x14ac:dyDescent="0.35">
      <c r="A115" t="s">
        <v>385</v>
      </c>
      <c r="B115" t="s">
        <v>386</v>
      </c>
      <c r="C115" t="s">
        <v>942</v>
      </c>
      <c r="D115" t="s">
        <v>98</v>
      </c>
      <c r="E115" t="s">
        <v>541</v>
      </c>
      <c r="F115" t="s">
        <v>565</v>
      </c>
      <c r="G115" t="s">
        <v>543</v>
      </c>
      <c r="H115" t="s">
        <v>380</v>
      </c>
      <c r="I115" t="s">
        <v>939</v>
      </c>
      <c r="J115" t="s">
        <v>940</v>
      </c>
      <c r="K115" t="s">
        <v>546</v>
      </c>
      <c r="L115" s="5">
        <v>1968382</v>
      </c>
      <c r="M115" t="s">
        <v>37</v>
      </c>
      <c r="N115" t="s">
        <v>37</v>
      </c>
      <c r="O115" t="s">
        <v>37</v>
      </c>
      <c r="P115" t="b">
        <v>1</v>
      </c>
      <c r="Q115" t="s">
        <v>31</v>
      </c>
      <c r="R115" t="s">
        <v>45</v>
      </c>
    </row>
    <row r="116" spans="1:18" hidden="1" x14ac:dyDescent="0.35">
      <c r="A116" t="s">
        <v>103</v>
      </c>
      <c r="B116" t="s">
        <v>104</v>
      </c>
      <c r="C116" t="s">
        <v>943</v>
      </c>
      <c r="D116" t="s">
        <v>48</v>
      </c>
      <c r="E116" t="s">
        <v>944</v>
      </c>
      <c r="F116" t="s">
        <v>871</v>
      </c>
      <c r="G116" t="s">
        <v>543</v>
      </c>
      <c r="H116" t="s">
        <v>102</v>
      </c>
      <c r="I116" t="s">
        <v>945</v>
      </c>
      <c r="J116" t="s">
        <v>946</v>
      </c>
      <c r="K116" t="s">
        <v>917</v>
      </c>
      <c r="L116" s="5">
        <v>136000</v>
      </c>
      <c r="M116" t="s">
        <v>37</v>
      </c>
      <c r="N116" t="s">
        <v>37</v>
      </c>
      <c r="O116" t="s">
        <v>37</v>
      </c>
      <c r="P116" t="b">
        <v>1</v>
      </c>
      <c r="Q116" t="s">
        <v>31</v>
      </c>
      <c r="R116" t="s">
        <v>45</v>
      </c>
    </row>
    <row r="117" spans="1:18" hidden="1" x14ac:dyDescent="0.35">
      <c r="A117" t="s">
        <v>368</v>
      </c>
      <c r="B117" t="s">
        <v>369</v>
      </c>
      <c r="C117" t="s">
        <v>608</v>
      </c>
      <c r="D117" t="s">
        <v>116</v>
      </c>
      <c r="E117" t="s">
        <v>609</v>
      </c>
      <c r="F117" t="s">
        <v>565</v>
      </c>
      <c r="G117" t="s">
        <v>543</v>
      </c>
      <c r="H117" t="s">
        <v>370</v>
      </c>
      <c r="I117" t="s">
        <v>947</v>
      </c>
      <c r="J117" t="s">
        <v>948</v>
      </c>
      <c r="K117" t="s">
        <v>612</v>
      </c>
      <c r="L117" s="5">
        <v>905939</v>
      </c>
      <c r="M117" t="s">
        <v>37</v>
      </c>
      <c r="N117" t="s">
        <v>37</v>
      </c>
      <c r="O117" t="s">
        <v>37</v>
      </c>
      <c r="P117" t="b">
        <v>1</v>
      </c>
      <c r="Q117" t="s">
        <v>31</v>
      </c>
      <c r="R117" t="s">
        <v>45</v>
      </c>
    </row>
    <row r="118" spans="1:18" hidden="1" x14ac:dyDescent="0.35">
      <c r="A118" t="s">
        <v>371</v>
      </c>
      <c r="B118" t="s">
        <v>372</v>
      </c>
      <c r="C118" t="s">
        <v>949</v>
      </c>
      <c r="D118" t="s">
        <v>373</v>
      </c>
      <c r="E118" t="s">
        <v>950</v>
      </c>
      <c r="F118" t="s">
        <v>871</v>
      </c>
      <c r="G118" t="s">
        <v>543</v>
      </c>
      <c r="H118" t="s">
        <v>370</v>
      </c>
      <c r="I118" t="s">
        <v>951</v>
      </c>
      <c r="J118" t="s">
        <v>952</v>
      </c>
      <c r="K118" t="s">
        <v>573</v>
      </c>
      <c r="L118" s="5">
        <v>691619</v>
      </c>
      <c r="M118" t="s">
        <v>37</v>
      </c>
      <c r="N118" t="s">
        <v>37</v>
      </c>
      <c r="O118" t="s">
        <v>40</v>
      </c>
      <c r="P118" t="b">
        <v>1</v>
      </c>
      <c r="Q118" t="s">
        <v>31</v>
      </c>
      <c r="R118" t="s">
        <v>45</v>
      </c>
    </row>
    <row r="119" spans="1:18" hidden="1" x14ac:dyDescent="0.35">
      <c r="A119" t="s">
        <v>429</v>
      </c>
      <c r="B119" t="s">
        <v>430</v>
      </c>
      <c r="C119" t="s">
        <v>953</v>
      </c>
      <c r="D119" t="s">
        <v>175</v>
      </c>
      <c r="E119" t="s">
        <v>954</v>
      </c>
      <c r="F119" t="s">
        <v>565</v>
      </c>
      <c r="G119" t="s">
        <v>543</v>
      </c>
      <c r="H119" t="s">
        <v>428</v>
      </c>
      <c r="I119" t="s">
        <v>955</v>
      </c>
      <c r="J119" t="s">
        <v>956</v>
      </c>
      <c r="K119" t="s">
        <v>957</v>
      </c>
      <c r="L119" s="5">
        <v>900000</v>
      </c>
      <c r="M119" t="s">
        <v>37</v>
      </c>
      <c r="N119" t="s">
        <v>37</v>
      </c>
      <c r="O119" t="s">
        <v>40</v>
      </c>
      <c r="P119" t="b">
        <v>1</v>
      </c>
      <c r="Q119" t="s">
        <v>31</v>
      </c>
      <c r="R119" t="s">
        <v>45</v>
      </c>
    </row>
    <row r="120" spans="1:18" hidden="1" x14ac:dyDescent="0.35">
      <c r="A120" t="s">
        <v>76</v>
      </c>
      <c r="B120" t="s">
        <v>77</v>
      </c>
      <c r="C120" t="s">
        <v>958</v>
      </c>
      <c r="D120" t="s">
        <v>43</v>
      </c>
      <c r="E120" t="s">
        <v>959</v>
      </c>
      <c r="F120" t="s">
        <v>871</v>
      </c>
      <c r="G120" t="s">
        <v>543</v>
      </c>
      <c r="H120" t="s">
        <v>78</v>
      </c>
      <c r="I120" t="s">
        <v>960</v>
      </c>
      <c r="J120" t="s">
        <v>961</v>
      </c>
      <c r="K120" t="s">
        <v>680</v>
      </c>
      <c r="L120" s="5">
        <v>200000</v>
      </c>
      <c r="M120" t="s">
        <v>40</v>
      </c>
      <c r="N120" t="s">
        <v>37</v>
      </c>
      <c r="O120" t="s">
        <v>37</v>
      </c>
      <c r="P120" t="b">
        <v>1</v>
      </c>
      <c r="Q120" t="s">
        <v>31</v>
      </c>
      <c r="R120" t="s">
        <v>45</v>
      </c>
    </row>
    <row r="121" spans="1:18" hidden="1" x14ac:dyDescent="0.35">
      <c r="A121" t="s">
        <v>76</v>
      </c>
      <c r="B121" t="s">
        <v>77</v>
      </c>
      <c r="C121" t="s">
        <v>958</v>
      </c>
      <c r="D121" t="s">
        <v>43</v>
      </c>
      <c r="E121" t="s">
        <v>959</v>
      </c>
      <c r="F121" t="s">
        <v>871</v>
      </c>
      <c r="G121" t="s">
        <v>543</v>
      </c>
      <c r="H121" t="s">
        <v>78</v>
      </c>
      <c r="I121" t="s">
        <v>960</v>
      </c>
      <c r="J121" t="s">
        <v>961</v>
      </c>
      <c r="K121" t="s">
        <v>546</v>
      </c>
      <c r="L121" s="5">
        <v>1227348</v>
      </c>
      <c r="M121" t="s">
        <v>40</v>
      </c>
      <c r="N121" t="s">
        <v>37</v>
      </c>
      <c r="O121" t="s">
        <v>37</v>
      </c>
      <c r="P121" t="b">
        <v>1</v>
      </c>
      <c r="Q121" t="s">
        <v>31</v>
      </c>
      <c r="R121" t="s">
        <v>45</v>
      </c>
    </row>
    <row r="122" spans="1:18" hidden="1" x14ac:dyDescent="0.35">
      <c r="A122" t="s">
        <v>76</v>
      </c>
      <c r="B122" t="s">
        <v>77</v>
      </c>
      <c r="C122" t="s">
        <v>958</v>
      </c>
      <c r="D122" t="s">
        <v>43</v>
      </c>
      <c r="E122" t="s">
        <v>959</v>
      </c>
      <c r="F122" t="s">
        <v>871</v>
      </c>
      <c r="G122" t="s">
        <v>543</v>
      </c>
      <c r="H122" t="s">
        <v>78</v>
      </c>
      <c r="I122" t="s">
        <v>960</v>
      </c>
      <c r="J122" t="s">
        <v>961</v>
      </c>
      <c r="K122" t="s">
        <v>962</v>
      </c>
      <c r="L122" s="5">
        <v>50000</v>
      </c>
      <c r="M122" t="s">
        <v>40</v>
      </c>
      <c r="N122" t="s">
        <v>37</v>
      </c>
      <c r="O122" t="s">
        <v>37</v>
      </c>
      <c r="P122" t="b">
        <v>1</v>
      </c>
      <c r="Q122" t="s">
        <v>31</v>
      </c>
      <c r="R122" t="s">
        <v>45</v>
      </c>
    </row>
    <row r="123" spans="1:18" hidden="1" x14ac:dyDescent="0.35">
      <c r="A123" t="s">
        <v>253</v>
      </c>
      <c r="B123" t="s">
        <v>254</v>
      </c>
      <c r="C123" t="s">
        <v>254</v>
      </c>
      <c r="D123" t="s">
        <v>255</v>
      </c>
      <c r="E123" t="s">
        <v>963</v>
      </c>
      <c r="F123" t="s">
        <v>871</v>
      </c>
      <c r="G123" t="s">
        <v>543</v>
      </c>
      <c r="H123" t="s">
        <v>252</v>
      </c>
      <c r="I123" t="s">
        <v>964</v>
      </c>
      <c r="J123" t="s">
        <v>965</v>
      </c>
      <c r="K123" t="s">
        <v>637</v>
      </c>
      <c r="L123" s="5">
        <v>96000</v>
      </c>
      <c r="M123" t="s">
        <v>37</v>
      </c>
      <c r="N123" t="s">
        <v>37</v>
      </c>
      <c r="O123" t="s">
        <v>37</v>
      </c>
      <c r="P123" t="b">
        <v>1</v>
      </c>
      <c r="Q123" t="s">
        <v>31</v>
      </c>
      <c r="R123" t="s">
        <v>45</v>
      </c>
    </row>
    <row r="124" spans="1:18" hidden="1" x14ac:dyDescent="0.35">
      <c r="A124" t="s">
        <v>152</v>
      </c>
      <c r="B124" t="s">
        <v>153</v>
      </c>
      <c r="C124" t="s">
        <v>966</v>
      </c>
      <c r="D124" t="s">
        <v>116</v>
      </c>
      <c r="E124" t="s">
        <v>967</v>
      </c>
      <c r="F124" t="s">
        <v>565</v>
      </c>
      <c r="G124" t="s">
        <v>968</v>
      </c>
      <c r="H124" t="s">
        <v>969</v>
      </c>
      <c r="I124" t="s">
        <v>970</v>
      </c>
      <c r="J124" t="s">
        <v>971</v>
      </c>
      <c r="K124" t="s">
        <v>568</v>
      </c>
      <c r="L124" s="5">
        <v>659700</v>
      </c>
      <c r="M124" t="s">
        <v>37</v>
      </c>
      <c r="N124" t="s">
        <v>37</v>
      </c>
      <c r="O124" t="s">
        <v>37</v>
      </c>
      <c r="P124" t="b">
        <v>1</v>
      </c>
      <c r="Q124" t="s">
        <v>31</v>
      </c>
      <c r="R124" t="s">
        <v>45</v>
      </c>
    </row>
    <row r="125" spans="1:18" hidden="1" x14ac:dyDescent="0.35">
      <c r="A125" t="s">
        <v>972</v>
      </c>
      <c r="B125" t="s">
        <v>973</v>
      </c>
      <c r="C125" t="s">
        <v>974</v>
      </c>
      <c r="D125" t="s">
        <v>627</v>
      </c>
      <c r="E125" t="s">
        <v>628</v>
      </c>
      <c r="F125" t="s">
        <v>629</v>
      </c>
      <c r="G125" t="s">
        <v>543</v>
      </c>
      <c r="H125" t="s">
        <v>512</v>
      </c>
      <c r="I125" t="s">
        <v>975</v>
      </c>
      <c r="J125" t="s">
        <v>976</v>
      </c>
      <c r="K125" t="s">
        <v>632</v>
      </c>
      <c r="L125" s="5">
        <v>429200</v>
      </c>
      <c r="M125" t="s">
        <v>37</v>
      </c>
      <c r="N125" t="s">
        <v>37</v>
      </c>
      <c r="O125" t="s">
        <v>37</v>
      </c>
      <c r="P125" t="b">
        <v>0</v>
      </c>
      <c r="Q125" t="s">
        <v>31</v>
      </c>
      <c r="R125" t="s">
        <v>45</v>
      </c>
    </row>
    <row r="126" spans="1:18" hidden="1" x14ac:dyDescent="0.35">
      <c r="A126" t="s">
        <v>188</v>
      </c>
      <c r="B126" t="s">
        <v>189</v>
      </c>
      <c r="C126" t="s">
        <v>977</v>
      </c>
      <c r="D126" t="s">
        <v>35</v>
      </c>
      <c r="E126" t="s">
        <v>978</v>
      </c>
      <c r="F126" t="s">
        <v>565</v>
      </c>
      <c r="G126" t="s">
        <v>543</v>
      </c>
      <c r="H126" t="s">
        <v>187</v>
      </c>
      <c r="I126" t="s">
        <v>979</v>
      </c>
      <c r="J126" t="s">
        <v>980</v>
      </c>
      <c r="K126" t="s">
        <v>711</v>
      </c>
      <c r="L126" s="5">
        <v>6452835</v>
      </c>
      <c r="M126" t="s">
        <v>40</v>
      </c>
      <c r="N126" t="s">
        <v>40</v>
      </c>
      <c r="O126" t="s">
        <v>37</v>
      </c>
      <c r="P126" t="b">
        <v>1</v>
      </c>
      <c r="Q126" t="s">
        <v>31</v>
      </c>
      <c r="R126" t="s">
        <v>45</v>
      </c>
    </row>
    <row r="127" spans="1:18" hidden="1" x14ac:dyDescent="0.35">
      <c r="A127" t="s">
        <v>79</v>
      </c>
      <c r="B127" t="s">
        <v>80</v>
      </c>
      <c r="C127" t="s">
        <v>981</v>
      </c>
      <c r="D127" t="s">
        <v>51</v>
      </c>
      <c r="E127" t="s">
        <v>982</v>
      </c>
      <c r="F127" t="s">
        <v>983</v>
      </c>
      <c r="G127" t="s">
        <v>543</v>
      </c>
      <c r="H127" t="s">
        <v>81</v>
      </c>
      <c r="I127" t="s">
        <v>984</v>
      </c>
      <c r="J127" t="s">
        <v>985</v>
      </c>
      <c r="K127" t="s">
        <v>573</v>
      </c>
      <c r="L127" s="5">
        <v>335821</v>
      </c>
      <c r="M127" t="s">
        <v>40</v>
      </c>
      <c r="N127" t="s">
        <v>40</v>
      </c>
      <c r="O127" t="s">
        <v>37</v>
      </c>
      <c r="P127" t="b">
        <v>1</v>
      </c>
      <c r="Q127" t="s">
        <v>31</v>
      </c>
      <c r="R127" t="s">
        <v>45</v>
      </c>
    </row>
    <row r="128" spans="1:18" hidden="1" x14ac:dyDescent="0.35">
      <c r="A128" t="s">
        <v>84</v>
      </c>
      <c r="B128" t="s">
        <v>85</v>
      </c>
      <c r="C128" t="s">
        <v>986</v>
      </c>
      <c r="D128" t="s">
        <v>35</v>
      </c>
      <c r="E128" t="s">
        <v>987</v>
      </c>
      <c r="F128" t="s">
        <v>565</v>
      </c>
      <c r="G128" t="s">
        <v>857</v>
      </c>
      <c r="H128" t="s">
        <v>988</v>
      </c>
      <c r="I128" t="s">
        <v>989</v>
      </c>
      <c r="J128" t="s">
        <v>990</v>
      </c>
      <c r="K128" t="s">
        <v>573</v>
      </c>
      <c r="L128" s="5">
        <v>116074</v>
      </c>
      <c r="M128" t="s">
        <v>37</v>
      </c>
      <c r="N128" t="s">
        <v>37</v>
      </c>
      <c r="O128" t="s">
        <v>37</v>
      </c>
      <c r="P128" t="b">
        <v>1</v>
      </c>
      <c r="Q128" t="s">
        <v>31</v>
      </c>
      <c r="R128" t="s">
        <v>45</v>
      </c>
    </row>
    <row r="129" spans="1:18" hidden="1" x14ac:dyDescent="0.35">
      <c r="A129" t="s">
        <v>84</v>
      </c>
      <c r="B129" t="s">
        <v>85</v>
      </c>
      <c r="C129" t="s">
        <v>986</v>
      </c>
      <c r="D129" t="s">
        <v>35</v>
      </c>
      <c r="E129" t="s">
        <v>987</v>
      </c>
      <c r="F129" t="s">
        <v>565</v>
      </c>
      <c r="G129" t="s">
        <v>857</v>
      </c>
      <c r="H129" t="s">
        <v>988</v>
      </c>
      <c r="I129" t="s">
        <v>991</v>
      </c>
      <c r="J129" t="s">
        <v>992</v>
      </c>
      <c r="K129" t="s">
        <v>711</v>
      </c>
      <c r="L129" s="5">
        <v>16038095</v>
      </c>
      <c r="M129" t="s">
        <v>37</v>
      </c>
      <c r="N129" t="s">
        <v>37</v>
      </c>
      <c r="O129" t="s">
        <v>37</v>
      </c>
      <c r="P129" t="b">
        <v>1</v>
      </c>
      <c r="Q129" t="s">
        <v>31</v>
      </c>
      <c r="R129" t="s">
        <v>45</v>
      </c>
    </row>
    <row r="130" spans="1:18" hidden="1" x14ac:dyDescent="0.35">
      <c r="A130" t="s">
        <v>515</v>
      </c>
      <c r="B130" t="s">
        <v>516</v>
      </c>
      <c r="C130" t="s">
        <v>993</v>
      </c>
      <c r="D130" t="s">
        <v>51</v>
      </c>
      <c r="E130" t="s">
        <v>994</v>
      </c>
      <c r="F130" t="s">
        <v>565</v>
      </c>
      <c r="G130" t="s">
        <v>543</v>
      </c>
      <c r="H130" t="s">
        <v>517</v>
      </c>
      <c r="I130" t="s">
        <v>995</v>
      </c>
      <c r="J130" t="s">
        <v>996</v>
      </c>
      <c r="K130" t="s">
        <v>704</v>
      </c>
      <c r="L130" s="5">
        <v>97911</v>
      </c>
      <c r="M130" t="s">
        <v>40</v>
      </c>
      <c r="N130" t="s">
        <v>40</v>
      </c>
      <c r="O130" t="s">
        <v>40</v>
      </c>
      <c r="P130" t="b">
        <v>1</v>
      </c>
      <c r="Q130" t="s">
        <v>31</v>
      </c>
      <c r="R130" t="s">
        <v>45</v>
      </c>
    </row>
    <row r="131" spans="1:18" hidden="1" x14ac:dyDescent="0.35">
      <c r="A131" t="s">
        <v>515</v>
      </c>
      <c r="B131" t="s">
        <v>516</v>
      </c>
      <c r="C131" t="s">
        <v>993</v>
      </c>
      <c r="D131" t="s">
        <v>51</v>
      </c>
      <c r="E131" t="s">
        <v>994</v>
      </c>
      <c r="F131" t="s">
        <v>565</v>
      </c>
      <c r="G131" t="s">
        <v>543</v>
      </c>
      <c r="H131" t="s">
        <v>517</v>
      </c>
      <c r="I131" t="s">
        <v>995</v>
      </c>
      <c r="J131" t="s">
        <v>996</v>
      </c>
      <c r="K131" t="s">
        <v>584</v>
      </c>
      <c r="L131" s="5">
        <v>2212618</v>
      </c>
      <c r="M131" t="s">
        <v>40</v>
      </c>
      <c r="N131" t="s">
        <v>40</v>
      </c>
      <c r="O131" t="s">
        <v>40</v>
      </c>
      <c r="P131" t="b">
        <v>1</v>
      </c>
      <c r="Q131" t="s">
        <v>31</v>
      </c>
      <c r="R131" t="s">
        <v>45</v>
      </c>
    </row>
    <row r="132" spans="1:18" hidden="1" x14ac:dyDescent="0.35">
      <c r="A132" t="s">
        <v>288</v>
      </c>
      <c r="B132" t="s">
        <v>289</v>
      </c>
      <c r="C132" t="s">
        <v>997</v>
      </c>
      <c r="D132" t="s">
        <v>35</v>
      </c>
      <c r="E132" t="s">
        <v>998</v>
      </c>
      <c r="F132" t="s">
        <v>983</v>
      </c>
      <c r="G132" t="s">
        <v>543</v>
      </c>
      <c r="H132" t="s">
        <v>290</v>
      </c>
      <c r="I132" t="s">
        <v>999</v>
      </c>
      <c r="J132" t="s">
        <v>1000</v>
      </c>
      <c r="K132" t="s">
        <v>766</v>
      </c>
      <c r="L132" s="5">
        <v>85024</v>
      </c>
      <c r="M132" t="s">
        <v>40</v>
      </c>
      <c r="N132" t="s">
        <v>40</v>
      </c>
      <c r="O132" t="s">
        <v>40</v>
      </c>
      <c r="P132" t="b">
        <v>1</v>
      </c>
      <c r="Q132" t="s">
        <v>31</v>
      </c>
      <c r="R132" t="s">
        <v>45</v>
      </c>
    </row>
    <row r="133" spans="1:18" hidden="1" x14ac:dyDescent="0.35">
      <c r="A133" t="s">
        <v>329</v>
      </c>
      <c r="B133" t="s">
        <v>330</v>
      </c>
      <c r="C133" t="s">
        <v>1001</v>
      </c>
      <c r="D133" t="s">
        <v>331</v>
      </c>
      <c r="E133" t="s">
        <v>1002</v>
      </c>
      <c r="F133" t="s">
        <v>565</v>
      </c>
      <c r="G133" t="s">
        <v>543</v>
      </c>
      <c r="H133" t="s">
        <v>326</v>
      </c>
      <c r="I133" t="s">
        <v>1003</v>
      </c>
      <c r="J133" t="s">
        <v>1004</v>
      </c>
      <c r="K133" t="s">
        <v>546</v>
      </c>
      <c r="L133" s="5">
        <v>16195</v>
      </c>
      <c r="M133" t="s">
        <v>40</v>
      </c>
      <c r="N133" t="s">
        <v>37</v>
      </c>
      <c r="O133" t="s">
        <v>37</v>
      </c>
      <c r="P133" t="b">
        <v>1</v>
      </c>
      <c r="Q133" t="s">
        <v>31</v>
      </c>
      <c r="R133" t="s">
        <v>45</v>
      </c>
    </row>
    <row r="134" spans="1:18" hidden="1" x14ac:dyDescent="0.35">
      <c r="A134" t="s">
        <v>329</v>
      </c>
      <c r="B134" t="s">
        <v>330</v>
      </c>
      <c r="C134" t="s">
        <v>1001</v>
      </c>
      <c r="D134" t="s">
        <v>331</v>
      </c>
      <c r="E134" t="s">
        <v>1002</v>
      </c>
      <c r="F134" t="s">
        <v>565</v>
      </c>
      <c r="G134" t="s">
        <v>543</v>
      </c>
      <c r="H134" t="s">
        <v>326</v>
      </c>
      <c r="I134" t="s">
        <v>1003</v>
      </c>
      <c r="J134" t="s">
        <v>1004</v>
      </c>
      <c r="K134" t="s">
        <v>766</v>
      </c>
      <c r="L134" s="5">
        <v>361640</v>
      </c>
      <c r="M134" t="s">
        <v>40</v>
      </c>
      <c r="N134" t="s">
        <v>37</v>
      </c>
      <c r="O134" t="s">
        <v>37</v>
      </c>
      <c r="P134" t="b">
        <v>1</v>
      </c>
      <c r="Q134" t="s">
        <v>31</v>
      </c>
      <c r="R134" t="s">
        <v>45</v>
      </c>
    </row>
    <row r="135" spans="1:18" hidden="1" x14ac:dyDescent="0.35">
      <c r="A135" t="s">
        <v>329</v>
      </c>
      <c r="B135" t="s">
        <v>330</v>
      </c>
      <c r="C135" t="s">
        <v>1001</v>
      </c>
      <c r="D135" t="s">
        <v>331</v>
      </c>
      <c r="E135" t="s">
        <v>1002</v>
      </c>
      <c r="F135" t="s">
        <v>565</v>
      </c>
      <c r="G135" t="s">
        <v>543</v>
      </c>
      <c r="H135" t="s">
        <v>326</v>
      </c>
      <c r="I135" t="s">
        <v>1003</v>
      </c>
      <c r="J135" t="s">
        <v>1004</v>
      </c>
      <c r="K135" t="s">
        <v>573</v>
      </c>
      <c r="L135" s="5">
        <v>2446357</v>
      </c>
      <c r="M135" t="s">
        <v>40</v>
      </c>
      <c r="N135" t="s">
        <v>37</v>
      </c>
      <c r="O135" t="s">
        <v>37</v>
      </c>
      <c r="P135" t="b">
        <v>1</v>
      </c>
      <c r="Q135" t="s">
        <v>31</v>
      </c>
      <c r="R135" t="s">
        <v>45</v>
      </c>
    </row>
    <row r="136" spans="1:18" hidden="1" x14ac:dyDescent="0.35">
      <c r="A136" t="s">
        <v>82</v>
      </c>
      <c r="B136" t="s">
        <v>83</v>
      </c>
      <c r="C136" t="s">
        <v>1005</v>
      </c>
      <c r="D136" t="s">
        <v>51</v>
      </c>
      <c r="E136" t="s">
        <v>541</v>
      </c>
      <c r="F136" t="s">
        <v>565</v>
      </c>
      <c r="G136" t="s">
        <v>543</v>
      </c>
      <c r="H136" t="s">
        <v>81</v>
      </c>
      <c r="I136" t="s">
        <v>939</v>
      </c>
      <c r="J136" t="s">
        <v>940</v>
      </c>
      <c r="K136" t="s">
        <v>546</v>
      </c>
      <c r="L136" s="5">
        <v>1968382</v>
      </c>
      <c r="M136" t="s">
        <v>37</v>
      </c>
      <c r="N136" t="s">
        <v>37</v>
      </c>
      <c r="O136" t="s">
        <v>37</v>
      </c>
      <c r="P136" t="b">
        <v>1</v>
      </c>
      <c r="Q136" t="s">
        <v>31</v>
      </c>
      <c r="R136" t="s">
        <v>45</v>
      </c>
    </row>
    <row r="137" spans="1:18" hidden="1" x14ac:dyDescent="0.35">
      <c r="A137" t="s">
        <v>112</v>
      </c>
      <c r="B137" t="s">
        <v>113</v>
      </c>
      <c r="C137" t="s">
        <v>1006</v>
      </c>
      <c r="D137" t="s">
        <v>35</v>
      </c>
      <c r="E137" t="s">
        <v>1007</v>
      </c>
      <c r="F137" t="s">
        <v>983</v>
      </c>
      <c r="G137" t="s">
        <v>543</v>
      </c>
      <c r="H137" t="s">
        <v>111</v>
      </c>
      <c r="I137" t="s">
        <v>1008</v>
      </c>
      <c r="J137" t="s">
        <v>1009</v>
      </c>
      <c r="K137" t="s">
        <v>573</v>
      </c>
      <c r="L137" s="5">
        <v>4062640</v>
      </c>
      <c r="M137" t="s">
        <v>40</v>
      </c>
      <c r="N137" t="s">
        <v>40</v>
      </c>
      <c r="O137" t="s">
        <v>40</v>
      </c>
      <c r="P137" t="b">
        <v>1</v>
      </c>
      <c r="Q137" t="s">
        <v>31</v>
      </c>
      <c r="R137" t="s">
        <v>45</v>
      </c>
    </row>
    <row r="138" spans="1:18" hidden="1" x14ac:dyDescent="0.35">
      <c r="A138" t="s">
        <v>296</v>
      </c>
      <c r="B138" t="s">
        <v>297</v>
      </c>
      <c r="C138" t="s">
        <v>608</v>
      </c>
      <c r="D138" t="s">
        <v>48</v>
      </c>
      <c r="E138" t="s">
        <v>609</v>
      </c>
      <c r="F138" t="s">
        <v>565</v>
      </c>
      <c r="G138" t="s">
        <v>543</v>
      </c>
      <c r="H138" t="s">
        <v>298</v>
      </c>
      <c r="I138" t="s">
        <v>1010</v>
      </c>
      <c r="J138" t="s">
        <v>1011</v>
      </c>
      <c r="K138" t="s">
        <v>568</v>
      </c>
      <c r="L138" s="5">
        <v>1706491</v>
      </c>
      <c r="M138" t="s">
        <v>37</v>
      </c>
      <c r="N138" t="s">
        <v>37</v>
      </c>
      <c r="O138" t="s">
        <v>37</v>
      </c>
      <c r="P138" t="b">
        <v>1</v>
      </c>
      <c r="Q138" t="s">
        <v>31</v>
      </c>
      <c r="R138" t="s">
        <v>45</v>
      </c>
    </row>
    <row r="139" spans="1:18" hidden="1" x14ac:dyDescent="0.35">
      <c r="A139" t="s">
        <v>502</v>
      </c>
      <c r="B139" t="s">
        <v>503</v>
      </c>
      <c r="C139" t="s">
        <v>608</v>
      </c>
      <c r="D139" t="s">
        <v>116</v>
      </c>
      <c r="E139" t="s">
        <v>609</v>
      </c>
      <c r="F139" t="s">
        <v>565</v>
      </c>
      <c r="G139" t="s">
        <v>543</v>
      </c>
      <c r="H139" t="s">
        <v>504</v>
      </c>
      <c r="I139" t="s">
        <v>1012</v>
      </c>
      <c r="J139" t="s">
        <v>1013</v>
      </c>
      <c r="K139" t="s">
        <v>612</v>
      </c>
      <c r="L139" s="5">
        <v>471200</v>
      </c>
      <c r="M139" t="s">
        <v>37</v>
      </c>
      <c r="N139" t="s">
        <v>37</v>
      </c>
      <c r="O139" t="s">
        <v>37</v>
      </c>
      <c r="P139" t="b">
        <v>1</v>
      </c>
      <c r="Q139" t="s">
        <v>31</v>
      </c>
      <c r="R139" t="s">
        <v>45</v>
      </c>
    </row>
    <row r="140" spans="1:18" hidden="1" x14ac:dyDescent="0.35">
      <c r="A140" t="s">
        <v>518</v>
      </c>
      <c r="B140" t="s">
        <v>519</v>
      </c>
      <c r="C140" t="s">
        <v>1014</v>
      </c>
      <c r="D140" t="s">
        <v>35</v>
      </c>
      <c r="E140" t="s">
        <v>1015</v>
      </c>
      <c r="F140" t="s">
        <v>983</v>
      </c>
      <c r="G140" t="s">
        <v>543</v>
      </c>
      <c r="H140" t="s">
        <v>517</v>
      </c>
      <c r="I140" t="s">
        <v>1016</v>
      </c>
      <c r="J140" t="s">
        <v>1017</v>
      </c>
      <c r="K140" t="s">
        <v>573</v>
      </c>
      <c r="L140" s="5">
        <v>924800</v>
      </c>
      <c r="M140" t="s">
        <v>40</v>
      </c>
      <c r="N140" t="s">
        <v>40</v>
      </c>
      <c r="O140" t="s">
        <v>40</v>
      </c>
      <c r="P140" t="b">
        <v>1</v>
      </c>
      <c r="Q140" t="s">
        <v>31</v>
      </c>
      <c r="R140" t="s">
        <v>45</v>
      </c>
    </row>
    <row r="141" spans="1:18" hidden="1" x14ac:dyDescent="0.35">
      <c r="A141" t="s">
        <v>249</v>
      </c>
      <c r="B141" t="s">
        <v>250</v>
      </c>
      <c r="C141" t="s">
        <v>1018</v>
      </c>
      <c r="D141" t="s">
        <v>35</v>
      </c>
      <c r="E141" t="s">
        <v>1019</v>
      </c>
      <c r="F141" t="s">
        <v>983</v>
      </c>
      <c r="G141" t="s">
        <v>543</v>
      </c>
      <c r="H141" t="s">
        <v>251</v>
      </c>
      <c r="I141" t="s">
        <v>1020</v>
      </c>
      <c r="J141" t="s">
        <v>1021</v>
      </c>
      <c r="K141" t="s">
        <v>573</v>
      </c>
      <c r="L141" s="5">
        <v>680000</v>
      </c>
      <c r="M141" t="s">
        <v>40</v>
      </c>
      <c r="N141" t="s">
        <v>40</v>
      </c>
      <c r="O141" t="s">
        <v>40</v>
      </c>
      <c r="P141" t="b">
        <v>1</v>
      </c>
      <c r="Q141" t="s">
        <v>31</v>
      </c>
      <c r="R141" t="s">
        <v>45</v>
      </c>
    </row>
    <row r="142" spans="1:18" hidden="1" x14ac:dyDescent="0.35">
      <c r="A142" t="s">
        <v>520</v>
      </c>
      <c r="B142" t="s">
        <v>521</v>
      </c>
      <c r="C142" t="s">
        <v>1022</v>
      </c>
      <c r="D142" t="s">
        <v>35</v>
      </c>
      <c r="E142" t="s">
        <v>1023</v>
      </c>
      <c r="F142" t="s">
        <v>983</v>
      </c>
      <c r="G142" t="s">
        <v>543</v>
      </c>
      <c r="H142" t="s">
        <v>517</v>
      </c>
      <c r="I142" t="s">
        <v>1024</v>
      </c>
      <c r="J142" t="s">
        <v>1025</v>
      </c>
      <c r="K142" t="s">
        <v>573</v>
      </c>
      <c r="L142" s="5">
        <v>565600</v>
      </c>
      <c r="M142" t="s">
        <v>40</v>
      </c>
      <c r="N142" t="s">
        <v>40</v>
      </c>
      <c r="O142" t="s">
        <v>40</v>
      </c>
      <c r="P142" t="b">
        <v>1</v>
      </c>
      <c r="Q142" t="s">
        <v>31</v>
      </c>
      <c r="R142" t="s">
        <v>45</v>
      </c>
    </row>
    <row r="143" spans="1:18" hidden="1" x14ac:dyDescent="0.35">
      <c r="A143" t="s">
        <v>1026</v>
      </c>
      <c r="B143" t="s">
        <v>1027</v>
      </c>
      <c r="C143" t="s">
        <v>1028</v>
      </c>
      <c r="D143" t="s">
        <v>627</v>
      </c>
      <c r="E143" t="s">
        <v>628</v>
      </c>
      <c r="F143" t="s">
        <v>629</v>
      </c>
      <c r="G143" t="s">
        <v>543</v>
      </c>
      <c r="H143" t="s">
        <v>184</v>
      </c>
      <c r="I143" t="s">
        <v>1029</v>
      </c>
      <c r="J143" t="s">
        <v>1030</v>
      </c>
      <c r="K143" t="s">
        <v>632</v>
      </c>
      <c r="L143" s="5">
        <v>484831</v>
      </c>
      <c r="M143" t="s">
        <v>37</v>
      </c>
      <c r="N143" t="s">
        <v>37</v>
      </c>
      <c r="O143" t="s">
        <v>37</v>
      </c>
      <c r="P143" t="b">
        <v>0</v>
      </c>
      <c r="Q143" t="s">
        <v>31</v>
      </c>
      <c r="R143" t="s">
        <v>45</v>
      </c>
    </row>
    <row r="144" spans="1:18" hidden="1" x14ac:dyDescent="0.35">
      <c r="A144" t="s">
        <v>392</v>
      </c>
      <c r="B144" t="s">
        <v>393</v>
      </c>
      <c r="C144" t="s">
        <v>1031</v>
      </c>
      <c r="D144" t="s">
        <v>74</v>
      </c>
      <c r="E144" t="s">
        <v>1032</v>
      </c>
      <c r="F144" t="s">
        <v>1033</v>
      </c>
      <c r="G144" t="s">
        <v>543</v>
      </c>
      <c r="H144" t="s">
        <v>394</v>
      </c>
      <c r="I144" t="s">
        <v>1034</v>
      </c>
      <c r="J144" t="s">
        <v>1035</v>
      </c>
      <c r="K144" t="s">
        <v>573</v>
      </c>
      <c r="L144" s="5">
        <v>1000000</v>
      </c>
      <c r="M144" t="s">
        <v>40</v>
      </c>
      <c r="N144" t="s">
        <v>37</v>
      </c>
      <c r="O144" t="s">
        <v>40</v>
      </c>
      <c r="P144" t="b">
        <v>1</v>
      </c>
      <c r="Q144" t="s">
        <v>31</v>
      </c>
      <c r="R144" t="s">
        <v>45</v>
      </c>
    </row>
    <row r="145" spans="1:18" hidden="1" x14ac:dyDescent="0.35">
      <c r="A145" t="s">
        <v>242</v>
      </c>
      <c r="B145" t="s">
        <v>243</v>
      </c>
      <c r="C145" t="s">
        <v>1036</v>
      </c>
      <c r="D145" t="s">
        <v>43</v>
      </c>
      <c r="E145" t="s">
        <v>1037</v>
      </c>
      <c r="F145" t="s">
        <v>1033</v>
      </c>
      <c r="G145" t="s">
        <v>543</v>
      </c>
      <c r="H145" t="s">
        <v>244</v>
      </c>
      <c r="I145" t="s">
        <v>1038</v>
      </c>
      <c r="J145" t="s">
        <v>1039</v>
      </c>
      <c r="K145" t="s">
        <v>957</v>
      </c>
      <c r="L145" s="5">
        <v>86725</v>
      </c>
      <c r="M145" t="s">
        <v>40</v>
      </c>
      <c r="N145" t="s">
        <v>37</v>
      </c>
      <c r="O145" t="s">
        <v>37</v>
      </c>
      <c r="P145" t="b">
        <v>1</v>
      </c>
      <c r="Q145" t="s">
        <v>31</v>
      </c>
      <c r="R145" t="s">
        <v>45</v>
      </c>
    </row>
    <row r="146" spans="1:18" hidden="1" x14ac:dyDescent="0.35">
      <c r="A146" t="s">
        <v>242</v>
      </c>
      <c r="B146" t="s">
        <v>243</v>
      </c>
      <c r="C146" t="s">
        <v>1036</v>
      </c>
      <c r="D146" t="s">
        <v>43</v>
      </c>
      <c r="E146" t="s">
        <v>1037</v>
      </c>
      <c r="F146" t="s">
        <v>1033</v>
      </c>
      <c r="G146" t="s">
        <v>543</v>
      </c>
      <c r="H146" t="s">
        <v>244</v>
      </c>
      <c r="I146" t="s">
        <v>1038</v>
      </c>
      <c r="J146" t="s">
        <v>1039</v>
      </c>
      <c r="K146" t="s">
        <v>573</v>
      </c>
      <c r="L146" s="5">
        <v>30000</v>
      </c>
      <c r="M146" t="s">
        <v>40</v>
      </c>
      <c r="N146" t="s">
        <v>37</v>
      </c>
      <c r="O146" t="s">
        <v>37</v>
      </c>
      <c r="P146" t="b">
        <v>1</v>
      </c>
      <c r="Q146" t="s">
        <v>31</v>
      </c>
      <c r="R146" t="s">
        <v>45</v>
      </c>
    </row>
    <row r="147" spans="1:18" hidden="1" x14ac:dyDescent="0.35">
      <c r="A147" t="s">
        <v>291</v>
      </c>
      <c r="B147" t="s">
        <v>292</v>
      </c>
      <c r="C147" t="s">
        <v>1040</v>
      </c>
      <c r="D147" t="s">
        <v>293</v>
      </c>
      <c r="E147" t="s">
        <v>1041</v>
      </c>
      <c r="F147" t="s">
        <v>1033</v>
      </c>
      <c r="G147" t="s">
        <v>543</v>
      </c>
      <c r="H147" t="s">
        <v>294</v>
      </c>
      <c r="I147" t="s">
        <v>1042</v>
      </c>
      <c r="J147" t="s">
        <v>1043</v>
      </c>
      <c r="K147" t="s">
        <v>560</v>
      </c>
      <c r="L147" s="5">
        <v>13443680</v>
      </c>
      <c r="M147" t="s">
        <v>40</v>
      </c>
      <c r="N147" t="s">
        <v>37</v>
      </c>
      <c r="O147" t="s">
        <v>40</v>
      </c>
      <c r="P147" t="b">
        <v>1</v>
      </c>
      <c r="Q147" t="s">
        <v>31</v>
      </c>
      <c r="R147" t="s">
        <v>45</v>
      </c>
    </row>
    <row r="148" spans="1:18" hidden="1" x14ac:dyDescent="0.35">
      <c r="A148" t="s">
        <v>410</v>
      </c>
      <c r="B148" t="s">
        <v>411</v>
      </c>
      <c r="C148" t="s">
        <v>1044</v>
      </c>
      <c r="D148" t="s">
        <v>48</v>
      </c>
      <c r="E148" t="s">
        <v>746</v>
      </c>
      <c r="F148" t="s">
        <v>565</v>
      </c>
      <c r="G148" t="s">
        <v>543</v>
      </c>
      <c r="H148" t="s">
        <v>412</v>
      </c>
      <c r="I148" t="s">
        <v>1045</v>
      </c>
      <c r="J148" t="s">
        <v>1046</v>
      </c>
      <c r="K148" t="s">
        <v>573</v>
      </c>
      <c r="L148" s="5">
        <v>1276718</v>
      </c>
      <c r="M148" t="s">
        <v>37</v>
      </c>
      <c r="N148" t="s">
        <v>37</v>
      </c>
      <c r="O148" t="s">
        <v>37</v>
      </c>
      <c r="P148" t="b">
        <v>1</v>
      </c>
      <c r="Q148" t="s">
        <v>31</v>
      </c>
      <c r="R148" t="s">
        <v>45</v>
      </c>
    </row>
    <row r="149" spans="1:18" hidden="1" x14ac:dyDescent="0.35">
      <c r="A149" t="s">
        <v>397</v>
      </c>
      <c r="B149" t="s">
        <v>398</v>
      </c>
      <c r="C149" t="s">
        <v>1047</v>
      </c>
      <c r="D149" t="s">
        <v>90</v>
      </c>
      <c r="E149" t="s">
        <v>1048</v>
      </c>
      <c r="F149" t="s">
        <v>1033</v>
      </c>
      <c r="G149" t="s">
        <v>543</v>
      </c>
      <c r="H149" t="s">
        <v>394</v>
      </c>
      <c r="I149" t="s">
        <v>1049</v>
      </c>
      <c r="J149" t="s">
        <v>1050</v>
      </c>
      <c r="K149" t="s">
        <v>573</v>
      </c>
      <c r="L149" s="5">
        <v>560000</v>
      </c>
      <c r="M149" t="s">
        <v>37</v>
      </c>
      <c r="N149" t="s">
        <v>37</v>
      </c>
      <c r="O149" t="s">
        <v>37</v>
      </c>
      <c r="P149" t="b">
        <v>1</v>
      </c>
      <c r="Q149" t="s">
        <v>31</v>
      </c>
      <c r="R149" t="s">
        <v>45</v>
      </c>
    </row>
    <row r="150" spans="1:18" hidden="1" x14ac:dyDescent="0.35">
      <c r="A150" t="s">
        <v>397</v>
      </c>
      <c r="B150" t="s">
        <v>398</v>
      </c>
      <c r="C150" t="s">
        <v>1047</v>
      </c>
      <c r="D150" t="s">
        <v>90</v>
      </c>
      <c r="E150" t="s">
        <v>1048</v>
      </c>
      <c r="F150" t="s">
        <v>1033</v>
      </c>
      <c r="G150" t="s">
        <v>543</v>
      </c>
      <c r="H150" t="s">
        <v>394</v>
      </c>
      <c r="I150" t="s">
        <v>1051</v>
      </c>
      <c r="J150" t="s">
        <v>1052</v>
      </c>
      <c r="K150" t="s">
        <v>1053</v>
      </c>
      <c r="L150" s="5">
        <v>3000000</v>
      </c>
      <c r="M150" t="s">
        <v>37</v>
      </c>
      <c r="N150" t="s">
        <v>37</v>
      </c>
      <c r="O150" t="s">
        <v>37</v>
      </c>
      <c r="P150" t="b">
        <v>1</v>
      </c>
      <c r="Q150" t="s">
        <v>31</v>
      </c>
      <c r="R150" t="s">
        <v>45</v>
      </c>
    </row>
    <row r="151" spans="1:18" hidden="1" x14ac:dyDescent="0.35">
      <c r="A151" t="s">
        <v>407</v>
      </c>
      <c r="B151" t="s">
        <v>408</v>
      </c>
      <c r="C151" t="s">
        <v>1054</v>
      </c>
      <c r="D151" t="s">
        <v>51</v>
      </c>
      <c r="E151" t="s">
        <v>829</v>
      </c>
      <c r="F151" t="s">
        <v>1033</v>
      </c>
      <c r="G151" t="s">
        <v>543</v>
      </c>
      <c r="H151" t="s">
        <v>409</v>
      </c>
      <c r="I151" t="s">
        <v>1055</v>
      </c>
      <c r="J151" t="s">
        <v>1056</v>
      </c>
      <c r="K151" t="s">
        <v>573</v>
      </c>
      <c r="L151" s="5">
        <v>2084760</v>
      </c>
      <c r="M151" t="s">
        <v>37</v>
      </c>
      <c r="N151" t="s">
        <v>37</v>
      </c>
      <c r="O151" t="s">
        <v>37</v>
      </c>
      <c r="P151" t="b">
        <v>1</v>
      </c>
      <c r="Q151" t="s">
        <v>31</v>
      </c>
      <c r="R151" t="s">
        <v>45</v>
      </c>
    </row>
    <row r="152" spans="1:18" hidden="1" x14ac:dyDescent="0.35">
      <c r="A152" t="s">
        <v>96</v>
      </c>
      <c r="B152" t="s">
        <v>97</v>
      </c>
      <c r="C152" t="s">
        <v>1057</v>
      </c>
      <c r="D152" t="s">
        <v>98</v>
      </c>
      <c r="E152" t="s">
        <v>541</v>
      </c>
      <c r="F152" t="s">
        <v>565</v>
      </c>
      <c r="G152" t="s">
        <v>543</v>
      </c>
      <c r="H152" t="s">
        <v>99</v>
      </c>
      <c r="I152" t="s">
        <v>939</v>
      </c>
      <c r="J152" t="s">
        <v>940</v>
      </c>
      <c r="K152" t="s">
        <v>546</v>
      </c>
      <c r="L152" s="5">
        <v>1968382</v>
      </c>
      <c r="M152" t="s">
        <v>37</v>
      </c>
      <c r="N152" t="s">
        <v>37</v>
      </c>
      <c r="O152" t="s">
        <v>37</v>
      </c>
      <c r="P152" t="b">
        <v>1</v>
      </c>
      <c r="Q152" t="s">
        <v>31</v>
      </c>
      <c r="R152" t="s">
        <v>45</v>
      </c>
    </row>
    <row r="153" spans="1:18" hidden="1" x14ac:dyDescent="0.35">
      <c r="A153" t="s">
        <v>94</v>
      </c>
      <c r="B153" t="s">
        <v>95</v>
      </c>
      <c r="C153" t="s">
        <v>619</v>
      </c>
      <c r="D153" t="s">
        <v>35</v>
      </c>
      <c r="E153" t="s">
        <v>620</v>
      </c>
      <c r="F153" t="s">
        <v>565</v>
      </c>
      <c r="G153" t="s">
        <v>543</v>
      </c>
      <c r="H153" t="s">
        <v>1058</v>
      </c>
      <c r="I153" t="s">
        <v>1059</v>
      </c>
      <c r="J153" t="s">
        <v>1060</v>
      </c>
      <c r="K153" t="s">
        <v>568</v>
      </c>
      <c r="L153" s="5">
        <v>219072</v>
      </c>
      <c r="M153" t="s">
        <v>37</v>
      </c>
      <c r="N153" t="s">
        <v>37</v>
      </c>
      <c r="O153" t="s">
        <v>37</v>
      </c>
      <c r="P153" t="b">
        <v>1</v>
      </c>
      <c r="Q153" t="s">
        <v>31</v>
      </c>
      <c r="R153" t="s">
        <v>45</v>
      </c>
    </row>
    <row r="154" spans="1:18" hidden="1" x14ac:dyDescent="0.35">
      <c r="A154" t="s">
        <v>94</v>
      </c>
      <c r="B154" t="s">
        <v>95</v>
      </c>
      <c r="C154" t="s">
        <v>619</v>
      </c>
      <c r="D154" t="s">
        <v>35</v>
      </c>
      <c r="E154" t="s">
        <v>620</v>
      </c>
      <c r="F154" t="s">
        <v>565</v>
      </c>
      <c r="G154" t="s">
        <v>543</v>
      </c>
      <c r="H154" t="s">
        <v>1058</v>
      </c>
      <c r="I154" t="s">
        <v>1059</v>
      </c>
      <c r="J154" t="s">
        <v>1060</v>
      </c>
      <c r="K154" t="s">
        <v>1061</v>
      </c>
      <c r="L154" s="5">
        <v>635546</v>
      </c>
      <c r="M154" t="s">
        <v>37</v>
      </c>
      <c r="N154" t="s">
        <v>37</v>
      </c>
      <c r="O154" t="s">
        <v>37</v>
      </c>
      <c r="P154" t="b">
        <v>1</v>
      </c>
      <c r="Q154" t="s">
        <v>31</v>
      </c>
      <c r="R154" t="s">
        <v>45</v>
      </c>
    </row>
    <row r="155" spans="1:18" hidden="1" x14ac:dyDescent="0.35">
      <c r="A155" t="s">
        <v>431</v>
      </c>
      <c r="B155" t="s">
        <v>432</v>
      </c>
      <c r="C155" t="s">
        <v>1062</v>
      </c>
      <c r="D155" t="s">
        <v>48</v>
      </c>
      <c r="E155" t="s">
        <v>1063</v>
      </c>
      <c r="F155" t="s">
        <v>565</v>
      </c>
      <c r="G155" t="s">
        <v>543</v>
      </c>
      <c r="H155" t="s">
        <v>433</v>
      </c>
      <c r="I155" t="s">
        <v>1064</v>
      </c>
      <c r="J155" t="s">
        <v>1065</v>
      </c>
      <c r="K155" t="s">
        <v>573</v>
      </c>
      <c r="L155" s="5">
        <v>7621393</v>
      </c>
      <c r="M155" t="s">
        <v>40</v>
      </c>
      <c r="N155" t="s">
        <v>37</v>
      </c>
      <c r="O155" t="s">
        <v>37</v>
      </c>
      <c r="P155" t="b">
        <v>1</v>
      </c>
      <c r="Q155" t="s">
        <v>31</v>
      </c>
      <c r="R155" t="s">
        <v>45</v>
      </c>
    </row>
    <row r="156" spans="1:18" hidden="1" x14ac:dyDescent="0.35">
      <c r="A156" t="s">
        <v>269</v>
      </c>
      <c r="B156" t="s">
        <v>270</v>
      </c>
      <c r="C156" t="s">
        <v>1066</v>
      </c>
      <c r="D156" t="s">
        <v>35</v>
      </c>
      <c r="E156" t="s">
        <v>1067</v>
      </c>
      <c r="F156" t="s">
        <v>565</v>
      </c>
      <c r="G156" t="s">
        <v>543</v>
      </c>
      <c r="H156" t="s">
        <v>271</v>
      </c>
      <c r="I156" t="s">
        <v>1068</v>
      </c>
      <c r="J156" t="s">
        <v>1069</v>
      </c>
      <c r="K156" t="s">
        <v>584</v>
      </c>
      <c r="L156" s="5">
        <v>24747</v>
      </c>
      <c r="M156" t="s">
        <v>40</v>
      </c>
      <c r="N156" t="s">
        <v>40</v>
      </c>
      <c r="O156" t="s">
        <v>37</v>
      </c>
      <c r="P156" t="b">
        <v>1</v>
      </c>
      <c r="Q156" t="s">
        <v>31</v>
      </c>
      <c r="R156" t="s">
        <v>45</v>
      </c>
    </row>
    <row r="157" spans="1:18" hidden="1" x14ac:dyDescent="0.35">
      <c r="A157" t="s">
        <v>269</v>
      </c>
      <c r="B157" t="s">
        <v>270</v>
      </c>
      <c r="C157" t="s">
        <v>1066</v>
      </c>
      <c r="D157" t="s">
        <v>35</v>
      </c>
      <c r="E157" t="s">
        <v>1067</v>
      </c>
      <c r="F157" t="s">
        <v>565</v>
      </c>
      <c r="G157" t="s">
        <v>543</v>
      </c>
      <c r="H157" t="s">
        <v>271</v>
      </c>
      <c r="I157" t="s">
        <v>1070</v>
      </c>
      <c r="J157" t="s">
        <v>1071</v>
      </c>
      <c r="K157" t="s">
        <v>584</v>
      </c>
      <c r="L157" s="5">
        <v>1935095</v>
      </c>
      <c r="M157" t="s">
        <v>40</v>
      </c>
      <c r="N157" t="s">
        <v>40</v>
      </c>
      <c r="O157" t="s">
        <v>37</v>
      </c>
      <c r="P157" t="b">
        <v>1</v>
      </c>
      <c r="Q157" t="s">
        <v>31</v>
      </c>
      <c r="R157" t="s">
        <v>45</v>
      </c>
    </row>
    <row r="158" spans="1:18" hidden="1" x14ac:dyDescent="0.35">
      <c r="A158" t="s">
        <v>212</v>
      </c>
      <c r="B158" t="s">
        <v>213</v>
      </c>
      <c r="C158" t="s">
        <v>1072</v>
      </c>
      <c r="D158" t="s">
        <v>90</v>
      </c>
      <c r="E158" t="s">
        <v>1073</v>
      </c>
      <c r="F158" t="s">
        <v>1074</v>
      </c>
      <c r="G158" t="s">
        <v>543</v>
      </c>
      <c r="H158" t="s">
        <v>214</v>
      </c>
      <c r="I158" t="s">
        <v>1075</v>
      </c>
      <c r="J158" t="s">
        <v>1076</v>
      </c>
      <c r="K158" t="s">
        <v>573</v>
      </c>
      <c r="L158" s="5">
        <v>518152</v>
      </c>
      <c r="M158" t="s">
        <v>40</v>
      </c>
      <c r="N158" t="s">
        <v>40</v>
      </c>
      <c r="O158" t="s">
        <v>40</v>
      </c>
      <c r="P158" t="b">
        <v>1</v>
      </c>
      <c r="Q158" t="s">
        <v>31</v>
      </c>
      <c r="R158" t="s">
        <v>45</v>
      </c>
    </row>
    <row r="159" spans="1:18" hidden="1" x14ac:dyDescent="0.35">
      <c r="A159" t="s">
        <v>273</v>
      </c>
      <c r="B159" t="s">
        <v>274</v>
      </c>
      <c r="C159" t="s">
        <v>1077</v>
      </c>
      <c r="D159" t="s">
        <v>35</v>
      </c>
      <c r="E159" t="s">
        <v>620</v>
      </c>
      <c r="F159" t="s">
        <v>1074</v>
      </c>
      <c r="G159" t="s">
        <v>543</v>
      </c>
      <c r="H159" t="s">
        <v>272</v>
      </c>
      <c r="I159" t="s">
        <v>1078</v>
      </c>
      <c r="J159" t="s">
        <v>1079</v>
      </c>
      <c r="K159" t="s">
        <v>1053</v>
      </c>
      <c r="L159" s="5">
        <v>294400</v>
      </c>
      <c r="M159" t="s">
        <v>37</v>
      </c>
      <c r="N159" t="s">
        <v>37</v>
      </c>
      <c r="O159" t="s">
        <v>37</v>
      </c>
      <c r="P159" t="b">
        <v>1</v>
      </c>
      <c r="Q159" t="s">
        <v>31</v>
      </c>
      <c r="R159" t="s">
        <v>45</v>
      </c>
    </row>
    <row r="160" spans="1:18" hidden="1" x14ac:dyDescent="0.35">
      <c r="A160" t="s">
        <v>340</v>
      </c>
      <c r="B160" t="s">
        <v>341</v>
      </c>
      <c r="C160" t="s">
        <v>1080</v>
      </c>
      <c r="D160" t="s">
        <v>35</v>
      </c>
      <c r="E160" t="s">
        <v>601</v>
      </c>
      <c r="F160" t="s">
        <v>565</v>
      </c>
      <c r="G160" t="s">
        <v>543</v>
      </c>
      <c r="H160" t="s">
        <v>1081</v>
      </c>
      <c r="I160" t="s">
        <v>1082</v>
      </c>
      <c r="J160" t="s">
        <v>1083</v>
      </c>
      <c r="K160" t="s">
        <v>568</v>
      </c>
      <c r="L160" s="5">
        <v>1280000</v>
      </c>
      <c r="M160" t="s">
        <v>40</v>
      </c>
      <c r="N160" t="s">
        <v>40</v>
      </c>
      <c r="O160" t="s">
        <v>37</v>
      </c>
      <c r="P160" t="b">
        <v>1</v>
      </c>
      <c r="Q160" t="s">
        <v>31</v>
      </c>
      <c r="R160" t="s">
        <v>45</v>
      </c>
    </row>
    <row r="161" spans="1:18" hidden="1" x14ac:dyDescent="0.35">
      <c r="A161" t="s">
        <v>413</v>
      </c>
      <c r="B161" t="s">
        <v>414</v>
      </c>
      <c r="C161" t="s">
        <v>608</v>
      </c>
      <c r="D161" t="s">
        <v>116</v>
      </c>
      <c r="E161" t="s">
        <v>609</v>
      </c>
      <c r="F161" t="s">
        <v>565</v>
      </c>
      <c r="G161" t="s">
        <v>543</v>
      </c>
      <c r="H161" t="s">
        <v>415</v>
      </c>
      <c r="I161" t="s">
        <v>1084</v>
      </c>
      <c r="J161" t="s">
        <v>1085</v>
      </c>
      <c r="K161" t="s">
        <v>612</v>
      </c>
      <c r="L161" s="5">
        <v>440000</v>
      </c>
      <c r="M161" t="s">
        <v>37</v>
      </c>
      <c r="N161" t="s">
        <v>37</v>
      </c>
      <c r="O161" t="s">
        <v>37</v>
      </c>
      <c r="P161" t="b">
        <v>1</v>
      </c>
      <c r="Q161" t="s">
        <v>31</v>
      </c>
      <c r="R161" t="s">
        <v>45</v>
      </c>
    </row>
    <row r="162" spans="1:18" x14ac:dyDescent="0.35">
      <c r="A162" t="s">
        <v>245</v>
      </c>
      <c r="B162" t="s">
        <v>246</v>
      </c>
      <c r="C162" t="s">
        <v>1086</v>
      </c>
      <c r="D162" t="s">
        <v>43</v>
      </c>
      <c r="E162" t="s">
        <v>1087</v>
      </c>
      <c r="F162" t="s">
        <v>1074</v>
      </c>
      <c r="G162" t="s">
        <v>543</v>
      </c>
      <c r="H162" t="s">
        <v>247</v>
      </c>
      <c r="I162" t="s">
        <v>1088</v>
      </c>
      <c r="J162" t="s">
        <v>1089</v>
      </c>
      <c r="K162" t="s">
        <v>680</v>
      </c>
      <c r="L162" s="5">
        <v>1038840</v>
      </c>
      <c r="M162" t="s">
        <v>40</v>
      </c>
      <c r="N162" t="s">
        <v>40</v>
      </c>
      <c r="O162" t="s">
        <v>40</v>
      </c>
      <c r="P162" t="b">
        <v>1</v>
      </c>
      <c r="Q162" t="s">
        <v>31</v>
      </c>
      <c r="R162" t="s">
        <v>45</v>
      </c>
    </row>
    <row r="163" spans="1:18" x14ac:dyDescent="0.35">
      <c r="A163" t="s">
        <v>245</v>
      </c>
      <c r="B163" t="s">
        <v>246</v>
      </c>
      <c r="C163" t="s">
        <v>1086</v>
      </c>
      <c r="D163" t="s">
        <v>43</v>
      </c>
      <c r="E163" t="s">
        <v>1087</v>
      </c>
      <c r="F163" t="s">
        <v>1074</v>
      </c>
      <c r="G163" t="s">
        <v>543</v>
      </c>
      <c r="H163" t="s">
        <v>247</v>
      </c>
      <c r="I163" t="s">
        <v>1088</v>
      </c>
      <c r="J163" t="s">
        <v>1089</v>
      </c>
      <c r="K163" t="s">
        <v>861</v>
      </c>
      <c r="L163" s="5">
        <v>145616</v>
      </c>
      <c r="M163" t="s">
        <v>40</v>
      </c>
      <c r="N163" t="s">
        <v>40</v>
      </c>
      <c r="O163" t="s">
        <v>40</v>
      </c>
      <c r="P163" t="b">
        <v>1</v>
      </c>
      <c r="Q163" t="s">
        <v>31</v>
      </c>
      <c r="R163" t="s">
        <v>45</v>
      </c>
    </row>
    <row r="164" spans="1:18" hidden="1" x14ac:dyDescent="0.35">
      <c r="A164" t="s">
        <v>118</v>
      </c>
      <c r="B164" t="s">
        <v>119</v>
      </c>
      <c r="C164" t="s">
        <v>1090</v>
      </c>
      <c r="D164" t="s">
        <v>116</v>
      </c>
      <c r="E164" t="s">
        <v>1091</v>
      </c>
      <c r="F164" t="s">
        <v>565</v>
      </c>
      <c r="G164" t="s">
        <v>543</v>
      </c>
      <c r="H164" t="s">
        <v>120</v>
      </c>
      <c r="I164" t="s">
        <v>1092</v>
      </c>
      <c r="J164" t="s">
        <v>1093</v>
      </c>
      <c r="K164" t="s">
        <v>568</v>
      </c>
      <c r="L164" s="5">
        <v>1468466</v>
      </c>
      <c r="M164" t="s">
        <v>37</v>
      </c>
      <c r="N164" t="s">
        <v>37</v>
      </c>
      <c r="O164" t="s">
        <v>40</v>
      </c>
      <c r="P164" t="b">
        <v>1</v>
      </c>
      <c r="Q164" t="s">
        <v>31</v>
      </c>
      <c r="R164" t="s">
        <v>45</v>
      </c>
    </row>
    <row r="165" spans="1:18" hidden="1" x14ac:dyDescent="0.35">
      <c r="A165" t="s">
        <v>434</v>
      </c>
      <c r="B165" t="s">
        <v>435</v>
      </c>
      <c r="C165" t="s">
        <v>1094</v>
      </c>
      <c r="D165" t="s">
        <v>48</v>
      </c>
      <c r="E165" t="s">
        <v>1095</v>
      </c>
      <c r="F165" t="s">
        <v>565</v>
      </c>
      <c r="G165" t="s">
        <v>543</v>
      </c>
      <c r="H165" t="s">
        <v>433</v>
      </c>
      <c r="I165" t="s">
        <v>1064</v>
      </c>
      <c r="J165" t="s">
        <v>1065</v>
      </c>
      <c r="K165" t="s">
        <v>573</v>
      </c>
      <c r="L165" s="5">
        <v>7621393</v>
      </c>
      <c r="M165" t="s">
        <v>37</v>
      </c>
      <c r="N165" t="s">
        <v>37</v>
      </c>
      <c r="O165" t="s">
        <v>37</v>
      </c>
      <c r="P165" t="b">
        <v>1</v>
      </c>
      <c r="Q165" t="s">
        <v>31</v>
      </c>
      <c r="R165" t="s">
        <v>45</v>
      </c>
    </row>
    <row r="166" spans="1:18" hidden="1" x14ac:dyDescent="0.35">
      <c r="A166" t="s">
        <v>494</v>
      </c>
      <c r="B166" t="s">
        <v>495</v>
      </c>
      <c r="C166" t="s">
        <v>1096</v>
      </c>
      <c r="D166" t="s">
        <v>35</v>
      </c>
      <c r="E166" t="s">
        <v>1097</v>
      </c>
      <c r="F166" t="s">
        <v>1074</v>
      </c>
      <c r="G166" t="s">
        <v>543</v>
      </c>
      <c r="H166" t="s">
        <v>493</v>
      </c>
      <c r="I166" t="s">
        <v>1098</v>
      </c>
      <c r="J166" t="s">
        <v>1099</v>
      </c>
      <c r="K166" t="s">
        <v>766</v>
      </c>
      <c r="L166" s="5">
        <v>281698</v>
      </c>
      <c r="M166" t="s">
        <v>40</v>
      </c>
      <c r="N166" t="s">
        <v>40</v>
      </c>
      <c r="O166" t="s">
        <v>40</v>
      </c>
      <c r="P166" t="b">
        <v>1</v>
      </c>
      <c r="Q166" t="s">
        <v>31</v>
      </c>
      <c r="R166" t="s">
        <v>45</v>
      </c>
    </row>
    <row r="167" spans="1:18" hidden="1" x14ac:dyDescent="0.35">
      <c r="A167" t="s">
        <v>494</v>
      </c>
      <c r="B167" t="s">
        <v>495</v>
      </c>
      <c r="C167" t="s">
        <v>1096</v>
      </c>
      <c r="D167" t="s">
        <v>35</v>
      </c>
      <c r="E167" t="s">
        <v>1097</v>
      </c>
      <c r="F167" t="s">
        <v>1074</v>
      </c>
      <c r="G167" t="s">
        <v>543</v>
      </c>
      <c r="H167" t="s">
        <v>493</v>
      </c>
      <c r="I167" t="s">
        <v>1098</v>
      </c>
      <c r="J167" t="s">
        <v>1099</v>
      </c>
      <c r="K167" t="s">
        <v>573</v>
      </c>
      <c r="L167" s="5">
        <v>79102</v>
      </c>
      <c r="M167" t="s">
        <v>40</v>
      </c>
      <c r="N167" t="s">
        <v>40</v>
      </c>
      <c r="O167" t="s">
        <v>40</v>
      </c>
      <c r="P167" t="b">
        <v>1</v>
      </c>
      <c r="Q167" t="s">
        <v>31</v>
      </c>
      <c r="R167" t="s">
        <v>45</v>
      </c>
    </row>
    <row r="168" spans="1:18" hidden="1" x14ac:dyDescent="0.35">
      <c r="A168" t="s">
        <v>299</v>
      </c>
      <c r="B168" t="s">
        <v>300</v>
      </c>
      <c r="C168" t="s">
        <v>1100</v>
      </c>
      <c r="D168" t="s">
        <v>35</v>
      </c>
      <c r="E168" t="s">
        <v>1101</v>
      </c>
      <c r="F168" t="s">
        <v>1074</v>
      </c>
      <c r="G168" t="s">
        <v>543</v>
      </c>
      <c r="H168" t="s">
        <v>301</v>
      </c>
      <c r="I168" t="s">
        <v>1102</v>
      </c>
      <c r="J168" t="s">
        <v>1103</v>
      </c>
      <c r="K168" t="s">
        <v>573</v>
      </c>
      <c r="L168" s="5">
        <v>192569</v>
      </c>
      <c r="M168" t="s">
        <v>40</v>
      </c>
      <c r="N168" t="s">
        <v>40</v>
      </c>
      <c r="O168" t="s">
        <v>40</v>
      </c>
      <c r="P168" t="b">
        <v>1</v>
      </c>
      <c r="Q168" t="s">
        <v>31</v>
      </c>
      <c r="R168" t="s">
        <v>45</v>
      </c>
    </row>
    <row r="169" spans="1:18" hidden="1" x14ac:dyDescent="0.35">
      <c r="A169" t="s">
        <v>299</v>
      </c>
      <c r="B169" t="s">
        <v>300</v>
      </c>
      <c r="C169" t="s">
        <v>1100</v>
      </c>
      <c r="D169" t="s">
        <v>35</v>
      </c>
      <c r="E169" t="s">
        <v>1101</v>
      </c>
      <c r="F169" t="s">
        <v>1074</v>
      </c>
      <c r="G169" t="s">
        <v>543</v>
      </c>
      <c r="H169" t="s">
        <v>301</v>
      </c>
      <c r="I169" t="s">
        <v>1102</v>
      </c>
      <c r="J169" t="s">
        <v>1103</v>
      </c>
      <c r="K169" t="s">
        <v>658</v>
      </c>
      <c r="L169" s="5">
        <v>146685</v>
      </c>
      <c r="M169" t="s">
        <v>40</v>
      </c>
      <c r="N169" t="s">
        <v>40</v>
      </c>
      <c r="O169" t="s">
        <v>40</v>
      </c>
      <c r="P169" t="b">
        <v>1</v>
      </c>
      <c r="Q169" t="s">
        <v>31</v>
      </c>
      <c r="R169" t="s">
        <v>45</v>
      </c>
    </row>
    <row r="170" spans="1:18" hidden="1" x14ac:dyDescent="0.35">
      <c r="A170" t="s">
        <v>314</v>
      </c>
      <c r="B170" t="s">
        <v>315</v>
      </c>
      <c r="C170" t="s">
        <v>1104</v>
      </c>
      <c r="D170" t="s">
        <v>35</v>
      </c>
      <c r="E170" t="s">
        <v>1105</v>
      </c>
      <c r="F170" t="s">
        <v>1074</v>
      </c>
      <c r="G170" t="s">
        <v>543</v>
      </c>
      <c r="H170" t="s">
        <v>316</v>
      </c>
      <c r="I170" t="s">
        <v>1106</v>
      </c>
      <c r="J170" t="s">
        <v>1107</v>
      </c>
      <c r="K170" t="s">
        <v>1108</v>
      </c>
      <c r="L170" s="5">
        <v>1056000</v>
      </c>
      <c r="M170" t="s">
        <v>40</v>
      </c>
      <c r="N170" t="s">
        <v>40</v>
      </c>
      <c r="O170" t="s">
        <v>40</v>
      </c>
      <c r="P170" t="b">
        <v>1</v>
      </c>
      <c r="Q170" t="s">
        <v>31</v>
      </c>
      <c r="R170" t="s">
        <v>45</v>
      </c>
    </row>
    <row r="171" spans="1:18" hidden="1" x14ac:dyDescent="0.35">
      <c r="A171" t="s">
        <v>317</v>
      </c>
      <c r="B171" t="s">
        <v>318</v>
      </c>
      <c r="C171" t="s">
        <v>1109</v>
      </c>
      <c r="D171" t="s">
        <v>35</v>
      </c>
      <c r="E171" t="s">
        <v>1110</v>
      </c>
      <c r="F171" t="s">
        <v>1074</v>
      </c>
      <c r="G171" t="s">
        <v>543</v>
      </c>
      <c r="H171" t="s">
        <v>316</v>
      </c>
      <c r="I171" t="s">
        <v>1111</v>
      </c>
      <c r="J171" t="s">
        <v>1112</v>
      </c>
      <c r="K171" t="s">
        <v>573</v>
      </c>
      <c r="L171" s="5">
        <v>690800</v>
      </c>
      <c r="M171" t="s">
        <v>40</v>
      </c>
      <c r="N171" t="s">
        <v>40</v>
      </c>
      <c r="O171" t="s">
        <v>40</v>
      </c>
      <c r="P171" t="b">
        <v>1</v>
      </c>
      <c r="Q171" t="s">
        <v>31</v>
      </c>
      <c r="R171" t="s">
        <v>45</v>
      </c>
    </row>
    <row r="172" spans="1:18" hidden="1" x14ac:dyDescent="0.35">
      <c r="A172" t="s">
        <v>1113</v>
      </c>
      <c r="B172" t="s">
        <v>1114</v>
      </c>
      <c r="C172" t="s">
        <v>1115</v>
      </c>
      <c r="D172" t="s">
        <v>627</v>
      </c>
      <c r="E172" t="s">
        <v>628</v>
      </c>
      <c r="F172" t="s">
        <v>629</v>
      </c>
      <c r="G172" t="s">
        <v>543</v>
      </c>
      <c r="H172" t="s">
        <v>120</v>
      </c>
      <c r="I172" t="s">
        <v>1116</v>
      </c>
      <c r="J172" t="s">
        <v>1117</v>
      </c>
      <c r="K172" t="s">
        <v>632</v>
      </c>
      <c r="L172" s="5">
        <v>802532</v>
      </c>
      <c r="M172" t="s">
        <v>37</v>
      </c>
      <c r="N172" t="s">
        <v>37</v>
      </c>
      <c r="O172" t="s">
        <v>37</v>
      </c>
      <c r="P172" t="b">
        <v>0</v>
      </c>
      <c r="Q172" t="s">
        <v>31</v>
      </c>
      <c r="R172" t="s">
        <v>45</v>
      </c>
    </row>
    <row r="173" spans="1:18" hidden="1" x14ac:dyDescent="0.35">
      <c r="A173" t="s">
        <v>1118</v>
      </c>
      <c r="B173" t="s">
        <v>1119</v>
      </c>
      <c r="C173" t="s">
        <v>1120</v>
      </c>
      <c r="D173" t="s">
        <v>627</v>
      </c>
      <c r="E173" t="s">
        <v>628</v>
      </c>
      <c r="F173" t="s">
        <v>629</v>
      </c>
      <c r="G173" t="s">
        <v>543</v>
      </c>
      <c r="H173" t="s">
        <v>287</v>
      </c>
      <c r="I173" t="s">
        <v>1121</v>
      </c>
      <c r="J173" t="s">
        <v>1122</v>
      </c>
      <c r="K173" t="s">
        <v>1123</v>
      </c>
      <c r="L173" s="5">
        <v>12576631</v>
      </c>
      <c r="M173" t="s">
        <v>37</v>
      </c>
      <c r="N173" t="s">
        <v>37</v>
      </c>
      <c r="O173" t="s">
        <v>37</v>
      </c>
      <c r="P173" t="b">
        <v>0</v>
      </c>
      <c r="Q173" t="s">
        <v>31</v>
      </c>
      <c r="R173" t="s">
        <v>45</v>
      </c>
    </row>
    <row r="174" spans="1:18" hidden="1" x14ac:dyDescent="0.35">
      <c r="A174" t="s">
        <v>1124</v>
      </c>
      <c r="B174" t="s">
        <v>1125</v>
      </c>
      <c r="C174" t="s">
        <v>1126</v>
      </c>
      <c r="D174" t="s">
        <v>627</v>
      </c>
      <c r="E174" t="s">
        <v>628</v>
      </c>
      <c r="F174" t="s">
        <v>629</v>
      </c>
      <c r="G174" t="s">
        <v>543</v>
      </c>
      <c r="H174" t="s">
        <v>301</v>
      </c>
      <c r="I174" t="s">
        <v>1121</v>
      </c>
      <c r="J174" t="s">
        <v>1122</v>
      </c>
      <c r="K174" t="s">
        <v>1123</v>
      </c>
      <c r="L174" s="5">
        <v>12576631</v>
      </c>
      <c r="M174" t="s">
        <v>37</v>
      </c>
      <c r="N174" t="s">
        <v>37</v>
      </c>
      <c r="O174" t="s">
        <v>37</v>
      </c>
      <c r="P174" t="b">
        <v>0</v>
      </c>
      <c r="Q174" t="s">
        <v>31</v>
      </c>
      <c r="R174" t="s">
        <v>45</v>
      </c>
    </row>
    <row r="175" spans="1:18" hidden="1" x14ac:dyDescent="0.35">
      <c r="A175" t="s">
        <v>455</v>
      </c>
      <c r="B175" t="s">
        <v>456</v>
      </c>
      <c r="C175" t="s">
        <v>1127</v>
      </c>
      <c r="D175" t="s">
        <v>35</v>
      </c>
      <c r="E175" t="s">
        <v>1128</v>
      </c>
      <c r="F175" t="s">
        <v>565</v>
      </c>
      <c r="G175" t="s">
        <v>857</v>
      </c>
      <c r="H175" t="s">
        <v>1129</v>
      </c>
      <c r="I175" t="s">
        <v>1130</v>
      </c>
      <c r="J175" t="s">
        <v>1131</v>
      </c>
      <c r="K175" t="s">
        <v>591</v>
      </c>
      <c r="L175" s="5">
        <v>173600</v>
      </c>
      <c r="M175" t="s">
        <v>40</v>
      </c>
      <c r="N175" t="s">
        <v>40</v>
      </c>
      <c r="O175" t="s">
        <v>40</v>
      </c>
      <c r="P175" t="b">
        <v>1</v>
      </c>
      <c r="Q175" t="s">
        <v>31</v>
      </c>
      <c r="R175" t="s">
        <v>45</v>
      </c>
    </row>
    <row r="176" spans="1:18" hidden="1" x14ac:dyDescent="0.35">
      <c r="A176" t="s">
        <v>455</v>
      </c>
      <c r="B176" t="s">
        <v>456</v>
      </c>
      <c r="C176" t="s">
        <v>1127</v>
      </c>
      <c r="D176" t="s">
        <v>35</v>
      </c>
      <c r="E176" t="s">
        <v>1128</v>
      </c>
      <c r="F176" t="s">
        <v>565</v>
      </c>
      <c r="G176" t="s">
        <v>857</v>
      </c>
      <c r="H176" t="s">
        <v>1129</v>
      </c>
      <c r="I176" t="s">
        <v>1130</v>
      </c>
      <c r="J176" t="s">
        <v>1131</v>
      </c>
      <c r="K176" t="s">
        <v>1108</v>
      </c>
      <c r="L176" s="5">
        <v>1560000</v>
      </c>
      <c r="M176" t="s">
        <v>40</v>
      </c>
      <c r="N176" t="s">
        <v>40</v>
      </c>
      <c r="O176" t="s">
        <v>40</v>
      </c>
      <c r="P176" t="b">
        <v>1</v>
      </c>
      <c r="Q176" t="s">
        <v>31</v>
      </c>
      <c r="R176" t="s">
        <v>45</v>
      </c>
    </row>
    <row r="177" spans="1:18" hidden="1" x14ac:dyDescent="0.35">
      <c r="A177" t="s">
        <v>1132</v>
      </c>
      <c r="B177" t="s">
        <v>1133</v>
      </c>
      <c r="C177" t="s">
        <v>1134</v>
      </c>
      <c r="D177" t="s">
        <v>627</v>
      </c>
      <c r="E177" t="s">
        <v>628</v>
      </c>
      <c r="F177" t="s">
        <v>629</v>
      </c>
      <c r="G177" t="s">
        <v>543</v>
      </c>
      <c r="H177" t="s">
        <v>1135</v>
      </c>
      <c r="I177" t="s">
        <v>1136</v>
      </c>
      <c r="J177" t="s">
        <v>1137</v>
      </c>
      <c r="K177" t="s">
        <v>632</v>
      </c>
      <c r="L177" s="5">
        <v>451634</v>
      </c>
      <c r="M177" t="s">
        <v>37</v>
      </c>
      <c r="N177" t="s">
        <v>37</v>
      </c>
      <c r="O177" t="s">
        <v>37</v>
      </c>
      <c r="P177" t="b">
        <v>0</v>
      </c>
      <c r="Q177" t="s">
        <v>31</v>
      </c>
      <c r="R177" t="s">
        <v>45</v>
      </c>
    </row>
    <row r="178" spans="1:18" hidden="1" x14ac:dyDescent="0.35">
      <c r="A178" t="s">
        <v>1138</v>
      </c>
      <c r="B178" t="s">
        <v>1139</v>
      </c>
      <c r="C178" t="s">
        <v>1140</v>
      </c>
      <c r="D178" t="s">
        <v>90</v>
      </c>
      <c r="E178" t="s">
        <v>1141</v>
      </c>
      <c r="F178" t="s">
        <v>565</v>
      </c>
      <c r="G178" t="s">
        <v>543</v>
      </c>
      <c r="H178" t="s">
        <v>1142</v>
      </c>
      <c r="I178" t="s">
        <v>1143</v>
      </c>
      <c r="J178" t="s">
        <v>1144</v>
      </c>
      <c r="K178" t="s">
        <v>568</v>
      </c>
      <c r="L178" s="5">
        <v>620000</v>
      </c>
      <c r="M178" t="s">
        <v>37</v>
      </c>
      <c r="N178" t="s">
        <v>37</v>
      </c>
      <c r="O178" t="s">
        <v>40</v>
      </c>
      <c r="P178" t="b">
        <v>1</v>
      </c>
      <c r="Q178" t="s">
        <v>31</v>
      </c>
      <c r="R178" t="s">
        <v>45</v>
      </c>
    </row>
    <row r="179" spans="1:18" hidden="1" x14ac:dyDescent="0.35">
      <c r="A179" t="s">
        <v>173</v>
      </c>
      <c r="B179" t="s">
        <v>174</v>
      </c>
      <c r="C179" t="s">
        <v>1145</v>
      </c>
      <c r="D179" t="s">
        <v>175</v>
      </c>
      <c r="E179" t="s">
        <v>1146</v>
      </c>
      <c r="F179" t="s">
        <v>565</v>
      </c>
      <c r="G179" t="s">
        <v>580</v>
      </c>
      <c r="H179" t="s">
        <v>1147</v>
      </c>
      <c r="I179" t="s">
        <v>1148</v>
      </c>
      <c r="J179" t="s">
        <v>1149</v>
      </c>
      <c r="K179" t="s">
        <v>584</v>
      </c>
      <c r="L179" s="5">
        <v>9188952</v>
      </c>
      <c r="M179" t="s">
        <v>37</v>
      </c>
      <c r="N179" t="s">
        <v>37</v>
      </c>
      <c r="O179" t="s">
        <v>40</v>
      </c>
      <c r="P179" t="b">
        <v>1</v>
      </c>
      <c r="Q179" t="s">
        <v>31</v>
      </c>
      <c r="R179" t="s">
        <v>45</v>
      </c>
    </row>
    <row r="180" spans="1:18" hidden="1" x14ac:dyDescent="0.35">
      <c r="A180" t="s">
        <v>485</v>
      </c>
      <c r="B180" t="s">
        <v>486</v>
      </c>
      <c r="C180" t="s">
        <v>1150</v>
      </c>
      <c r="D180" t="s">
        <v>74</v>
      </c>
      <c r="E180" t="s">
        <v>1151</v>
      </c>
      <c r="F180" t="s">
        <v>565</v>
      </c>
      <c r="G180" t="s">
        <v>543</v>
      </c>
      <c r="H180" t="s">
        <v>487</v>
      </c>
      <c r="I180" t="s">
        <v>1152</v>
      </c>
      <c r="J180" t="s">
        <v>1153</v>
      </c>
      <c r="K180" t="s">
        <v>568</v>
      </c>
      <c r="L180" s="5">
        <v>428644</v>
      </c>
      <c r="M180" t="s">
        <v>40</v>
      </c>
      <c r="N180" t="s">
        <v>37</v>
      </c>
      <c r="O180" t="s">
        <v>37</v>
      </c>
      <c r="P180" t="b">
        <v>1</v>
      </c>
      <c r="Q180" t="s">
        <v>31</v>
      </c>
      <c r="R180" t="s">
        <v>45</v>
      </c>
    </row>
    <row r="181" spans="1:18" hidden="1" x14ac:dyDescent="0.35">
      <c r="A181" t="s">
        <v>193</v>
      </c>
      <c r="B181" t="s">
        <v>194</v>
      </c>
      <c r="C181" t="s">
        <v>1154</v>
      </c>
      <c r="D181" t="s">
        <v>195</v>
      </c>
      <c r="E181" t="s">
        <v>1155</v>
      </c>
      <c r="F181" t="s">
        <v>565</v>
      </c>
      <c r="G181" t="s">
        <v>857</v>
      </c>
      <c r="H181" t="s">
        <v>858</v>
      </c>
      <c r="I181" t="s">
        <v>1156</v>
      </c>
      <c r="J181" t="s">
        <v>1157</v>
      </c>
      <c r="K181" t="s">
        <v>546</v>
      </c>
      <c r="L181" s="5">
        <v>9965116</v>
      </c>
      <c r="M181" t="s">
        <v>40</v>
      </c>
      <c r="N181" t="s">
        <v>40</v>
      </c>
      <c r="O181" t="s">
        <v>37</v>
      </c>
      <c r="P181" t="b">
        <v>1</v>
      </c>
      <c r="Q181" t="s">
        <v>31</v>
      </c>
      <c r="R181" t="s">
        <v>45</v>
      </c>
    </row>
    <row r="182" spans="1:18" hidden="1" x14ac:dyDescent="0.35">
      <c r="A182" t="s">
        <v>193</v>
      </c>
      <c r="B182" t="s">
        <v>194</v>
      </c>
      <c r="C182" t="s">
        <v>1154</v>
      </c>
      <c r="D182" t="s">
        <v>195</v>
      </c>
      <c r="E182" t="s">
        <v>1155</v>
      </c>
      <c r="F182" t="s">
        <v>565</v>
      </c>
      <c r="G182" t="s">
        <v>857</v>
      </c>
      <c r="H182" t="s">
        <v>858</v>
      </c>
      <c r="I182" t="s">
        <v>1156</v>
      </c>
      <c r="J182" t="s">
        <v>1157</v>
      </c>
      <c r="K182" t="s">
        <v>568</v>
      </c>
      <c r="L182" s="5">
        <v>5469512</v>
      </c>
      <c r="M182" t="s">
        <v>40</v>
      </c>
      <c r="N182" t="s">
        <v>40</v>
      </c>
      <c r="O182" t="s">
        <v>37</v>
      </c>
      <c r="P182" t="b">
        <v>1</v>
      </c>
      <c r="Q182" t="s">
        <v>31</v>
      </c>
      <c r="R182" t="s">
        <v>45</v>
      </c>
    </row>
    <row r="183" spans="1:18" hidden="1" x14ac:dyDescent="0.35">
      <c r="A183" t="s">
        <v>193</v>
      </c>
      <c r="B183" t="s">
        <v>194</v>
      </c>
      <c r="C183" t="s">
        <v>1154</v>
      </c>
      <c r="D183" t="s">
        <v>195</v>
      </c>
      <c r="E183" t="s">
        <v>1155</v>
      </c>
      <c r="F183" t="s">
        <v>565</v>
      </c>
      <c r="G183" t="s">
        <v>857</v>
      </c>
      <c r="H183" t="s">
        <v>858</v>
      </c>
      <c r="I183" t="s">
        <v>1158</v>
      </c>
      <c r="J183" t="s">
        <v>1159</v>
      </c>
      <c r="K183" t="s">
        <v>642</v>
      </c>
      <c r="L183" s="5">
        <v>584606</v>
      </c>
      <c r="M183" t="s">
        <v>40</v>
      </c>
      <c r="N183" t="s">
        <v>40</v>
      </c>
      <c r="O183" t="s">
        <v>37</v>
      </c>
      <c r="P183" t="b">
        <v>1</v>
      </c>
      <c r="Q183" t="s">
        <v>31</v>
      </c>
      <c r="R183" t="s">
        <v>45</v>
      </c>
    </row>
    <row r="184" spans="1:18" hidden="1" x14ac:dyDescent="0.35">
      <c r="A184" t="s">
        <v>193</v>
      </c>
      <c r="B184" t="s">
        <v>194</v>
      </c>
      <c r="C184" t="s">
        <v>1154</v>
      </c>
      <c r="D184" t="s">
        <v>195</v>
      </c>
      <c r="E184" t="s">
        <v>1155</v>
      </c>
      <c r="F184" t="s">
        <v>565</v>
      </c>
      <c r="G184" t="s">
        <v>857</v>
      </c>
      <c r="H184" t="s">
        <v>858</v>
      </c>
      <c r="I184" t="s">
        <v>1158</v>
      </c>
      <c r="J184" t="s">
        <v>1159</v>
      </c>
      <c r="K184" t="s">
        <v>546</v>
      </c>
      <c r="L184" s="5">
        <v>420114</v>
      </c>
      <c r="M184" t="s">
        <v>40</v>
      </c>
      <c r="N184" t="s">
        <v>40</v>
      </c>
      <c r="O184" t="s">
        <v>37</v>
      </c>
      <c r="P184" t="b">
        <v>1</v>
      </c>
      <c r="Q184" t="s">
        <v>31</v>
      </c>
      <c r="R184" t="s">
        <v>45</v>
      </c>
    </row>
    <row r="185" spans="1:18" hidden="1" x14ac:dyDescent="0.35">
      <c r="A185" t="s">
        <v>193</v>
      </c>
      <c r="B185" t="s">
        <v>194</v>
      </c>
      <c r="C185" t="s">
        <v>1154</v>
      </c>
      <c r="D185" t="s">
        <v>195</v>
      </c>
      <c r="E185" t="s">
        <v>1155</v>
      </c>
      <c r="F185" t="s">
        <v>565</v>
      </c>
      <c r="G185" t="s">
        <v>857</v>
      </c>
      <c r="H185" t="s">
        <v>858</v>
      </c>
      <c r="I185" t="s">
        <v>1158</v>
      </c>
      <c r="J185" t="s">
        <v>1159</v>
      </c>
      <c r="K185" t="s">
        <v>1160</v>
      </c>
      <c r="L185" s="5">
        <v>1423963</v>
      </c>
      <c r="M185" t="s">
        <v>40</v>
      </c>
      <c r="N185" t="s">
        <v>40</v>
      </c>
      <c r="O185" t="s">
        <v>37</v>
      </c>
      <c r="P185" t="b">
        <v>1</v>
      </c>
      <c r="Q185" t="s">
        <v>31</v>
      </c>
      <c r="R185" t="s">
        <v>45</v>
      </c>
    </row>
    <row r="186" spans="1:18" hidden="1" x14ac:dyDescent="0.35">
      <c r="A186" t="s">
        <v>193</v>
      </c>
      <c r="B186" t="s">
        <v>194</v>
      </c>
      <c r="C186" t="s">
        <v>1154</v>
      </c>
      <c r="D186" t="s">
        <v>195</v>
      </c>
      <c r="E186" t="s">
        <v>1155</v>
      </c>
      <c r="F186" t="s">
        <v>565</v>
      </c>
      <c r="G186" t="s">
        <v>857</v>
      </c>
      <c r="H186" t="s">
        <v>858</v>
      </c>
      <c r="I186" t="s">
        <v>1158</v>
      </c>
      <c r="J186" t="s">
        <v>1159</v>
      </c>
      <c r="K186" t="s">
        <v>1161</v>
      </c>
      <c r="L186" s="5">
        <v>121620</v>
      </c>
      <c r="M186" t="s">
        <v>40</v>
      </c>
      <c r="N186" t="s">
        <v>40</v>
      </c>
      <c r="O186" t="s">
        <v>37</v>
      </c>
      <c r="P186" t="b">
        <v>1</v>
      </c>
      <c r="Q186" t="s">
        <v>31</v>
      </c>
      <c r="R186" t="s">
        <v>45</v>
      </c>
    </row>
    <row r="187" spans="1:18" hidden="1" x14ac:dyDescent="0.35">
      <c r="A187" t="s">
        <v>193</v>
      </c>
      <c r="B187" t="s">
        <v>194</v>
      </c>
      <c r="C187" t="s">
        <v>1154</v>
      </c>
      <c r="D187" t="s">
        <v>195</v>
      </c>
      <c r="E187" t="s">
        <v>1155</v>
      </c>
      <c r="F187" t="s">
        <v>565</v>
      </c>
      <c r="G187" t="s">
        <v>857</v>
      </c>
      <c r="H187" t="s">
        <v>858</v>
      </c>
      <c r="I187" t="s">
        <v>1162</v>
      </c>
      <c r="J187" t="s">
        <v>1163</v>
      </c>
      <c r="K187" t="s">
        <v>546</v>
      </c>
      <c r="L187" s="5">
        <v>347196</v>
      </c>
      <c r="M187" t="s">
        <v>40</v>
      </c>
      <c r="N187" t="s">
        <v>40</v>
      </c>
      <c r="O187" t="s">
        <v>37</v>
      </c>
      <c r="P187" t="b">
        <v>1</v>
      </c>
      <c r="Q187" t="s">
        <v>31</v>
      </c>
      <c r="R187" t="s">
        <v>45</v>
      </c>
    </row>
    <row r="188" spans="1:18" hidden="1" x14ac:dyDescent="0.35">
      <c r="A188" t="s">
        <v>508</v>
      </c>
      <c r="B188" t="s">
        <v>509</v>
      </c>
      <c r="C188" t="s">
        <v>1164</v>
      </c>
      <c r="D188" t="s">
        <v>51</v>
      </c>
      <c r="E188" t="s">
        <v>870</v>
      </c>
      <c r="F188" t="s">
        <v>565</v>
      </c>
      <c r="G188" t="s">
        <v>543</v>
      </c>
      <c r="H188" t="s">
        <v>1165</v>
      </c>
      <c r="I188" t="s">
        <v>1166</v>
      </c>
      <c r="J188" t="s">
        <v>1167</v>
      </c>
      <c r="K188" t="s">
        <v>584</v>
      </c>
      <c r="L188" s="5">
        <v>729944</v>
      </c>
      <c r="M188" t="s">
        <v>37</v>
      </c>
      <c r="N188" t="s">
        <v>37</v>
      </c>
      <c r="O188" t="s">
        <v>37</v>
      </c>
      <c r="P188" t="b">
        <v>1</v>
      </c>
      <c r="Q188" t="s">
        <v>31</v>
      </c>
      <c r="R188" t="s">
        <v>45</v>
      </c>
    </row>
    <row r="189" spans="1:18" hidden="1" x14ac:dyDescent="0.35">
      <c r="A189" t="s">
        <v>1168</v>
      </c>
      <c r="B189" t="s">
        <v>1169</v>
      </c>
      <c r="C189" t="s">
        <v>1170</v>
      </c>
      <c r="D189" t="s">
        <v>1171</v>
      </c>
      <c r="E189" t="s">
        <v>1172</v>
      </c>
      <c r="F189" t="s">
        <v>1173</v>
      </c>
      <c r="G189" t="s">
        <v>543</v>
      </c>
      <c r="H189" t="s">
        <v>1174</v>
      </c>
      <c r="I189" t="s">
        <v>1175</v>
      </c>
      <c r="J189" t="s">
        <v>1176</v>
      </c>
      <c r="K189" t="s">
        <v>1177</v>
      </c>
      <c r="L189" s="5">
        <v>15805600</v>
      </c>
      <c r="M189" t="s">
        <v>37</v>
      </c>
      <c r="N189" t="s">
        <v>37</v>
      </c>
      <c r="O189" t="s">
        <v>37</v>
      </c>
      <c r="P189" t="b">
        <v>0</v>
      </c>
      <c r="Q189" t="s">
        <v>31</v>
      </c>
      <c r="R189" t="s">
        <v>45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21"/>
  <sheetViews>
    <sheetView workbookViewId="0">
      <pane ySplit="1" topLeftCell="A2" activePane="bottomLeft" state="frozen"/>
      <selection pane="bottomLeft" activeCell="E35" sqref="E35"/>
    </sheetView>
  </sheetViews>
  <sheetFormatPr defaultRowHeight="14.5" x14ac:dyDescent="0.35"/>
  <cols>
    <col min="1" max="1" width="12" customWidth="1"/>
    <col min="2" max="3" width="55" customWidth="1"/>
    <col min="4" max="4" width="39" customWidth="1"/>
    <col min="5" max="5" width="55" customWidth="1"/>
    <col min="6" max="6" width="23" customWidth="1"/>
    <col min="7" max="7" width="20" customWidth="1"/>
    <col min="8" max="8" width="55" customWidth="1"/>
    <col min="9" max="9" width="20" customWidth="1"/>
    <col min="10" max="10" width="27" customWidth="1"/>
    <col min="11" max="11" width="29" customWidth="1"/>
    <col min="12" max="12" width="28" customWidth="1"/>
    <col min="13" max="13" width="23" customWidth="1"/>
    <col min="14" max="14" width="26" customWidth="1"/>
    <col min="15" max="15" width="24" customWidth="1"/>
    <col min="16" max="16" width="13" customWidth="1"/>
    <col min="17" max="17" width="18" customWidth="1"/>
  </cols>
  <sheetData>
    <row r="1" spans="1:17" x14ac:dyDescent="0.35">
      <c r="A1" s="4" t="s">
        <v>23</v>
      </c>
      <c r="B1" s="4" t="s">
        <v>24</v>
      </c>
      <c r="C1" s="4" t="s">
        <v>530</v>
      </c>
      <c r="D1" s="4" t="s">
        <v>25</v>
      </c>
      <c r="E1" s="4" t="s">
        <v>531</v>
      </c>
      <c r="F1" s="4" t="s">
        <v>532</v>
      </c>
      <c r="G1" s="4" t="s">
        <v>533</v>
      </c>
      <c r="H1" s="4" t="s">
        <v>534</v>
      </c>
      <c r="I1" s="4" t="s">
        <v>1178</v>
      </c>
      <c r="J1" s="4" t="s">
        <v>1179</v>
      </c>
      <c r="K1" s="4" t="s">
        <v>1180</v>
      </c>
      <c r="L1" s="4" t="s">
        <v>28</v>
      </c>
      <c r="M1" s="4" t="s">
        <v>29</v>
      </c>
      <c r="N1" s="4" t="s">
        <v>30</v>
      </c>
      <c r="O1" s="4" t="s">
        <v>539</v>
      </c>
      <c r="P1" s="4" t="s">
        <v>21</v>
      </c>
      <c r="Q1" s="4" t="s">
        <v>22</v>
      </c>
    </row>
    <row r="2" spans="1:17" x14ac:dyDescent="0.35">
      <c r="A2" t="s">
        <v>68</v>
      </c>
      <c r="B2" t="s">
        <v>69</v>
      </c>
      <c r="C2" t="s">
        <v>1181</v>
      </c>
      <c r="D2" t="s">
        <v>70</v>
      </c>
      <c r="E2" t="s">
        <v>1182</v>
      </c>
      <c r="F2" t="s">
        <v>549</v>
      </c>
      <c r="G2" t="s">
        <v>543</v>
      </c>
      <c r="H2" t="s">
        <v>1183</v>
      </c>
      <c r="I2" t="s">
        <v>1184</v>
      </c>
      <c r="J2" t="s">
        <v>1185</v>
      </c>
      <c r="K2" s="5">
        <v>939469</v>
      </c>
      <c r="L2" t="s">
        <v>40</v>
      </c>
      <c r="M2" t="s">
        <v>40</v>
      </c>
      <c r="N2" t="s">
        <v>40</v>
      </c>
      <c r="O2" t="b">
        <v>1</v>
      </c>
      <c r="P2" t="s">
        <v>31</v>
      </c>
      <c r="Q2" t="s">
        <v>32</v>
      </c>
    </row>
    <row r="3" spans="1:17" x14ac:dyDescent="0.35">
      <c r="A3" t="s">
        <v>68</v>
      </c>
      <c r="B3" t="s">
        <v>69</v>
      </c>
      <c r="C3" t="s">
        <v>1181</v>
      </c>
      <c r="D3" t="s">
        <v>70</v>
      </c>
      <c r="E3" t="s">
        <v>1182</v>
      </c>
      <c r="F3" t="s">
        <v>549</v>
      </c>
      <c r="G3" t="s">
        <v>543</v>
      </c>
      <c r="H3" t="s">
        <v>1183</v>
      </c>
      <c r="I3" t="s">
        <v>1186</v>
      </c>
      <c r="J3" t="s">
        <v>1185</v>
      </c>
      <c r="K3" s="5">
        <v>8841353</v>
      </c>
      <c r="L3" t="s">
        <v>40</v>
      </c>
      <c r="M3" t="s">
        <v>40</v>
      </c>
      <c r="N3" t="s">
        <v>40</v>
      </c>
      <c r="O3" t="b">
        <v>1</v>
      </c>
      <c r="P3" t="s">
        <v>31</v>
      </c>
      <c r="Q3" t="s">
        <v>32</v>
      </c>
    </row>
    <row r="4" spans="1:17" x14ac:dyDescent="0.35">
      <c r="A4" t="s">
        <v>68</v>
      </c>
      <c r="B4" t="s">
        <v>69</v>
      </c>
      <c r="C4" t="s">
        <v>1181</v>
      </c>
      <c r="D4" t="s">
        <v>70</v>
      </c>
      <c r="E4" t="s">
        <v>1182</v>
      </c>
      <c r="F4" t="s">
        <v>549</v>
      </c>
      <c r="G4" t="s">
        <v>543</v>
      </c>
      <c r="H4" t="s">
        <v>1183</v>
      </c>
      <c r="I4" t="s">
        <v>1187</v>
      </c>
      <c r="J4" t="s">
        <v>1185</v>
      </c>
      <c r="K4" s="5">
        <v>439469</v>
      </c>
      <c r="L4" t="s">
        <v>40</v>
      </c>
      <c r="M4" t="s">
        <v>40</v>
      </c>
      <c r="N4" t="s">
        <v>40</v>
      </c>
      <c r="O4" t="b">
        <v>1</v>
      </c>
      <c r="P4" t="s">
        <v>31</v>
      </c>
      <c r="Q4" t="s">
        <v>32</v>
      </c>
    </row>
    <row r="5" spans="1:17" x14ac:dyDescent="0.35">
      <c r="A5" t="s">
        <v>163</v>
      </c>
      <c r="B5" t="s">
        <v>164</v>
      </c>
      <c r="C5" t="s">
        <v>1188</v>
      </c>
      <c r="D5" t="s">
        <v>60</v>
      </c>
      <c r="E5" t="s">
        <v>1189</v>
      </c>
      <c r="F5" t="s">
        <v>565</v>
      </c>
      <c r="G5" t="s">
        <v>543</v>
      </c>
      <c r="H5" t="s">
        <v>123</v>
      </c>
      <c r="I5" t="s">
        <v>1190</v>
      </c>
      <c r="J5" t="s">
        <v>1191</v>
      </c>
      <c r="K5" s="5">
        <v>742000</v>
      </c>
      <c r="L5" t="s">
        <v>40</v>
      </c>
      <c r="M5" t="s">
        <v>40</v>
      </c>
      <c r="N5" t="s">
        <v>40</v>
      </c>
      <c r="O5" t="b">
        <v>1</v>
      </c>
      <c r="P5" t="s">
        <v>31</v>
      </c>
      <c r="Q5" t="s">
        <v>32</v>
      </c>
    </row>
    <row r="6" spans="1:17" x14ac:dyDescent="0.35">
      <c r="A6" t="s">
        <v>165</v>
      </c>
      <c r="B6" t="s">
        <v>166</v>
      </c>
      <c r="C6" t="s">
        <v>556</v>
      </c>
      <c r="D6" t="s">
        <v>60</v>
      </c>
      <c r="E6" t="s">
        <v>557</v>
      </c>
      <c r="F6" t="s">
        <v>542</v>
      </c>
      <c r="G6" t="s">
        <v>543</v>
      </c>
      <c r="H6" t="s">
        <v>123</v>
      </c>
      <c r="I6" t="s">
        <v>561</v>
      </c>
      <c r="J6" t="s">
        <v>1192</v>
      </c>
      <c r="K6" s="5">
        <v>10000000</v>
      </c>
      <c r="L6" t="s">
        <v>37</v>
      </c>
      <c r="M6" t="s">
        <v>37</v>
      </c>
      <c r="N6" t="s">
        <v>37</v>
      </c>
      <c r="O6" t="b">
        <v>1</v>
      </c>
      <c r="P6" t="s">
        <v>31</v>
      </c>
      <c r="Q6" t="s">
        <v>32</v>
      </c>
    </row>
    <row r="7" spans="1:17" x14ac:dyDescent="0.35">
      <c r="A7" t="s">
        <v>154</v>
      </c>
      <c r="B7" t="s">
        <v>155</v>
      </c>
      <c r="C7" t="s">
        <v>1193</v>
      </c>
      <c r="D7" t="s">
        <v>70</v>
      </c>
      <c r="E7" t="s">
        <v>1194</v>
      </c>
      <c r="F7" t="s">
        <v>549</v>
      </c>
      <c r="G7" t="s">
        <v>543</v>
      </c>
      <c r="H7" t="s">
        <v>1195</v>
      </c>
      <c r="I7" t="s">
        <v>1196</v>
      </c>
      <c r="J7" t="s">
        <v>1185</v>
      </c>
      <c r="K7" s="5">
        <v>746066</v>
      </c>
      <c r="L7" t="s">
        <v>40</v>
      </c>
      <c r="M7" t="s">
        <v>40</v>
      </c>
      <c r="N7" t="s">
        <v>40</v>
      </c>
      <c r="O7" t="b">
        <v>1</v>
      </c>
      <c r="P7" t="s">
        <v>31</v>
      </c>
      <c r="Q7" t="s">
        <v>32</v>
      </c>
    </row>
    <row r="8" spans="1:17" x14ac:dyDescent="0.35">
      <c r="A8" t="s">
        <v>154</v>
      </c>
      <c r="B8" t="s">
        <v>155</v>
      </c>
      <c r="C8" t="s">
        <v>1193</v>
      </c>
      <c r="D8" t="s">
        <v>70</v>
      </c>
      <c r="E8" t="s">
        <v>1194</v>
      </c>
      <c r="F8" t="s">
        <v>549</v>
      </c>
      <c r="G8" t="s">
        <v>543</v>
      </c>
      <c r="H8" t="s">
        <v>1195</v>
      </c>
      <c r="I8" t="s">
        <v>1196</v>
      </c>
      <c r="J8" t="s">
        <v>1185</v>
      </c>
      <c r="K8" s="5">
        <v>3033934</v>
      </c>
      <c r="L8" t="s">
        <v>40</v>
      </c>
      <c r="M8" t="s">
        <v>40</v>
      </c>
      <c r="N8" t="s">
        <v>40</v>
      </c>
      <c r="O8" t="b">
        <v>1</v>
      </c>
      <c r="P8" t="s">
        <v>31</v>
      </c>
      <c r="Q8" t="s">
        <v>32</v>
      </c>
    </row>
    <row r="9" spans="1:17" x14ac:dyDescent="0.35">
      <c r="A9" t="s">
        <v>128</v>
      </c>
      <c r="B9" t="s">
        <v>129</v>
      </c>
      <c r="C9" t="s">
        <v>563</v>
      </c>
      <c r="D9" t="s">
        <v>48</v>
      </c>
      <c r="E9" t="s">
        <v>564</v>
      </c>
      <c r="F9" t="s">
        <v>565</v>
      </c>
      <c r="G9" t="s">
        <v>543</v>
      </c>
      <c r="H9" t="s">
        <v>123</v>
      </c>
      <c r="I9" t="s">
        <v>1197</v>
      </c>
      <c r="J9" t="s">
        <v>1191</v>
      </c>
      <c r="K9" s="5">
        <v>456329</v>
      </c>
      <c r="L9" t="s">
        <v>37</v>
      </c>
      <c r="M9" t="s">
        <v>37</v>
      </c>
      <c r="N9" t="s">
        <v>40</v>
      </c>
      <c r="O9" t="b">
        <v>1</v>
      </c>
      <c r="P9" t="s">
        <v>31</v>
      </c>
      <c r="Q9" t="s">
        <v>32</v>
      </c>
    </row>
    <row r="10" spans="1:17" x14ac:dyDescent="0.35">
      <c r="A10" t="s">
        <v>114</v>
      </c>
      <c r="B10" t="s">
        <v>115</v>
      </c>
      <c r="C10" t="s">
        <v>592</v>
      </c>
      <c r="D10" t="s">
        <v>116</v>
      </c>
      <c r="E10" t="s">
        <v>593</v>
      </c>
      <c r="F10" t="s">
        <v>565</v>
      </c>
      <c r="G10" t="s">
        <v>543</v>
      </c>
      <c r="H10" t="s">
        <v>594</v>
      </c>
      <c r="I10" t="s">
        <v>595</v>
      </c>
      <c r="J10" t="s">
        <v>1191</v>
      </c>
      <c r="K10" s="5">
        <v>45000000</v>
      </c>
      <c r="L10" t="s">
        <v>37</v>
      </c>
      <c r="M10" t="s">
        <v>37</v>
      </c>
      <c r="N10" t="s">
        <v>40</v>
      </c>
      <c r="O10" t="b">
        <v>1</v>
      </c>
      <c r="P10" t="s">
        <v>31</v>
      </c>
      <c r="Q10" t="s">
        <v>32</v>
      </c>
    </row>
    <row r="11" spans="1:17" x14ac:dyDescent="0.35">
      <c r="A11" t="s">
        <v>114</v>
      </c>
      <c r="B11" t="s">
        <v>115</v>
      </c>
      <c r="C11" t="s">
        <v>592</v>
      </c>
      <c r="D11" t="s">
        <v>116</v>
      </c>
      <c r="E11" t="s">
        <v>593</v>
      </c>
      <c r="F11" t="s">
        <v>565</v>
      </c>
      <c r="G11" t="s">
        <v>543</v>
      </c>
      <c r="H11" t="s">
        <v>594</v>
      </c>
      <c r="I11" t="s">
        <v>595</v>
      </c>
      <c r="J11" t="s">
        <v>1191</v>
      </c>
      <c r="K11" s="5">
        <v>5850000</v>
      </c>
      <c r="L11" t="s">
        <v>37</v>
      </c>
      <c r="M11" t="s">
        <v>37</v>
      </c>
      <c r="N11" t="s">
        <v>40</v>
      </c>
      <c r="O11" t="b">
        <v>1</v>
      </c>
      <c r="P11" t="s">
        <v>31</v>
      </c>
      <c r="Q11" t="s">
        <v>32</v>
      </c>
    </row>
    <row r="12" spans="1:17" x14ac:dyDescent="0.35">
      <c r="A12" t="s">
        <v>167</v>
      </c>
      <c r="B12" t="s">
        <v>168</v>
      </c>
      <c r="C12" t="s">
        <v>600</v>
      </c>
      <c r="D12" t="s">
        <v>35</v>
      </c>
      <c r="E12" t="s">
        <v>601</v>
      </c>
      <c r="F12" t="s">
        <v>565</v>
      </c>
      <c r="G12" t="s">
        <v>543</v>
      </c>
      <c r="H12" t="s">
        <v>1198</v>
      </c>
      <c r="I12" t="s">
        <v>1199</v>
      </c>
      <c r="J12" t="s">
        <v>1200</v>
      </c>
      <c r="K12" s="5">
        <v>2000000</v>
      </c>
      <c r="L12" t="s">
        <v>40</v>
      </c>
      <c r="M12" t="s">
        <v>40</v>
      </c>
      <c r="N12" t="s">
        <v>37</v>
      </c>
      <c r="O12" t="b">
        <v>1</v>
      </c>
      <c r="P12" t="s">
        <v>31</v>
      </c>
      <c r="Q12" t="s">
        <v>32</v>
      </c>
    </row>
    <row r="13" spans="1:17" x14ac:dyDescent="0.35">
      <c r="A13" t="s">
        <v>130</v>
      </c>
      <c r="B13" t="s">
        <v>131</v>
      </c>
      <c r="C13" t="s">
        <v>1201</v>
      </c>
      <c r="D13" t="s">
        <v>48</v>
      </c>
      <c r="E13" t="s">
        <v>1202</v>
      </c>
      <c r="F13" t="s">
        <v>565</v>
      </c>
      <c r="G13" t="s">
        <v>543</v>
      </c>
      <c r="H13" t="s">
        <v>123</v>
      </c>
      <c r="I13" t="s">
        <v>1203</v>
      </c>
      <c r="J13" t="s">
        <v>1191</v>
      </c>
      <c r="K13" s="5">
        <v>18000000</v>
      </c>
      <c r="L13" t="s">
        <v>37</v>
      </c>
      <c r="M13" t="s">
        <v>37</v>
      </c>
      <c r="N13" t="s">
        <v>40</v>
      </c>
      <c r="O13" t="b">
        <v>1</v>
      </c>
      <c r="P13" t="s">
        <v>31</v>
      </c>
      <c r="Q13" t="s">
        <v>32</v>
      </c>
    </row>
    <row r="14" spans="1:17" x14ac:dyDescent="0.35">
      <c r="A14" t="s">
        <v>130</v>
      </c>
      <c r="B14" t="s">
        <v>131</v>
      </c>
      <c r="C14" t="s">
        <v>1201</v>
      </c>
      <c r="D14" t="s">
        <v>48</v>
      </c>
      <c r="E14" t="s">
        <v>1202</v>
      </c>
      <c r="F14" t="s">
        <v>565</v>
      </c>
      <c r="G14" t="s">
        <v>543</v>
      </c>
      <c r="H14" t="s">
        <v>123</v>
      </c>
      <c r="I14" t="s">
        <v>1203</v>
      </c>
      <c r="J14" t="s">
        <v>1191</v>
      </c>
      <c r="K14" s="5">
        <v>2101000</v>
      </c>
      <c r="L14" t="s">
        <v>37</v>
      </c>
      <c r="M14" t="s">
        <v>37</v>
      </c>
      <c r="N14" t="s">
        <v>40</v>
      </c>
      <c r="O14" t="b">
        <v>1</v>
      </c>
      <c r="P14" t="s">
        <v>31</v>
      </c>
      <c r="Q14" t="s">
        <v>32</v>
      </c>
    </row>
    <row r="15" spans="1:17" x14ac:dyDescent="0.35">
      <c r="A15" t="s">
        <v>169</v>
      </c>
      <c r="B15" t="s">
        <v>170</v>
      </c>
      <c r="C15" t="s">
        <v>619</v>
      </c>
      <c r="D15" t="s">
        <v>35</v>
      </c>
      <c r="E15" t="s">
        <v>620</v>
      </c>
      <c r="F15" t="s">
        <v>565</v>
      </c>
      <c r="G15" t="s">
        <v>543</v>
      </c>
      <c r="H15" t="s">
        <v>621</v>
      </c>
      <c r="I15" t="s">
        <v>622</v>
      </c>
      <c r="J15" t="s">
        <v>1191</v>
      </c>
      <c r="K15" s="5">
        <v>2361381</v>
      </c>
      <c r="L15" t="s">
        <v>37</v>
      </c>
      <c r="M15" t="s">
        <v>37</v>
      </c>
      <c r="N15" t="s">
        <v>37</v>
      </c>
      <c r="O15" t="b">
        <v>1</v>
      </c>
      <c r="P15" t="s">
        <v>31</v>
      </c>
      <c r="Q15" t="s">
        <v>32</v>
      </c>
    </row>
    <row r="16" spans="1:17" x14ac:dyDescent="0.35">
      <c r="A16" t="s">
        <v>132</v>
      </c>
      <c r="B16" t="s">
        <v>133</v>
      </c>
      <c r="C16" t="s">
        <v>1204</v>
      </c>
      <c r="D16" t="s">
        <v>48</v>
      </c>
      <c r="E16" t="s">
        <v>1095</v>
      </c>
      <c r="F16" t="s">
        <v>565</v>
      </c>
      <c r="G16" t="s">
        <v>543</v>
      </c>
      <c r="H16" t="s">
        <v>123</v>
      </c>
      <c r="I16" t="s">
        <v>1205</v>
      </c>
      <c r="J16" t="s">
        <v>1206</v>
      </c>
      <c r="K16" s="5">
        <v>3600000</v>
      </c>
      <c r="L16" t="s">
        <v>37</v>
      </c>
      <c r="M16" t="s">
        <v>37</v>
      </c>
      <c r="N16" t="s">
        <v>37</v>
      </c>
      <c r="O16" t="b">
        <v>1</v>
      </c>
      <c r="P16" t="s">
        <v>31</v>
      </c>
      <c r="Q16" t="s">
        <v>32</v>
      </c>
    </row>
    <row r="17" spans="1:17" x14ac:dyDescent="0.35">
      <c r="A17" t="s">
        <v>132</v>
      </c>
      <c r="B17" t="s">
        <v>133</v>
      </c>
      <c r="C17" t="s">
        <v>1204</v>
      </c>
      <c r="D17" t="s">
        <v>48</v>
      </c>
      <c r="E17" t="s">
        <v>1095</v>
      </c>
      <c r="F17" t="s">
        <v>565</v>
      </c>
      <c r="G17" t="s">
        <v>543</v>
      </c>
      <c r="H17" t="s">
        <v>123</v>
      </c>
      <c r="I17" t="s">
        <v>1205</v>
      </c>
      <c r="J17" t="s">
        <v>1200</v>
      </c>
      <c r="K17" s="5">
        <v>400000</v>
      </c>
      <c r="L17" t="s">
        <v>37</v>
      </c>
      <c r="M17" t="s">
        <v>37</v>
      </c>
      <c r="N17" t="s">
        <v>37</v>
      </c>
      <c r="O17" t="b">
        <v>1</v>
      </c>
      <c r="P17" t="s">
        <v>31</v>
      </c>
      <c r="Q17" t="s">
        <v>32</v>
      </c>
    </row>
    <row r="18" spans="1:17" x14ac:dyDescent="0.35">
      <c r="A18" t="s">
        <v>142</v>
      </c>
      <c r="B18" t="s">
        <v>143</v>
      </c>
      <c r="C18" t="s">
        <v>1207</v>
      </c>
      <c r="D18" t="s">
        <v>116</v>
      </c>
      <c r="E18" t="s">
        <v>1208</v>
      </c>
      <c r="F18" t="s">
        <v>565</v>
      </c>
      <c r="G18" t="s">
        <v>543</v>
      </c>
      <c r="H18" t="s">
        <v>123</v>
      </c>
      <c r="I18" t="s">
        <v>1209</v>
      </c>
      <c r="J18" t="s">
        <v>1206</v>
      </c>
      <c r="K18" s="5">
        <v>960000</v>
      </c>
      <c r="L18" t="s">
        <v>37</v>
      </c>
      <c r="M18" t="s">
        <v>37</v>
      </c>
      <c r="N18" t="s">
        <v>37</v>
      </c>
      <c r="O18" t="b">
        <v>1</v>
      </c>
      <c r="P18" t="s">
        <v>31</v>
      </c>
      <c r="Q18" t="s">
        <v>32</v>
      </c>
    </row>
    <row r="19" spans="1:17" x14ac:dyDescent="0.35">
      <c r="A19" t="s">
        <v>474</v>
      </c>
      <c r="B19" t="s">
        <v>475</v>
      </c>
      <c r="C19" t="s">
        <v>649</v>
      </c>
      <c r="D19" t="s">
        <v>43</v>
      </c>
      <c r="E19" t="s">
        <v>650</v>
      </c>
      <c r="F19" t="s">
        <v>645</v>
      </c>
      <c r="G19" t="s">
        <v>543</v>
      </c>
      <c r="H19" t="s">
        <v>476</v>
      </c>
      <c r="I19" t="s">
        <v>1196</v>
      </c>
      <c r="J19" t="s">
        <v>1210</v>
      </c>
      <c r="K19" s="5">
        <v>760000</v>
      </c>
      <c r="L19" t="s">
        <v>40</v>
      </c>
      <c r="M19" t="s">
        <v>37</v>
      </c>
      <c r="N19" t="s">
        <v>40</v>
      </c>
      <c r="O19" t="b">
        <v>1</v>
      </c>
      <c r="P19" t="s">
        <v>31</v>
      </c>
      <c r="Q19" t="s">
        <v>32</v>
      </c>
    </row>
    <row r="20" spans="1:17" x14ac:dyDescent="0.35">
      <c r="A20" t="s">
        <v>474</v>
      </c>
      <c r="B20" t="s">
        <v>475</v>
      </c>
      <c r="C20" t="s">
        <v>649</v>
      </c>
      <c r="D20" t="s">
        <v>43</v>
      </c>
      <c r="E20" t="s">
        <v>650</v>
      </c>
      <c r="F20" t="s">
        <v>645</v>
      </c>
      <c r="G20" t="s">
        <v>543</v>
      </c>
      <c r="H20" t="s">
        <v>476</v>
      </c>
      <c r="I20" t="s">
        <v>651</v>
      </c>
      <c r="J20" t="s">
        <v>1210</v>
      </c>
      <c r="K20" s="5">
        <v>840000</v>
      </c>
      <c r="L20" t="s">
        <v>40</v>
      </c>
      <c r="M20" t="s">
        <v>37</v>
      </c>
      <c r="N20" t="s">
        <v>40</v>
      </c>
      <c r="O20" t="b">
        <v>1</v>
      </c>
      <c r="P20" t="s">
        <v>31</v>
      </c>
      <c r="Q20" t="s">
        <v>32</v>
      </c>
    </row>
    <row r="21" spans="1:17" x14ac:dyDescent="0.35">
      <c r="A21" t="s">
        <v>308</v>
      </c>
      <c r="B21" t="s">
        <v>309</v>
      </c>
      <c r="C21" t="s">
        <v>1211</v>
      </c>
      <c r="D21" t="s">
        <v>90</v>
      </c>
      <c r="E21" t="s">
        <v>1212</v>
      </c>
      <c r="F21" t="s">
        <v>645</v>
      </c>
      <c r="G21" t="s">
        <v>543</v>
      </c>
      <c r="H21" t="s">
        <v>305</v>
      </c>
      <c r="I21" t="s">
        <v>1213</v>
      </c>
      <c r="J21" t="s">
        <v>1192</v>
      </c>
      <c r="K21" s="5">
        <v>3060000</v>
      </c>
      <c r="L21" t="s">
        <v>40</v>
      </c>
      <c r="M21" t="s">
        <v>40</v>
      </c>
      <c r="N21" t="s">
        <v>40</v>
      </c>
      <c r="O21" t="b">
        <v>1</v>
      </c>
      <c r="P21" t="s">
        <v>31</v>
      </c>
      <c r="Q21" t="s">
        <v>32</v>
      </c>
    </row>
    <row r="22" spans="1:17" x14ac:dyDescent="0.35">
      <c r="A22" t="s">
        <v>308</v>
      </c>
      <c r="B22" t="s">
        <v>309</v>
      </c>
      <c r="C22" t="s">
        <v>1211</v>
      </c>
      <c r="D22" t="s">
        <v>90</v>
      </c>
      <c r="E22" t="s">
        <v>1212</v>
      </c>
      <c r="F22" t="s">
        <v>645</v>
      </c>
      <c r="G22" t="s">
        <v>543</v>
      </c>
      <c r="H22" t="s">
        <v>305</v>
      </c>
      <c r="I22" t="s">
        <v>1213</v>
      </c>
      <c r="J22" t="s">
        <v>1192</v>
      </c>
      <c r="K22" s="5">
        <v>1955879</v>
      </c>
      <c r="L22" t="s">
        <v>40</v>
      </c>
      <c r="M22" t="s">
        <v>40</v>
      </c>
      <c r="N22" t="s">
        <v>40</v>
      </c>
      <c r="O22" t="b">
        <v>1</v>
      </c>
      <c r="P22" t="s">
        <v>31</v>
      </c>
      <c r="Q22" t="s">
        <v>32</v>
      </c>
    </row>
    <row r="23" spans="1:17" x14ac:dyDescent="0.35">
      <c r="A23" t="s">
        <v>524</v>
      </c>
      <c r="B23" t="s">
        <v>525</v>
      </c>
      <c r="C23" t="s">
        <v>1164</v>
      </c>
      <c r="D23" t="s">
        <v>51</v>
      </c>
      <c r="E23" t="s">
        <v>1214</v>
      </c>
      <c r="F23" t="s">
        <v>645</v>
      </c>
      <c r="G23" t="s">
        <v>543</v>
      </c>
      <c r="H23" t="s">
        <v>523</v>
      </c>
      <c r="I23" t="s">
        <v>1215</v>
      </c>
      <c r="J23" t="s">
        <v>1216</v>
      </c>
      <c r="K23" s="5">
        <v>121600</v>
      </c>
      <c r="L23" t="s">
        <v>40</v>
      </c>
      <c r="M23" t="s">
        <v>37</v>
      </c>
      <c r="N23" t="s">
        <v>37</v>
      </c>
      <c r="O23" t="b">
        <v>1</v>
      </c>
      <c r="P23" t="s">
        <v>31</v>
      </c>
      <c r="Q23" t="s">
        <v>32</v>
      </c>
    </row>
    <row r="24" spans="1:17" x14ac:dyDescent="0.35">
      <c r="A24" t="s">
        <v>134</v>
      </c>
      <c r="B24" t="s">
        <v>135</v>
      </c>
      <c r="C24" t="s">
        <v>1217</v>
      </c>
      <c r="D24" t="s">
        <v>48</v>
      </c>
      <c r="E24" t="s">
        <v>1218</v>
      </c>
      <c r="F24" t="s">
        <v>565</v>
      </c>
      <c r="G24" t="s">
        <v>543</v>
      </c>
      <c r="H24" t="s">
        <v>123</v>
      </c>
      <c r="I24" t="s">
        <v>1219</v>
      </c>
      <c r="J24" t="s">
        <v>1191</v>
      </c>
      <c r="K24" s="5">
        <v>14211000</v>
      </c>
      <c r="L24" t="s">
        <v>37</v>
      </c>
      <c r="M24" t="s">
        <v>37</v>
      </c>
      <c r="N24" t="s">
        <v>37</v>
      </c>
      <c r="O24" t="b">
        <v>1</v>
      </c>
      <c r="P24" t="s">
        <v>31</v>
      </c>
      <c r="Q24" t="s">
        <v>32</v>
      </c>
    </row>
    <row r="25" spans="1:17" x14ac:dyDescent="0.35">
      <c r="A25" t="s">
        <v>134</v>
      </c>
      <c r="B25" t="s">
        <v>135</v>
      </c>
      <c r="C25" t="s">
        <v>1217</v>
      </c>
      <c r="D25" t="s">
        <v>48</v>
      </c>
      <c r="E25" t="s">
        <v>1218</v>
      </c>
      <c r="F25" t="s">
        <v>565</v>
      </c>
      <c r="G25" t="s">
        <v>543</v>
      </c>
      <c r="H25" t="s">
        <v>123</v>
      </c>
      <c r="I25" t="s">
        <v>1219</v>
      </c>
      <c r="J25" t="s">
        <v>1191</v>
      </c>
      <c r="K25" s="5">
        <v>2027000</v>
      </c>
      <c r="L25" t="s">
        <v>37</v>
      </c>
      <c r="M25" t="s">
        <v>37</v>
      </c>
      <c r="N25" t="s">
        <v>37</v>
      </c>
      <c r="O25" t="b">
        <v>1</v>
      </c>
      <c r="P25" t="s">
        <v>31</v>
      </c>
      <c r="Q25" t="s">
        <v>32</v>
      </c>
    </row>
    <row r="26" spans="1:17" x14ac:dyDescent="0.35">
      <c r="A26" t="s">
        <v>259</v>
      </c>
      <c r="B26" t="s">
        <v>260</v>
      </c>
      <c r="C26" t="s">
        <v>659</v>
      </c>
      <c r="D26" t="s">
        <v>51</v>
      </c>
      <c r="E26" t="s">
        <v>660</v>
      </c>
      <c r="F26" t="s">
        <v>645</v>
      </c>
      <c r="G26" t="s">
        <v>543</v>
      </c>
      <c r="H26" t="s">
        <v>261</v>
      </c>
      <c r="I26" t="s">
        <v>1220</v>
      </c>
      <c r="J26" t="s">
        <v>1221</v>
      </c>
      <c r="K26" s="5">
        <v>168000</v>
      </c>
      <c r="L26" t="s">
        <v>40</v>
      </c>
      <c r="M26" t="s">
        <v>40</v>
      </c>
      <c r="N26" t="s">
        <v>40</v>
      </c>
      <c r="O26" t="b">
        <v>1</v>
      </c>
      <c r="P26" t="s">
        <v>31</v>
      </c>
      <c r="Q26" t="s">
        <v>32</v>
      </c>
    </row>
    <row r="27" spans="1:17" x14ac:dyDescent="0.35">
      <c r="A27" t="s">
        <v>256</v>
      </c>
      <c r="B27" t="s">
        <v>257</v>
      </c>
      <c r="C27" t="s">
        <v>600</v>
      </c>
      <c r="D27" t="s">
        <v>35</v>
      </c>
      <c r="E27" t="s">
        <v>601</v>
      </c>
      <c r="F27" t="s">
        <v>565</v>
      </c>
      <c r="G27" t="s">
        <v>543</v>
      </c>
      <c r="H27" t="s">
        <v>1222</v>
      </c>
      <c r="I27" t="s">
        <v>1223</v>
      </c>
      <c r="J27" t="s">
        <v>1200</v>
      </c>
      <c r="K27" s="5">
        <v>4580000</v>
      </c>
      <c r="L27" t="s">
        <v>40</v>
      </c>
      <c r="M27" t="s">
        <v>40</v>
      </c>
      <c r="N27" t="s">
        <v>37</v>
      </c>
      <c r="O27" t="b">
        <v>1</v>
      </c>
      <c r="P27" t="s">
        <v>31</v>
      </c>
      <c r="Q27" t="s">
        <v>32</v>
      </c>
    </row>
    <row r="28" spans="1:17" x14ac:dyDescent="0.35">
      <c r="A28" t="s">
        <v>240</v>
      </c>
      <c r="B28" t="s">
        <v>241</v>
      </c>
      <c r="C28" t="s">
        <v>676</v>
      </c>
      <c r="D28" t="s">
        <v>64</v>
      </c>
      <c r="E28" t="s">
        <v>677</v>
      </c>
      <c r="F28" t="s">
        <v>645</v>
      </c>
      <c r="G28" t="s">
        <v>543</v>
      </c>
      <c r="H28" t="s">
        <v>235</v>
      </c>
      <c r="I28" t="s">
        <v>678</v>
      </c>
      <c r="J28" t="s">
        <v>1224</v>
      </c>
      <c r="K28" s="5">
        <v>249951</v>
      </c>
      <c r="L28" t="s">
        <v>40</v>
      </c>
      <c r="M28" t="s">
        <v>40</v>
      </c>
      <c r="N28" t="s">
        <v>40</v>
      </c>
      <c r="O28" t="b">
        <v>1</v>
      </c>
      <c r="P28" t="s">
        <v>31</v>
      </c>
      <c r="Q28" t="s">
        <v>32</v>
      </c>
    </row>
    <row r="29" spans="1:17" x14ac:dyDescent="0.35">
      <c r="A29" t="s">
        <v>477</v>
      </c>
      <c r="B29" t="s">
        <v>478</v>
      </c>
      <c r="C29" t="s">
        <v>1080</v>
      </c>
      <c r="D29" t="s">
        <v>35</v>
      </c>
      <c r="E29" t="s">
        <v>601</v>
      </c>
      <c r="F29" t="s">
        <v>565</v>
      </c>
      <c r="G29" t="s">
        <v>543</v>
      </c>
      <c r="H29" t="s">
        <v>1225</v>
      </c>
      <c r="I29" t="s">
        <v>1226</v>
      </c>
      <c r="J29" t="s">
        <v>1191</v>
      </c>
      <c r="K29" s="5">
        <v>1040000</v>
      </c>
      <c r="L29" t="s">
        <v>40</v>
      </c>
      <c r="M29" t="s">
        <v>40</v>
      </c>
      <c r="N29" t="s">
        <v>37</v>
      </c>
      <c r="O29" t="b">
        <v>1</v>
      </c>
      <c r="P29" t="s">
        <v>31</v>
      </c>
      <c r="Q29" t="s">
        <v>32</v>
      </c>
    </row>
    <row r="30" spans="1:17" x14ac:dyDescent="0.35">
      <c r="A30" t="s">
        <v>233</v>
      </c>
      <c r="B30" t="s">
        <v>234</v>
      </c>
      <c r="C30" t="s">
        <v>1227</v>
      </c>
      <c r="D30" t="s">
        <v>48</v>
      </c>
      <c r="E30" t="s">
        <v>1218</v>
      </c>
      <c r="F30" t="s">
        <v>645</v>
      </c>
      <c r="G30" t="s">
        <v>543</v>
      </c>
      <c r="H30" t="s">
        <v>235</v>
      </c>
      <c r="I30" t="s">
        <v>1228</v>
      </c>
      <c r="J30" t="s">
        <v>1229</v>
      </c>
      <c r="K30" s="5">
        <v>548972</v>
      </c>
      <c r="L30" t="s">
        <v>37</v>
      </c>
      <c r="M30" t="s">
        <v>37</v>
      </c>
      <c r="N30" t="s">
        <v>37</v>
      </c>
      <c r="O30" t="b">
        <v>1</v>
      </c>
      <c r="P30" t="s">
        <v>31</v>
      </c>
      <c r="Q30" t="s">
        <v>32</v>
      </c>
    </row>
    <row r="31" spans="1:17" x14ac:dyDescent="0.35">
      <c r="A31" t="s">
        <v>262</v>
      </c>
      <c r="B31" t="s">
        <v>263</v>
      </c>
      <c r="C31" t="s">
        <v>1230</v>
      </c>
      <c r="D31" t="s">
        <v>35</v>
      </c>
      <c r="E31" t="s">
        <v>1231</v>
      </c>
      <c r="F31" t="s">
        <v>645</v>
      </c>
      <c r="G31" t="s">
        <v>543</v>
      </c>
      <c r="H31" t="s">
        <v>261</v>
      </c>
      <c r="I31" t="s">
        <v>1232</v>
      </c>
      <c r="J31" t="s">
        <v>1192</v>
      </c>
      <c r="K31" s="5">
        <v>1408000</v>
      </c>
      <c r="L31" t="s">
        <v>40</v>
      </c>
      <c r="M31" t="s">
        <v>40</v>
      </c>
      <c r="N31" t="s">
        <v>40</v>
      </c>
      <c r="O31" t="b">
        <v>1</v>
      </c>
      <c r="P31" t="s">
        <v>31</v>
      </c>
      <c r="Q31" t="s">
        <v>32</v>
      </c>
    </row>
    <row r="32" spans="1:17" x14ac:dyDescent="0.35">
      <c r="A32" t="s">
        <v>262</v>
      </c>
      <c r="B32" t="s">
        <v>263</v>
      </c>
      <c r="C32" t="s">
        <v>1230</v>
      </c>
      <c r="D32" t="s">
        <v>35</v>
      </c>
      <c r="E32" t="s">
        <v>1231</v>
      </c>
      <c r="F32" t="s">
        <v>645</v>
      </c>
      <c r="G32" t="s">
        <v>543</v>
      </c>
      <c r="H32" t="s">
        <v>261</v>
      </c>
      <c r="I32" t="s">
        <v>1232</v>
      </c>
      <c r="J32" t="s">
        <v>1192</v>
      </c>
      <c r="K32" s="5">
        <v>932800</v>
      </c>
      <c r="L32" t="s">
        <v>40</v>
      </c>
      <c r="M32" t="s">
        <v>40</v>
      </c>
      <c r="N32" t="s">
        <v>40</v>
      </c>
      <c r="O32" t="b">
        <v>1</v>
      </c>
      <c r="P32" t="s">
        <v>31</v>
      </c>
      <c r="Q32" t="s">
        <v>32</v>
      </c>
    </row>
    <row r="33" spans="1:17" x14ac:dyDescent="0.35">
      <c r="A33" t="s">
        <v>262</v>
      </c>
      <c r="B33" t="s">
        <v>263</v>
      </c>
      <c r="C33" t="s">
        <v>1230</v>
      </c>
      <c r="D33" t="s">
        <v>35</v>
      </c>
      <c r="E33" t="s">
        <v>1231</v>
      </c>
      <c r="F33" t="s">
        <v>645</v>
      </c>
      <c r="G33" t="s">
        <v>543</v>
      </c>
      <c r="H33" t="s">
        <v>261</v>
      </c>
      <c r="I33" t="s">
        <v>1232</v>
      </c>
      <c r="J33" t="s">
        <v>1192</v>
      </c>
      <c r="K33" s="5">
        <v>233200</v>
      </c>
      <c r="L33" t="s">
        <v>40</v>
      </c>
      <c r="M33" t="s">
        <v>40</v>
      </c>
      <c r="N33" t="s">
        <v>40</v>
      </c>
      <c r="O33" t="b">
        <v>1</v>
      </c>
      <c r="P33" t="s">
        <v>31</v>
      </c>
      <c r="Q33" t="s">
        <v>32</v>
      </c>
    </row>
    <row r="34" spans="1:17" x14ac:dyDescent="0.35">
      <c r="A34" t="s">
        <v>306</v>
      </c>
      <c r="B34" t="s">
        <v>307</v>
      </c>
      <c r="C34" t="s">
        <v>1233</v>
      </c>
      <c r="D34" t="s">
        <v>35</v>
      </c>
      <c r="E34" t="s">
        <v>601</v>
      </c>
      <c r="F34" t="s">
        <v>565</v>
      </c>
      <c r="G34" t="s">
        <v>543</v>
      </c>
      <c r="H34" t="s">
        <v>305</v>
      </c>
      <c r="I34" t="s">
        <v>1234</v>
      </c>
      <c r="J34" t="s">
        <v>1200</v>
      </c>
      <c r="K34" s="5">
        <v>3040000</v>
      </c>
      <c r="L34" t="s">
        <v>40</v>
      </c>
      <c r="M34" t="s">
        <v>40</v>
      </c>
      <c r="N34" t="s">
        <v>37</v>
      </c>
      <c r="O34" t="b">
        <v>1</v>
      </c>
      <c r="P34" t="s">
        <v>31</v>
      </c>
      <c r="Q34" t="s">
        <v>32</v>
      </c>
    </row>
    <row r="35" spans="1:17" x14ac:dyDescent="0.35">
      <c r="A35" t="s">
        <v>264</v>
      </c>
      <c r="B35" t="s">
        <v>265</v>
      </c>
      <c r="C35" t="s">
        <v>1235</v>
      </c>
      <c r="D35" t="s">
        <v>35</v>
      </c>
      <c r="E35" t="s">
        <v>1236</v>
      </c>
      <c r="F35" t="s">
        <v>645</v>
      </c>
      <c r="G35" t="s">
        <v>543</v>
      </c>
      <c r="H35" t="s">
        <v>261</v>
      </c>
      <c r="I35" t="s">
        <v>1237</v>
      </c>
      <c r="J35" t="s">
        <v>1192</v>
      </c>
      <c r="K35" s="5">
        <v>2173600</v>
      </c>
      <c r="L35" t="s">
        <v>40</v>
      </c>
      <c r="M35" t="s">
        <v>40</v>
      </c>
      <c r="N35" t="s">
        <v>40</v>
      </c>
      <c r="O35" t="b">
        <v>1</v>
      </c>
      <c r="P35" t="s">
        <v>31</v>
      </c>
      <c r="Q35" t="s">
        <v>32</v>
      </c>
    </row>
    <row r="36" spans="1:17" x14ac:dyDescent="0.35">
      <c r="A36" t="s">
        <v>343</v>
      </c>
      <c r="B36" t="s">
        <v>344</v>
      </c>
      <c r="C36" t="s">
        <v>1238</v>
      </c>
      <c r="D36" t="s">
        <v>35</v>
      </c>
      <c r="E36" t="s">
        <v>1239</v>
      </c>
      <c r="F36" t="s">
        <v>645</v>
      </c>
      <c r="G36" t="s">
        <v>543</v>
      </c>
      <c r="H36" t="s">
        <v>342</v>
      </c>
      <c r="I36" t="s">
        <v>1196</v>
      </c>
      <c r="J36" t="s">
        <v>1192</v>
      </c>
      <c r="K36" s="5">
        <v>1755525</v>
      </c>
      <c r="L36" t="s">
        <v>37</v>
      </c>
      <c r="M36" t="s">
        <v>37</v>
      </c>
      <c r="N36" t="s">
        <v>37</v>
      </c>
      <c r="O36" t="b">
        <v>1</v>
      </c>
      <c r="P36" t="s">
        <v>31</v>
      </c>
      <c r="Q36" t="s">
        <v>32</v>
      </c>
    </row>
    <row r="37" spans="1:17" x14ac:dyDescent="0.35">
      <c r="A37" t="s">
        <v>345</v>
      </c>
      <c r="B37" t="s">
        <v>346</v>
      </c>
      <c r="C37" t="s">
        <v>1240</v>
      </c>
      <c r="D37" t="s">
        <v>35</v>
      </c>
      <c r="E37" t="s">
        <v>1239</v>
      </c>
      <c r="F37" t="s">
        <v>645</v>
      </c>
      <c r="G37" t="s">
        <v>543</v>
      </c>
      <c r="H37" t="s">
        <v>342</v>
      </c>
      <c r="I37" t="s">
        <v>1241</v>
      </c>
      <c r="J37" t="s">
        <v>1192</v>
      </c>
      <c r="K37" s="5">
        <v>906558</v>
      </c>
      <c r="L37" t="s">
        <v>37</v>
      </c>
      <c r="M37" t="s">
        <v>37</v>
      </c>
      <c r="N37" t="s">
        <v>37</v>
      </c>
      <c r="O37" t="b">
        <v>1</v>
      </c>
      <c r="P37" t="s">
        <v>31</v>
      </c>
      <c r="Q37" t="s">
        <v>32</v>
      </c>
    </row>
    <row r="38" spans="1:17" x14ac:dyDescent="0.35">
      <c r="A38" t="s">
        <v>347</v>
      </c>
      <c r="B38" t="s">
        <v>348</v>
      </c>
      <c r="C38" t="s">
        <v>1242</v>
      </c>
      <c r="D38" t="s">
        <v>35</v>
      </c>
      <c r="E38" t="s">
        <v>1239</v>
      </c>
      <c r="F38" t="s">
        <v>645</v>
      </c>
      <c r="G38" t="s">
        <v>543</v>
      </c>
      <c r="H38" t="s">
        <v>342</v>
      </c>
      <c r="I38" t="s">
        <v>1243</v>
      </c>
      <c r="J38" t="s">
        <v>1192</v>
      </c>
      <c r="K38" s="5">
        <v>498556</v>
      </c>
      <c r="L38" t="s">
        <v>37</v>
      </c>
      <c r="M38" t="s">
        <v>37</v>
      </c>
      <c r="N38" t="s">
        <v>37</v>
      </c>
      <c r="O38" t="b">
        <v>1</v>
      </c>
      <c r="P38" t="s">
        <v>31</v>
      </c>
      <c r="Q38" t="s">
        <v>32</v>
      </c>
    </row>
    <row r="39" spans="1:17" x14ac:dyDescent="0.35">
      <c r="A39" t="s">
        <v>347</v>
      </c>
      <c r="B39" t="s">
        <v>348</v>
      </c>
      <c r="C39" t="s">
        <v>1242</v>
      </c>
      <c r="D39" t="s">
        <v>35</v>
      </c>
      <c r="E39" t="s">
        <v>1239</v>
      </c>
      <c r="F39" t="s">
        <v>645</v>
      </c>
      <c r="G39" t="s">
        <v>543</v>
      </c>
      <c r="H39" t="s">
        <v>342</v>
      </c>
      <c r="I39" t="s">
        <v>1243</v>
      </c>
      <c r="J39" t="s">
        <v>1192</v>
      </c>
      <c r="K39" s="5">
        <v>725444</v>
      </c>
      <c r="L39" t="s">
        <v>37</v>
      </c>
      <c r="M39" t="s">
        <v>37</v>
      </c>
      <c r="N39" t="s">
        <v>37</v>
      </c>
      <c r="O39" t="b">
        <v>1</v>
      </c>
      <c r="P39" t="s">
        <v>31</v>
      </c>
      <c r="Q39" t="s">
        <v>32</v>
      </c>
    </row>
    <row r="40" spans="1:17" x14ac:dyDescent="0.35">
      <c r="A40" t="s">
        <v>349</v>
      </c>
      <c r="B40" t="s">
        <v>350</v>
      </c>
      <c r="C40" t="s">
        <v>1244</v>
      </c>
      <c r="D40" t="s">
        <v>35</v>
      </c>
      <c r="E40" t="s">
        <v>1245</v>
      </c>
      <c r="F40" t="s">
        <v>645</v>
      </c>
      <c r="G40" t="s">
        <v>543</v>
      </c>
      <c r="H40" t="s">
        <v>342</v>
      </c>
      <c r="I40" t="s">
        <v>1196</v>
      </c>
      <c r="J40" t="s">
        <v>1192</v>
      </c>
      <c r="K40" s="5">
        <v>908838</v>
      </c>
      <c r="L40" t="s">
        <v>37</v>
      </c>
      <c r="M40" t="s">
        <v>37</v>
      </c>
      <c r="N40" t="s">
        <v>40</v>
      </c>
      <c r="O40" t="b">
        <v>1</v>
      </c>
      <c r="P40" t="s">
        <v>31</v>
      </c>
      <c r="Q40" t="s">
        <v>32</v>
      </c>
    </row>
    <row r="41" spans="1:17" x14ac:dyDescent="0.35">
      <c r="A41" t="s">
        <v>479</v>
      </c>
      <c r="B41" t="s">
        <v>480</v>
      </c>
      <c r="C41" t="s">
        <v>480</v>
      </c>
      <c r="D41" t="s">
        <v>90</v>
      </c>
      <c r="E41" t="s">
        <v>1246</v>
      </c>
      <c r="F41" t="s">
        <v>1247</v>
      </c>
      <c r="G41" t="s">
        <v>543</v>
      </c>
      <c r="H41" t="s">
        <v>476</v>
      </c>
      <c r="I41" t="s">
        <v>1248</v>
      </c>
      <c r="J41" t="s">
        <v>1221</v>
      </c>
      <c r="K41" s="5">
        <v>2624606</v>
      </c>
      <c r="L41" t="s">
        <v>37</v>
      </c>
      <c r="M41" t="s">
        <v>37</v>
      </c>
      <c r="N41" t="s">
        <v>37</v>
      </c>
      <c r="O41" t="b">
        <v>1</v>
      </c>
      <c r="P41" t="s">
        <v>31</v>
      </c>
      <c r="Q41" t="s">
        <v>32</v>
      </c>
    </row>
    <row r="42" spans="1:17" x14ac:dyDescent="0.35">
      <c r="A42" t="s">
        <v>479</v>
      </c>
      <c r="B42" t="s">
        <v>480</v>
      </c>
      <c r="C42" t="s">
        <v>480</v>
      </c>
      <c r="D42" t="s">
        <v>90</v>
      </c>
      <c r="E42" t="s">
        <v>1246</v>
      </c>
      <c r="F42" t="s">
        <v>1247</v>
      </c>
      <c r="G42" t="s">
        <v>543</v>
      </c>
      <c r="H42" t="s">
        <v>476</v>
      </c>
      <c r="I42" t="s">
        <v>1248</v>
      </c>
      <c r="J42" t="s">
        <v>1249</v>
      </c>
      <c r="K42" s="5">
        <v>2797889</v>
      </c>
      <c r="L42" t="s">
        <v>37</v>
      </c>
      <c r="M42" t="s">
        <v>37</v>
      </c>
      <c r="N42" t="s">
        <v>37</v>
      </c>
      <c r="O42" t="b">
        <v>1</v>
      </c>
      <c r="P42" t="s">
        <v>31</v>
      </c>
      <c r="Q42" t="s">
        <v>32</v>
      </c>
    </row>
    <row r="43" spans="1:17" x14ac:dyDescent="0.35">
      <c r="A43" t="s">
        <v>49</v>
      </c>
      <c r="B43" t="s">
        <v>50</v>
      </c>
      <c r="C43" t="s">
        <v>686</v>
      </c>
      <c r="D43" t="s">
        <v>51</v>
      </c>
      <c r="E43" t="s">
        <v>687</v>
      </c>
      <c r="F43" t="s">
        <v>683</v>
      </c>
      <c r="G43" t="s">
        <v>543</v>
      </c>
      <c r="H43" t="s">
        <v>688</v>
      </c>
      <c r="I43" t="s">
        <v>691</v>
      </c>
      <c r="J43" t="s">
        <v>1192</v>
      </c>
      <c r="K43" s="5">
        <v>2956000</v>
      </c>
      <c r="L43" t="s">
        <v>40</v>
      </c>
      <c r="M43" t="s">
        <v>40</v>
      </c>
      <c r="N43" t="s">
        <v>37</v>
      </c>
      <c r="O43" t="b">
        <v>1</v>
      </c>
      <c r="P43" t="s">
        <v>31</v>
      </c>
      <c r="Q43" t="s">
        <v>32</v>
      </c>
    </row>
    <row r="44" spans="1:17" x14ac:dyDescent="0.35">
      <c r="A44" t="s">
        <v>46</v>
      </c>
      <c r="B44" t="s">
        <v>47</v>
      </c>
      <c r="C44" t="s">
        <v>717</v>
      </c>
      <c r="D44" t="s">
        <v>48</v>
      </c>
      <c r="E44" t="s">
        <v>718</v>
      </c>
      <c r="F44" t="s">
        <v>565</v>
      </c>
      <c r="G44" t="s">
        <v>543</v>
      </c>
      <c r="H44" t="s">
        <v>719</v>
      </c>
      <c r="I44" t="s">
        <v>726</v>
      </c>
      <c r="J44" t="s">
        <v>1250</v>
      </c>
      <c r="K44" s="5">
        <v>6875000</v>
      </c>
      <c r="L44" t="s">
        <v>40</v>
      </c>
      <c r="M44" t="s">
        <v>40</v>
      </c>
      <c r="N44" t="s">
        <v>40</v>
      </c>
      <c r="O44" t="b">
        <v>1</v>
      </c>
      <c r="P44" t="s">
        <v>31</v>
      </c>
      <c r="Q44" t="s">
        <v>32</v>
      </c>
    </row>
    <row r="45" spans="1:17" x14ac:dyDescent="0.35">
      <c r="A45" t="s">
        <v>450</v>
      </c>
      <c r="B45" t="s">
        <v>451</v>
      </c>
      <c r="C45" t="s">
        <v>1251</v>
      </c>
      <c r="D45" t="s">
        <v>43</v>
      </c>
      <c r="E45" t="s">
        <v>1252</v>
      </c>
      <c r="F45" t="s">
        <v>683</v>
      </c>
      <c r="G45" t="s">
        <v>543</v>
      </c>
      <c r="H45" t="s">
        <v>452</v>
      </c>
      <c r="I45" t="s">
        <v>1253</v>
      </c>
      <c r="J45" t="s">
        <v>1210</v>
      </c>
      <c r="K45" s="5">
        <v>1120000</v>
      </c>
      <c r="L45" t="s">
        <v>40</v>
      </c>
      <c r="M45" t="s">
        <v>40</v>
      </c>
      <c r="N45" t="s">
        <v>37</v>
      </c>
      <c r="O45" t="b">
        <v>1</v>
      </c>
      <c r="P45" t="s">
        <v>31</v>
      </c>
      <c r="Q45" t="s">
        <v>32</v>
      </c>
    </row>
    <row r="46" spans="1:17" x14ac:dyDescent="0.35">
      <c r="A46" t="s">
        <v>218</v>
      </c>
      <c r="B46" t="s">
        <v>219</v>
      </c>
      <c r="C46" t="s">
        <v>1254</v>
      </c>
      <c r="D46" t="s">
        <v>35</v>
      </c>
      <c r="E46" t="s">
        <v>1255</v>
      </c>
      <c r="F46" t="s">
        <v>683</v>
      </c>
      <c r="G46" t="s">
        <v>543</v>
      </c>
      <c r="H46" t="s">
        <v>217</v>
      </c>
      <c r="I46" t="s">
        <v>1256</v>
      </c>
      <c r="J46" t="s">
        <v>1192</v>
      </c>
      <c r="K46" s="5">
        <v>1124831</v>
      </c>
      <c r="L46" t="s">
        <v>40</v>
      </c>
      <c r="M46" t="s">
        <v>40</v>
      </c>
      <c r="N46" t="s">
        <v>40</v>
      </c>
      <c r="O46" t="b">
        <v>1</v>
      </c>
      <c r="P46" t="s">
        <v>31</v>
      </c>
      <c r="Q46" t="s">
        <v>32</v>
      </c>
    </row>
    <row r="47" spans="1:17" x14ac:dyDescent="0.35">
      <c r="A47" t="s">
        <v>220</v>
      </c>
      <c r="B47" t="s">
        <v>221</v>
      </c>
      <c r="C47" t="s">
        <v>757</v>
      </c>
      <c r="D47" t="s">
        <v>90</v>
      </c>
      <c r="E47" t="s">
        <v>758</v>
      </c>
      <c r="F47" t="s">
        <v>683</v>
      </c>
      <c r="G47" t="s">
        <v>543</v>
      </c>
      <c r="H47" t="s">
        <v>217</v>
      </c>
      <c r="I47" t="s">
        <v>759</v>
      </c>
      <c r="J47" t="s">
        <v>1257</v>
      </c>
      <c r="K47" s="5">
        <v>500000</v>
      </c>
      <c r="L47" t="s">
        <v>40</v>
      </c>
      <c r="M47" t="s">
        <v>40</v>
      </c>
      <c r="N47" t="s">
        <v>40</v>
      </c>
      <c r="O47" t="b">
        <v>1</v>
      </c>
      <c r="P47" t="s">
        <v>31</v>
      </c>
      <c r="Q47" t="s">
        <v>32</v>
      </c>
    </row>
    <row r="48" spans="1:17" x14ac:dyDescent="0.35">
      <c r="A48" t="s">
        <v>220</v>
      </c>
      <c r="B48" t="s">
        <v>221</v>
      </c>
      <c r="C48" t="s">
        <v>757</v>
      </c>
      <c r="D48" t="s">
        <v>90</v>
      </c>
      <c r="E48" t="s">
        <v>758</v>
      </c>
      <c r="F48" t="s">
        <v>683</v>
      </c>
      <c r="G48" t="s">
        <v>543</v>
      </c>
      <c r="H48" t="s">
        <v>217</v>
      </c>
      <c r="I48" t="s">
        <v>1258</v>
      </c>
      <c r="J48" t="s">
        <v>1192</v>
      </c>
      <c r="K48" s="5">
        <v>700671</v>
      </c>
      <c r="L48" t="s">
        <v>40</v>
      </c>
      <c r="M48" t="s">
        <v>40</v>
      </c>
      <c r="N48" t="s">
        <v>40</v>
      </c>
      <c r="O48" t="b">
        <v>1</v>
      </c>
      <c r="P48" t="s">
        <v>31</v>
      </c>
      <c r="Q48" t="s">
        <v>32</v>
      </c>
    </row>
    <row r="49" spans="1:17" x14ac:dyDescent="0.35">
      <c r="A49" t="s">
        <v>220</v>
      </c>
      <c r="B49" t="s">
        <v>221</v>
      </c>
      <c r="C49" t="s">
        <v>757</v>
      </c>
      <c r="D49" t="s">
        <v>90</v>
      </c>
      <c r="E49" t="s">
        <v>758</v>
      </c>
      <c r="F49" t="s">
        <v>683</v>
      </c>
      <c r="G49" t="s">
        <v>543</v>
      </c>
      <c r="H49" t="s">
        <v>217</v>
      </c>
      <c r="I49" t="s">
        <v>1258</v>
      </c>
      <c r="J49" t="s">
        <v>1192</v>
      </c>
      <c r="K49" s="5">
        <v>2799329</v>
      </c>
      <c r="L49" t="s">
        <v>40</v>
      </c>
      <c r="M49" t="s">
        <v>40</v>
      </c>
      <c r="N49" t="s">
        <v>40</v>
      </c>
      <c r="O49" t="b">
        <v>1</v>
      </c>
      <c r="P49" t="s">
        <v>31</v>
      </c>
      <c r="Q49" t="s">
        <v>32</v>
      </c>
    </row>
    <row r="50" spans="1:17" x14ac:dyDescent="0.35">
      <c r="A50" t="s">
        <v>220</v>
      </c>
      <c r="B50" t="s">
        <v>221</v>
      </c>
      <c r="C50" t="s">
        <v>757</v>
      </c>
      <c r="D50" t="s">
        <v>90</v>
      </c>
      <c r="E50" t="s">
        <v>758</v>
      </c>
      <c r="F50" t="s">
        <v>683</v>
      </c>
      <c r="G50" t="s">
        <v>543</v>
      </c>
      <c r="H50" t="s">
        <v>217</v>
      </c>
      <c r="I50" t="s">
        <v>1258</v>
      </c>
      <c r="J50" t="s">
        <v>1192</v>
      </c>
      <c r="K50" s="5">
        <v>1500000</v>
      </c>
      <c r="L50" t="s">
        <v>40</v>
      </c>
      <c r="M50" t="s">
        <v>40</v>
      </c>
      <c r="N50" t="s">
        <v>40</v>
      </c>
      <c r="O50" t="b">
        <v>1</v>
      </c>
      <c r="P50" t="s">
        <v>31</v>
      </c>
      <c r="Q50" t="s">
        <v>32</v>
      </c>
    </row>
    <row r="51" spans="1:17" x14ac:dyDescent="0.35">
      <c r="A51" t="s">
        <v>220</v>
      </c>
      <c r="B51" t="s">
        <v>221</v>
      </c>
      <c r="C51" t="s">
        <v>757</v>
      </c>
      <c r="D51" t="s">
        <v>90</v>
      </c>
      <c r="E51" t="s">
        <v>758</v>
      </c>
      <c r="F51" t="s">
        <v>683</v>
      </c>
      <c r="G51" t="s">
        <v>543</v>
      </c>
      <c r="H51" t="s">
        <v>217</v>
      </c>
      <c r="I51" t="s">
        <v>1258</v>
      </c>
      <c r="J51" t="s">
        <v>1250</v>
      </c>
      <c r="K51" s="5">
        <v>1853184</v>
      </c>
      <c r="L51" t="s">
        <v>40</v>
      </c>
      <c r="M51" t="s">
        <v>40</v>
      </c>
      <c r="N51" t="s">
        <v>40</v>
      </c>
      <c r="O51" t="b">
        <v>1</v>
      </c>
      <c r="P51" t="s">
        <v>31</v>
      </c>
      <c r="Q51" t="s">
        <v>32</v>
      </c>
    </row>
    <row r="52" spans="1:17" x14ac:dyDescent="0.35">
      <c r="A52" t="s">
        <v>457</v>
      </c>
      <c r="B52" t="s">
        <v>458</v>
      </c>
      <c r="C52" t="s">
        <v>1259</v>
      </c>
      <c r="D52" t="s">
        <v>90</v>
      </c>
      <c r="E52" t="s">
        <v>1260</v>
      </c>
      <c r="F52" t="s">
        <v>683</v>
      </c>
      <c r="G52" t="s">
        <v>543</v>
      </c>
      <c r="H52" t="s">
        <v>452</v>
      </c>
      <c r="I52" t="s">
        <v>1261</v>
      </c>
      <c r="J52" t="s">
        <v>1192</v>
      </c>
      <c r="K52" s="5">
        <v>2947707</v>
      </c>
      <c r="L52" t="s">
        <v>40</v>
      </c>
      <c r="M52" t="s">
        <v>40</v>
      </c>
      <c r="N52" t="s">
        <v>40</v>
      </c>
      <c r="O52" t="b">
        <v>1</v>
      </c>
      <c r="P52" t="s">
        <v>31</v>
      </c>
      <c r="Q52" t="s">
        <v>32</v>
      </c>
    </row>
    <row r="53" spans="1:17" x14ac:dyDescent="0.35">
      <c r="A53" t="s">
        <v>358</v>
      </c>
      <c r="B53" t="s">
        <v>359</v>
      </c>
      <c r="C53" t="s">
        <v>774</v>
      </c>
      <c r="D53" t="s">
        <v>51</v>
      </c>
      <c r="E53" t="s">
        <v>775</v>
      </c>
      <c r="F53" t="s">
        <v>683</v>
      </c>
      <c r="G53" t="s">
        <v>543</v>
      </c>
      <c r="H53" t="s">
        <v>355</v>
      </c>
      <c r="I53" t="s">
        <v>776</v>
      </c>
      <c r="J53" t="s">
        <v>1257</v>
      </c>
      <c r="K53" s="5">
        <v>1685060</v>
      </c>
      <c r="L53" t="s">
        <v>40</v>
      </c>
      <c r="M53" t="s">
        <v>40</v>
      </c>
      <c r="N53" t="s">
        <v>40</v>
      </c>
      <c r="O53" t="b">
        <v>1</v>
      </c>
      <c r="P53" t="s">
        <v>31</v>
      </c>
      <c r="Q53" t="s">
        <v>32</v>
      </c>
    </row>
    <row r="54" spans="1:17" x14ac:dyDescent="0.35">
      <c r="A54" t="s">
        <v>358</v>
      </c>
      <c r="B54" t="s">
        <v>359</v>
      </c>
      <c r="C54" t="s">
        <v>774</v>
      </c>
      <c r="D54" t="s">
        <v>51</v>
      </c>
      <c r="E54" t="s">
        <v>775</v>
      </c>
      <c r="F54" t="s">
        <v>683</v>
      </c>
      <c r="G54" t="s">
        <v>543</v>
      </c>
      <c r="H54" t="s">
        <v>355</v>
      </c>
      <c r="I54" t="s">
        <v>776</v>
      </c>
      <c r="J54" t="s">
        <v>1192</v>
      </c>
      <c r="K54" s="5">
        <v>114940</v>
      </c>
      <c r="L54" t="s">
        <v>40</v>
      </c>
      <c r="M54" t="s">
        <v>40</v>
      </c>
      <c r="N54" t="s">
        <v>40</v>
      </c>
      <c r="O54" t="b">
        <v>1</v>
      </c>
      <c r="P54" t="s">
        <v>31</v>
      </c>
      <c r="Q54" t="s">
        <v>32</v>
      </c>
    </row>
    <row r="55" spans="1:17" x14ac:dyDescent="0.35">
      <c r="A55" t="s">
        <v>353</v>
      </c>
      <c r="B55" t="s">
        <v>354</v>
      </c>
      <c r="C55" t="s">
        <v>1262</v>
      </c>
      <c r="D55" t="s">
        <v>43</v>
      </c>
      <c r="E55" t="s">
        <v>1263</v>
      </c>
      <c r="F55" t="s">
        <v>683</v>
      </c>
      <c r="G55" t="s">
        <v>543</v>
      </c>
      <c r="H55" t="s">
        <v>355</v>
      </c>
      <c r="I55" t="s">
        <v>1196</v>
      </c>
      <c r="J55" t="s">
        <v>1221</v>
      </c>
      <c r="K55" s="5">
        <v>196470</v>
      </c>
      <c r="L55" t="s">
        <v>40</v>
      </c>
      <c r="M55" t="s">
        <v>37</v>
      </c>
      <c r="N55" t="s">
        <v>40</v>
      </c>
      <c r="O55" t="b">
        <v>1</v>
      </c>
      <c r="P55" t="s">
        <v>31</v>
      </c>
      <c r="Q55" t="s">
        <v>32</v>
      </c>
    </row>
    <row r="56" spans="1:17" x14ac:dyDescent="0.35">
      <c r="A56" t="s">
        <v>810</v>
      </c>
      <c r="B56" t="s">
        <v>811</v>
      </c>
      <c r="C56" t="s">
        <v>812</v>
      </c>
      <c r="D56" t="s">
        <v>35</v>
      </c>
      <c r="E56" t="s">
        <v>813</v>
      </c>
      <c r="F56" t="s">
        <v>683</v>
      </c>
      <c r="G56" t="s">
        <v>543</v>
      </c>
      <c r="H56" t="s">
        <v>814</v>
      </c>
      <c r="I56" t="s">
        <v>815</v>
      </c>
      <c r="J56" t="s">
        <v>1192</v>
      </c>
      <c r="K56" s="5">
        <v>930600</v>
      </c>
      <c r="L56" t="s">
        <v>40</v>
      </c>
      <c r="M56" t="s">
        <v>40</v>
      </c>
      <c r="N56" t="s">
        <v>40</v>
      </c>
      <c r="O56" t="b">
        <v>1</v>
      </c>
      <c r="P56" t="s">
        <v>31</v>
      </c>
      <c r="Q56" t="s">
        <v>32</v>
      </c>
    </row>
    <row r="57" spans="1:17" x14ac:dyDescent="0.35">
      <c r="A57" t="s">
        <v>362</v>
      </c>
      <c r="B57" t="s">
        <v>363</v>
      </c>
      <c r="C57" t="s">
        <v>1264</v>
      </c>
      <c r="D57" t="s">
        <v>35</v>
      </c>
      <c r="E57" t="s">
        <v>1265</v>
      </c>
      <c r="F57" t="s">
        <v>683</v>
      </c>
      <c r="G57" t="s">
        <v>543</v>
      </c>
      <c r="H57" t="s">
        <v>355</v>
      </c>
      <c r="I57" t="s">
        <v>1266</v>
      </c>
      <c r="J57" t="s">
        <v>1192</v>
      </c>
      <c r="K57" s="5">
        <v>1478400</v>
      </c>
      <c r="L57" t="s">
        <v>40</v>
      </c>
      <c r="M57" t="s">
        <v>37</v>
      </c>
      <c r="N57" t="s">
        <v>40</v>
      </c>
      <c r="O57" t="b">
        <v>1</v>
      </c>
      <c r="P57" t="s">
        <v>31</v>
      </c>
      <c r="Q57" t="s">
        <v>32</v>
      </c>
    </row>
    <row r="58" spans="1:17" x14ac:dyDescent="0.35">
      <c r="A58" t="s">
        <v>356</v>
      </c>
      <c r="B58" t="s">
        <v>357</v>
      </c>
      <c r="C58" t="s">
        <v>821</v>
      </c>
      <c r="D58" t="s">
        <v>43</v>
      </c>
      <c r="E58" t="s">
        <v>822</v>
      </c>
      <c r="F58" t="s">
        <v>683</v>
      </c>
      <c r="G58" t="s">
        <v>543</v>
      </c>
      <c r="H58" t="s">
        <v>355</v>
      </c>
      <c r="I58" t="s">
        <v>823</v>
      </c>
      <c r="J58" t="s">
        <v>1257</v>
      </c>
      <c r="K58" s="5">
        <v>517400</v>
      </c>
      <c r="L58" t="s">
        <v>40</v>
      </c>
      <c r="M58" t="s">
        <v>40</v>
      </c>
      <c r="N58" t="s">
        <v>40</v>
      </c>
      <c r="O58" t="b">
        <v>1</v>
      </c>
      <c r="P58" t="s">
        <v>31</v>
      </c>
      <c r="Q58" t="s">
        <v>32</v>
      </c>
    </row>
    <row r="59" spans="1:17" x14ac:dyDescent="0.35">
      <c r="A59" t="s">
        <v>52</v>
      </c>
      <c r="B59" t="s">
        <v>53</v>
      </c>
      <c r="C59" t="s">
        <v>828</v>
      </c>
      <c r="D59" t="s">
        <v>51</v>
      </c>
      <c r="E59" t="s">
        <v>829</v>
      </c>
      <c r="F59" t="s">
        <v>565</v>
      </c>
      <c r="G59" t="s">
        <v>543</v>
      </c>
      <c r="H59" t="s">
        <v>1267</v>
      </c>
      <c r="I59" t="s">
        <v>1268</v>
      </c>
      <c r="J59" t="s">
        <v>1250</v>
      </c>
      <c r="K59" s="5">
        <v>2475000</v>
      </c>
      <c r="L59" t="s">
        <v>37</v>
      </c>
      <c r="M59" t="s">
        <v>37</v>
      </c>
      <c r="N59" t="s">
        <v>37</v>
      </c>
      <c r="O59" t="b">
        <v>1</v>
      </c>
      <c r="P59" t="s">
        <v>31</v>
      </c>
      <c r="Q59" t="s">
        <v>32</v>
      </c>
    </row>
    <row r="60" spans="1:17" x14ac:dyDescent="0.35">
      <c r="A60" t="s">
        <v>200</v>
      </c>
      <c r="B60" t="s">
        <v>201</v>
      </c>
      <c r="C60" t="s">
        <v>619</v>
      </c>
      <c r="D60" t="s">
        <v>35</v>
      </c>
      <c r="E60" t="s">
        <v>620</v>
      </c>
      <c r="F60" t="s">
        <v>565</v>
      </c>
      <c r="G60" t="s">
        <v>543</v>
      </c>
      <c r="H60" t="s">
        <v>1269</v>
      </c>
      <c r="I60" t="s">
        <v>1270</v>
      </c>
      <c r="J60" t="s">
        <v>1191</v>
      </c>
      <c r="K60" s="5">
        <v>6560000</v>
      </c>
      <c r="L60" t="s">
        <v>37</v>
      </c>
      <c r="M60" t="s">
        <v>37</v>
      </c>
      <c r="N60" t="s">
        <v>37</v>
      </c>
      <c r="O60" t="b">
        <v>1</v>
      </c>
      <c r="P60" t="s">
        <v>31</v>
      </c>
      <c r="Q60" t="s">
        <v>32</v>
      </c>
    </row>
    <row r="61" spans="1:17" x14ac:dyDescent="0.35">
      <c r="A61" t="s">
        <v>200</v>
      </c>
      <c r="B61" t="s">
        <v>201</v>
      </c>
      <c r="C61" t="s">
        <v>619</v>
      </c>
      <c r="D61" t="s">
        <v>35</v>
      </c>
      <c r="E61" t="s">
        <v>620</v>
      </c>
      <c r="F61" t="s">
        <v>565</v>
      </c>
      <c r="G61" t="s">
        <v>543</v>
      </c>
      <c r="H61" t="s">
        <v>1269</v>
      </c>
      <c r="I61" t="s">
        <v>1270</v>
      </c>
      <c r="J61" t="s">
        <v>1191</v>
      </c>
      <c r="K61" s="5">
        <v>1040000</v>
      </c>
      <c r="L61" t="s">
        <v>37</v>
      </c>
      <c r="M61" t="s">
        <v>37</v>
      </c>
      <c r="N61" t="s">
        <v>37</v>
      </c>
      <c r="O61" t="b">
        <v>1</v>
      </c>
      <c r="P61" t="s">
        <v>31</v>
      </c>
      <c r="Q61" t="s">
        <v>32</v>
      </c>
    </row>
    <row r="62" spans="1:17" x14ac:dyDescent="0.35">
      <c r="A62" t="s">
        <v>281</v>
      </c>
      <c r="B62" t="s">
        <v>282</v>
      </c>
      <c r="C62" t="s">
        <v>833</v>
      </c>
      <c r="D62" t="s">
        <v>35</v>
      </c>
      <c r="E62" t="s">
        <v>601</v>
      </c>
      <c r="F62" t="s">
        <v>565</v>
      </c>
      <c r="G62" t="s">
        <v>543</v>
      </c>
      <c r="H62" t="s">
        <v>834</v>
      </c>
      <c r="I62" t="s">
        <v>835</v>
      </c>
      <c r="J62" t="s">
        <v>1191</v>
      </c>
      <c r="K62" s="5">
        <v>2448000</v>
      </c>
      <c r="L62" t="s">
        <v>40</v>
      </c>
      <c r="M62" t="s">
        <v>40</v>
      </c>
      <c r="N62" t="s">
        <v>37</v>
      </c>
      <c r="O62" t="b">
        <v>1</v>
      </c>
      <c r="P62" t="s">
        <v>31</v>
      </c>
      <c r="Q62" t="s">
        <v>32</v>
      </c>
    </row>
    <row r="63" spans="1:17" x14ac:dyDescent="0.35">
      <c r="A63" t="s">
        <v>419</v>
      </c>
      <c r="B63" t="s">
        <v>420</v>
      </c>
      <c r="C63" t="s">
        <v>1271</v>
      </c>
      <c r="D63" t="s">
        <v>35</v>
      </c>
      <c r="E63" t="s">
        <v>1272</v>
      </c>
      <c r="F63" t="s">
        <v>683</v>
      </c>
      <c r="G63" t="s">
        <v>543</v>
      </c>
      <c r="H63" t="s">
        <v>418</v>
      </c>
      <c r="I63" t="s">
        <v>1196</v>
      </c>
      <c r="J63" t="s">
        <v>1273</v>
      </c>
      <c r="K63" s="5">
        <v>2752076</v>
      </c>
      <c r="L63" t="s">
        <v>40</v>
      </c>
      <c r="M63" t="s">
        <v>40</v>
      </c>
      <c r="N63" t="s">
        <v>40</v>
      </c>
      <c r="O63" t="b">
        <v>1</v>
      </c>
      <c r="P63" t="s">
        <v>31</v>
      </c>
      <c r="Q63" t="s">
        <v>32</v>
      </c>
    </row>
    <row r="64" spans="1:17" x14ac:dyDescent="0.35">
      <c r="A64" t="s">
        <v>459</v>
      </c>
      <c r="B64" t="s">
        <v>460</v>
      </c>
      <c r="C64" t="s">
        <v>1274</v>
      </c>
      <c r="D64" t="s">
        <v>90</v>
      </c>
      <c r="E64" t="s">
        <v>1275</v>
      </c>
      <c r="F64" t="s">
        <v>683</v>
      </c>
      <c r="G64" t="s">
        <v>543</v>
      </c>
      <c r="H64" t="s">
        <v>452</v>
      </c>
      <c r="I64" t="s">
        <v>1276</v>
      </c>
      <c r="J64" t="s">
        <v>1192</v>
      </c>
      <c r="K64" s="5">
        <v>4526999</v>
      </c>
      <c r="L64" t="s">
        <v>40</v>
      </c>
      <c r="M64" t="s">
        <v>40</v>
      </c>
      <c r="N64" t="s">
        <v>40</v>
      </c>
      <c r="O64" t="b">
        <v>1</v>
      </c>
      <c r="P64" t="s">
        <v>31</v>
      </c>
      <c r="Q64" t="s">
        <v>32</v>
      </c>
    </row>
    <row r="65" spans="1:17" x14ac:dyDescent="0.35">
      <c r="A65" t="s">
        <v>459</v>
      </c>
      <c r="B65" t="s">
        <v>460</v>
      </c>
      <c r="C65" t="s">
        <v>1274</v>
      </c>
      <c r="D65" t="s">
        <v>90</v>
      </c>
      <c r="E65" t="s">
        <v>1275</v>
      </c>
      <c r="F65" t="s">
        <v>683</v>
      </c>
      <c r="G65" t="s">
        <v>543</v>
      </c>
      <c r="H65" t="s">
        <v>452</v>
      </c>
      <c r="I65" t="s">
        <v>1276</v>
      </c>
      <c r="J65" t="s">
        <v>1192</v>
      </c>
      <c r="K65" s="5">
        <v>473001</v>
      </c>
      <c r="L65" t="s">
        <v>40</v>
      </c>
      <c r="M65" t="s">
        <v>40</v>
      </c>
      <c r="N65" t="s">
        <v>40</v>
      </c>
      <c r="O65" t="b">
        <v>1</v>
      </c>
      <c r="P65" t="s">
        <v>31</v>
      </c>
      <c r="Q65" t="s">
        <v>32</v>
      </c>
    </row>
    <row r="66" spans="1:17" x14ac:dyDescent="0.35">
      <c r="A66" t="s">
        <v>461</v>
      </c>
      <c r="B66" t="s">
        <v>462</v>
      </c>
      <c r="C66" t="s">
        <v>1277</v>
      </c>
      <c r="D66" t="s">
        <v>90</v>
      </c>
      <c r="E66" t="s">
        <v>1278</v>
      </c>
      <c r="F66" t="s">
        <v>1279</v>
      </c>
      <c r="G66" t="s">
        <v>543</v>
      </c>
      <c r="H66" t="s">
        <v>452</v>
      </c>
      <c r="I66" t="s">
        <v>1196</v>
      </c>
      <c r="J66" t="s">
        <v>1192</v>
      </c>
      <c r="K66" s="5">
        <v>5000000</v>
      </c>
      <c r="L66" t="s">
        <v>40</v>
      </c>
      <c r="M66" t="s">
        <v>40</v>
      </c>
      <c r="N66" t="s">
        <v>40</v>
      </c>
      <c r="O66" t="b">
        <v>1</v>
      </c>
      <c r="P66" t="s">
        <v>31</v>
      </c>
      <c r="Q66" t="s">
        <v>32</v>
      </c>
    </row>
    <row r="67" spans="1:17" x14ac:dyDescent="0.35">
      <c r="A67" t="s">
        <v>41</v>
      </c>
      <c r="B67" t="s">
        <v>42</v>
      </c>
      <c r="C67" t="s">
        <v>846</v>
      </c>
      <c r="D67" t="s">
        <v>43</v>
      </c>
      <c r="E67" t="s">
        <v>847</v>
      </c>
      <c r="F67" t="s">
        <v>683</v>
      </c>
      <c r="G67" t="s">
        <v>543</v>
      </c>
      <c r="H67" t="s">
        <v>44</v>
      </c>
      <c r="I67" t="s">
        <v>1196</v>
      </c>
      <c r="J67" t="s">
        <v>1257</v>
      </c>
      <c r="K67" s="5">
        <v>480000</v>
      </c>
      <c r="L67" t="s">
        <v>40</v>
      </c>
      <c r="M67" t="s">
        <v>40</v>
      </c>
      <c r="N67" t="s">
        <v>37</v>
      </c>
      <c r="O67" t="b">
        <v>1</v>
      </c>
      <c r="P67" t="s">
        <v>31</v>
      </c>
      <c r="Q67" t="s">
        <v>32</v>
      </c>
    </row>
    <row r="68" spans="1:17" x14ac:dyDescent="0.35">
      <c r="A68" t="s">
        <v>58</v>
      </c>
      <c r="B68" t="s">
        <v>59</v>
      </c>
      <c r="C68" t="s">
        <v>850</v>
      </c>
      <c r="D68" t="s">
        <v>60</v>
      </c>
      <c r="E68" t="s">
        <v>851</v>
      </c>
      <c r="F68" t="s">
        <v>683</v>
      </c>
      <c r="G68" t="s">
        <v>543</v>
      </c>
      <c r="H68" t="s">
        <v>61</v>
      </c>
      <c r="I68" t="s">
        <v>1196</v>
      </c>
      <c r="J68" t="s">
        <v>1257</v>
      </c>
      <c r="K68" s="5">
        <v>500000</v>
      </c>
      <c r="L68" t="s">
        <v>40</v>
      </c>
      <c r="M68" t="s">
        <v>40</v>
      </c>
      <c r="N68" t="s">
        <v>40</v>
      </c>
      <c r="O68" t="b">
        <v>1</v>
      </c>
      <c r="P68" t="s">
        <v>31</v>
      </c>
      <c r="Q68" t="s">
        <v>32</v>
      </c>
    </row>
    <row r="69" spans="1:17" x14ac:dyDescent="0.35">
      <c r="A69" t="s">
        <v>56</v>
      </c>
      <c r="B69" t="s">
        <v>57</v>
      </c>
      <c r="C69" t="s">
        <v>1280</v>
      </c>
      <c r="D69" t="s">
        <v>35</v>
      </c>
      <c r="E69" t="s">
        <v>1281</v>
      </c>
      <c r="F69" t="s">
        <v>565</v>
      </c>
      <c r="G69" t="s">
        <v>543</v>
      </c>
      <c r="H69" t="s">
        <v>1282</v>
      </c>
      <c r="I69" t="s">
        <v>1283</v>
      </c>
      <c r="J69" t="s">
        <v>1191</v>
      </c>
      <c r="K69" s="5">
        <v>4800000</v>
      </c>
      <c r="L69" t="s">
        <v>40</v>
      </c>
      <c r="M69" t="s">
        <v>40</v>
      </c>
      <c r="N69" t="s">
        <v>40</v>
      </c>
      <c r="O69" t="b">
        <v>1</v>
      </c>
      <c r="P69" t="s">
        <v>31</v>
      </c>
      <c r="Q69" t="s">
        <v>32</v>
      </c>
    </row>
    <row r="70" spans="1:17" x14ac:dyDescent="0.35">
      <c r="A70" t="s">
        <v>62</v>
      </c>
      <c r="B70" t="s">
        <v>63</v>
      </c>
      <c r="C70" t="s">
        <v>1284</v>
      </c>
      <c r="D70" t="s">
        <v>64</v>
      </c>
      <c r="E70" t="s">
        <v>1285</v>
      </c>
      <c r="F70" t="s">
        <v>683</v>
      </c>
      <c r="G70" t="s">
        <v>543</v>
      </c>
      <c r="H70" t="s">
        <v>61</v>
      </c>
      <c r="I70" t="s">
        <v>1286</v>
      </c>
      <c r="J70" t="s">
        <v>1224</v>
      </c>
      <c r="K70" s="5">
        <v>250000</v>
      </c>
      <c r="L70" t="s">
        <v>40</v>
      </c>
      <c r="M70" t="s">
        <v>40</v>
      </c>
      <c r="N70" t="s">
        <v>40</v>
      </c>
      <c r="O70" t="b">
        <v>1</v>
      </c>
      <c r="P70" t="s">
        <v>31</v>
      </c>
      <c r="Q70" t="s">
        <v>32</v>
      </c>
    </row>
    <row r="71" spans="1:17" x14ac:dyDescent="0.35">
      <c r="A71" t="s">
        <v>190</v>
      </c>
      <c r="B71" t="s">
        <v>191</v>
      </c>
      <c r="C71" t="s">
        <v>854</v>
      </c>
      <c r="D71" t="s">
        <v>74</v>
      </c>
      <c r="E71" t="s">
        <v>855</v>
      </c>
      <c r="F71" t="s">
        <v>856</v>
      </c>
      <c r="G71" t="s">
        <v>857</v>
      </c>
      <c r="H71" t="s">
        <v>858</v>
      </c>
      <c r="I71" t="s">
        <v>1287</v>
      </c>
      <c r="J71" t="s">
        <v>1221</v>
      </c>
      <c r="K71" s="5">
        <v>11450000</v>
      </c>
      <c r="L71" t="s">
        <v>37</v>
      </c>
      <c r="M71" t="s">
        <v>37</v>
      </c>
      <c r="N71" t="s">
        <v>40</v>
      </c>
      <c r="O71" t="b">
        <v>1</v>
      </c>
      <c r="P71" t="s">
        <v>31</v>
      </c>
      <c r="Q71" t="s">
        <v>32</v>
      </c>
    </row>
    <row r="72" spans="1:17" x14ac:dyDescent="0.35">
      <c r="A72" t="s">
        <v>190</v>
      </c>
      <c r="B72" t="s">
        <v>191</v>
      </c>
      <c r="C72" t="s">
        <v>854</v>
      </c>
      <c r="D72" t="s">
        <v>74</v>
      </c>
      <c r="E72" t="s">
        <v>855</v>
      </c>
      <c r="F72" t="s">
        <v>856</v>
      </c>
      <c r="G72" t="s">
        <v>857</v>
      </c>
      <c r="H72" t="s">
        <v>858</v>
      </c>
      <c r="I72" t="s">
        <v>1287</v>
      </c>
      <c r="J72" t="s">
        <v>1221</v>
      </c>
      <c r="K72" s="5">
        <v>23289000</v>
      </c>
      <c r="L72" t="s">
        <v>37</v>
      </c>
      <c r="M72" t="s">
        <v>37</v>
      </c>
      <c r="N72" t="s">
        <v>40</v>
      </c>
      <c r="O72" t="b">
        <v>1</v>
      </c>
      <c r="P72" t="s">
        <v>31</v>
      </c>
      <c r="Q72" t="s">
        <v>32</v>
      </c>
    </row>
    <row r="73" spans="1:17" x14ac:dyDescent="0.35">
      <c r="A73" t="s">
        <v>445</v>
      </c>
      <c r="B73" t="s">
        <v>446</v>
      </c>
      <c r="C73" t="s">
        <v>901</v>
      </c>
      <c r="D73" t="s">
        <v>90</v>
      </c>
      <c r="E73" t="s">
        <v>902</v>
      </c>
      <c r="F73" t="s">
        <v>871</v>
      </c>
      <c r="G73" t="s">
        <v>543</v>
      </c>
      <c r="H73" t="s">
        <v>444</v>
      </c>
      <c r="I73" t="s">
        <v>1288</v>
      </c>
      <c r="J73" t="s">
        <v>1250</v>
      </c>
      <c r="K73" s="5">
        <v>3784050</v>
      </c>
      <c r="L73" t="s">
        <v>40</v>
      </c>
      <c r="M73" t="s">
        <v>37</v>
      </c>
      <c r="N73" t="s">
        <v>40</v>
      </c>
      <c r="O73" t="b">
        <v>1</v>
      </c>
      <c r="P73" t="s">
        <v>31</v>
      </c>
      <c r="Q73" t="s">
        <v>32</v>
      </c>
    </row>
    <row r="74" spans="1:17" x14ac:dyDescent="0.35">
      <c r="A74" t="s">
        <v>229</v>
      </c>
      <c r="B74" t="s">
        <v>230</v>
      </c>
      <c r="C74" t="s">
        <v>920</v>
      </c>
      <c r="D74" t="s">
        <v>35</v>
      </c>
      <c r="E74" t="s">
        <v>921</v>
      </c>
      <c r="F74" t="s">
        <v>565</v>
      </c>
      <c r="G74" t="s">
        <v>543</v>
      </c>
      <c r="H74" t="s">
        <v>922</v>
      </c>
      <c r="I74" t="s">
        <v>1289</v>
      </c>
      <c r="J74" t="s">
        <v>1191</v>
      </c>
      <c r="K74" s="5">
        <v>10842000</v>
      </c>
      <c r="L74" t="s">
        <v>40</v>
      </c>
      <c r="M74" t="s">
        <v>40</v>
      </c>
      <c r="N74" t="s">
        <v>37</v>
      </c>
      <c r="O74" t="b">
        <v>1</v>
      </c>
      <c r="P74" t="s">
        <v>31</v>
      </c>
      <c r="Q74" t="s">
        <v>32</v>
      </c>
    </row>
    <row r="75" spans="1:17" x14ac:dyDescent="0.35">
      <c r="A75" t="s">
        <v>229</v>
      </c>
      <c r="B75" t="s">
        <v>230</v>
      </c>
      <c r="C75" t="s">
        <v>920</v>
      </c>
      <c r="D75" t="s">
        <v>35</v>
      </c>
      <c r="E75" t="s">
        <v>921</v>
      </c>
      <c r="F75" t="s">
        <v>565</v>
      </c>
      <c r="G75" t="s">
        <v>543</v>
      </c>
      <c r="H75" t="s">
        <v>922</v>
      </c>
      <c r="I75" t="s">
        <v>1289</v>
      </c>
      <c r="J75" t="s">
        <v>1191</v>
      </c>
      <c r="K75" s="5">
        <v>960000</v>
      </c>
      <c r="L75" t="s">
        <v>40</v>
      </c>
      <c r="M75" t="s">
        <v>40</v>
      </c>
      <c r="N75" t="s">
        <v>37</v>
      </c>
      <c r="O75" t="b">
        <v>1</v>
      </c>
      <c r="P75" t="s">
        <v>31</v>
      </c>
      <c r="Q75" t="s">
        <v>32</v>
      </c>
    </row>
    <row r="76" spans="1:17" x14ac:dyDescent="0.35">
      <c r="A76" t="s">
        <v>229</v>
      </c>
      <c r="B76" t="s">
        <v>230</v>
      </c>
      <c r="C76" t="s">
        <v>920</v>
      </c>
      <c r="D76" t="s">
        <v>35</v>
      </c>
      <c r="E76" t="s">
        <v>921</v>
      </c>
      <c r="F76" t="s">
        <v>565</v>
      </c>
      <c r="G76" t="s">
        <v>543</v>
      </c>
      <c r="H76" t="s">
        <v>922</v>
      </c>
      <c r="I76" t="s">
        <v>1289</v>
      </c>
      <c r="J76" t="s">
        <v>1191</v>
      </c>
      <c r="K76" s="5">
        <v>4000000</v>
      </c>
      <c r="L76" t="s">
        <v>40</v>
      </c>
      <c r="M76" t="s">
        <v>40</v>
      </c>
      <c r="N76" t="s">
        <v>37</v>
      </c>
      <c r="O76" t="b">
        <v>1</v>
      </c>
      <c r="P76" t="s">
        <v>31</v>
      </c>
      <c r="Q76" t="s">
        <v>32</v>
      </c>
    </row>
    <row r="77" spans="1:17" x14ac:dyDescent="0.35">
      <c r="A77" t="s">
        <v>383</v>
      </c>
      <c r="B77" t="s">
        <v>384</v>
      </c>
      <c r="C77" t="s">
        <v>925</v>
      </c>
      <c r="D77" t="s">
        <v>98</v>
      </c>
      <c r="E77" t="s">
        <v>926</v>
      </c>
      <c r="F77" t="s">
        <v>871</v>
      </c>
      <c r="G77" t="s">
        <v>543</v>
      </c>
      <c r="H77" t="s">
        <v>380</v>
      </c>
      <c r="I77" t="s">
        <v>1196</v>
      </c>
      <c r="J77" t="s">
        <v>1192</v>
      </c>
      <c r="K77" s="5">
        <v>198300</v>
      </c>
      <c r="L77" t="s">
        <v>37</v>
      </c>
      <c r="M77" t="s">
        <v>37</v>
      </c>
      <c r="N77" t="s">
        <v>40</v>
      </c>
      <c r="O77" t="b">
        <v>1</v>
      </c>
      <c r="P77" t="s">
        <v>31</v>
      </c>
      <c r="Q77" t="s">
        <v>32</v>
      </c>
    </row>
    <row r="78" spans="1:17" x14ac:dyDescent="0.35">
      <c r="A78" t="s">
        <v>510</v>
      </c>
      <c r="B78" t="s">
        <v>511</v>
      </c>
      <c r="C78" t="s">
        <v>1290</v>
      </c>
      <c r="D78" t="s">
        <v>48</v>
      </c>
      <c r="E78" t="s">
        <v>1291</v>
      </c>
      <c r="F78" t="s">
        <v>871</v>
      </c>
      <c r="G78" t="s">
        <v>543</v>
      </c>
      <c r="H78" t="s">
        <v>512</v>
      </c>
      <c r="I78" t="s">
        <v>1292</v>
      </c>
      <c r="J78" t="s">
        <v>1229</v>
      </c>
      <c r="K78" s="5">
        <v>124000</v>
      </c>
      <c r="L78" t="s">
        <v>37</v>
      </c>
      <c r="M78" t="s">
        <v>37</v>
      </c>
      <c r="N78" t="s">
        <v>37</v>
      </c>
      <c r="O78" t="b">
        <v>1</v>
      </c>
      <c r="P78" t="s">
        <v>31</v>
      </c>
      <c r="Q78" t="s">
        <v>32</v>
      </c>
    </row>
    <row r="79" spans="1:17" x14ac:dyDescent="0.35">
      <c r="A79" t="s">
        <v>103</v>
      </c>
      <c r="B79" t="s">
        <v>104</v>
      </c>
      <c r="C79" t="s">
        <v>943</v>
      </c>
      <c r="D79" t="s">
        <v>48</v>
      </c>
      <c r="E79" t="s">
        <v>944</v>
      </c>
      <c r="F79" t="s">
        <v>871</v>
      </c>
      <c r="G79" t="s">
        <v>543</v>
      </c>
      <c r="H79" t="s">
        <v>102</v>
      </c>
      <c r="I79" t="s">
        <v>1293</v>
      </c>
      <c r="J79" t="s">
        <v>1229</v>
      </c>
      <c r="K79" s="5">
        <v>1555000</v>
      </c>
      <c r="L79" t="s">
        <v>37</v>
      </c>
      <c r="M79" t="s">
        <v>37</v>
      </c>
      <c r="N79" t="s">
        <v>37</v>
      </c>
      <c r="O79" t="b">
        <v>1</v>
      </c>
      <c r="P79" t="s">
        <v>31</v>
      </c>
      <c r="Q79" t="s">
        <v>32</v>
      </c>
    </row>
    <row r="80" spans="1:17" x14ac:dyDescent="0.35">
      <c r="A80" t="s">
        <v>103</v>
      </c>
      <c r="B80" t="s">
        <v>104</v>
      </c>
      <c r="C80" t="s">
        <v>943</v>
      </c>
      <c r="D80" t="s">
        <v>48</v>
      </c>
      <c r="E80" t="s">
        <v>944</v>
      </c>
      <c r="F80" t="s">
        <v>871</v>
      </c>
      <c r="G80" t="s">
        <v>543</v>
      </c>
      <c r="H80" t="s">
        <v>102</v>
      </c>
      <c r="I80" t="s">
        <v>1293</v>
      </c>
      <c r="J80" t="s">
        <v>1229</v>
      </c>
      <c r="K80" s="5">
        <v>1456200</v>
      </c>
      <c r="L80" t="s">
        <v>37</v>
      </c>
      <c r="M80" t="s">
        <v>37</v>
      </c>
      <c r="N80" t="s">
        <v>37</v>
      </c>
      <c r="O80" t="b">
        <v>1</v>
      </c>
      <c r="P80" t="s">
        <v>31</v>
      </c>
      <c r="Q80" t="s">
        <v>32</v>
      </c>
    </row>
    <row r="81" spans="1:17" x14ac:dyDescent="0.35">
      <c r="A81" t="s">
        <v>105</v>
      </c>
      <c r="B81" t="s">
        <v>106</v>
      </c>
      <c r="C81" t="s">
        <v>1294</v>
      </c>
      <c r="D81" t="s">
        <v>35</v>
      </c>
      <c r="E81" t="s">
        <v>921</v>
      </c>
      <c r="F81" t="s">
        <v>565</v>
      </c>
      <c r="G81" t="s">
        <v>543</v>
      </c>
      <c r="H81" t="s">
        <v>1295</v>
      </c>
      <c r="I81" t="s">
        <v>1296</v>
      </c>
      <c r="J81" t="s">
        <v>1200</v>
      </c>
      <c r="K81" s="5">
        <v>2400000</v>
      </c>
      <c r="L81" t="s">
        <v>40</v>
      </c>
      <c r="M81" t="s">
        <v>40</v>
      </c>
      <c r="N81" t="s">
        <v>37</v>
      </c>
      <c r="O81" t="b">
        <v>1</v>
      </c>
      <c r="P81" t="s">
        <v>31</v>
      </c>
      <c r="Q81" t="s">
        <v>32</v>
      </c>
    </row>
    <row r="82" spans="1:17" x14ac:dyDescent="0.35">
      <c r="A82" t="s">
        <v>389</v>
      </c>
      <c r="B82" t="s">
        <v>390</v>
      </c>
      <c r="C82" t="s">
        <v>1297</v>
      </c>
      <c r="D82" t="s">
        <v>48</v>
      </c>
      <c r="E82" t="s">
        <v>1298</v>
      </c>
      <c r="F82" t="s">
        <v>871</v>
      </c>
      <c r="G82" t="s">
        <v>543</v>
      </c>
      <c r="H82" t="s">
        <v>391</v>
      </c>
      <c r="I82" t="s">
        <v>1299</v>
      </c>
      <c r="J82" t="s">
        <v>1300</v>
      </c>
      <c r="K82" s="5">
        <v>1449753</v>
      </c>
      <c r="L82" t="s">
        <v>40</v>
      </c>
      <c r="M82" t="s">
        <v>37</v>
      </c>
      <c r="N82" t="s">
        <v>37</v>
      </c>
      <c r="O82" t="b">
        <v>1</v>
      </c>
      <c r="P82" t="s">
        <v>31</v>
      </c>
      <c r="Q82" t="s">
        <v>32</v>
      </c>
    </row>
    <row r="83" spans="1:17" x14ac:dyDescent="0.35">
      <c r="A83" t="s">
        <v>319</v>
      </c>
      <c r="B83" t="s">
        <v>320</v>
      </c>
      <c r="C83" t="s">
        <v>1301</v>
      </c>
      <c r="D83" t="s">
        <v>43</v>
      </c>
      <c r="E83" t="s">
        <v>1302</v>
      </c>
      <c r="F83" t="s">
        <v>871</v>
      </c>
      <c r="G83" t="s">
        <v>543</v>
      </c>
      <c r="H83" t="s">
        <v>321</v>
      </c>
      <c r="I83" t="s">
        <v>1303</v>
      </c>
      <c r="J83" t="s">
        <v>1224</v>
      </c>
      <c r="K83" s="5">
        <v>250000</v>
      </c>
      <c r="L83" t="s">
        <v>40</v>
      </c>
      <c r="M83" t="s">
        <v>37</v>
      </c>
      <c r="N83" t="s">
        <v>37</v>
      </c>
      <c r="O83" t="b">
        <v>1</v>
      </c>
      <c r="P83" t="s">
        <v>31</v>
      </c>
      <c r="Q83" t="s">
        <v>32</v>
      </c>
    </row>
    <row r="84" spans="1:17" x14ac:dyDescent="0.35">
      <c r="A84" t="s">
        <v>253</v>
      </c>
      <c r="B84" t="s">
        <v>254</v>
      </c>
      <c r="C84" t="s">
        <v>254</v>
      </c>
      <c r="D84" t="s">
        <v>255</v>
      </c>
      <c r="E84" t="s">
        <v>963</v>
      </c>
      <c r="F84" t="s">
        <v>871</v>
      </c>
      <c r="G84" t="s">
        <v>543</v>
      </c>
      <c r="H84" t="s">
        <v>252</v>
      </c>
      <c r="I84" t="s">
        <v>964</v>
      </c>
      <c r="J84" t="s">
        <v>1257</v>
      </c>
      <c r="K84" s="5">
        <v>96000</v>
      </c>
      <c r="L84" t="s">
        <v>37</v>
      </c>
      <c r="M84" t="s">
        <v>37</v>
      </c>
      <c r="N84" t="s">
        <v>37</v>
      </c>
      <c r="O84" t="b">
        <v>1</v>
      </c>
      <c r="P84" t="s">
        <v>31</v>
      </c>
      <c r="Q84" t="s">
        <v>32</v>
      </c>
    </row>
    <row r="85" spans="1:17" x14ac:dyDescent="0.35">
      <c r="A85" t="s">
        <v>470</v>
      </c>
      <c r="B85" t="s">
        <v>471</v>
      </c>
      <c r="C85" t="s">
        <v>1207</v>
      </c>
      <c r="D85" t="s">
        <v>116</v>
      </c>
      <c r="E85" t="s">
        <v>1208</v>
      </c>
      <c r="F85" t="s">
        <v>565</v>
      </c>
      <c r="G85" t="s">
        <v>543</v>
      </c>
      <c r="H85" t="s">
        <v>469</v>
      </c>
      <c r="I85" t="s">
        <v>1304</v>
      </c>
      <c r="J85" t="s">
        <v>1206</v>
      </c>
      <c r="K85" s="5">
        <v>1200000</v>
      </c>
      <c r="L85" t="s">
        <v>37</v>
      </c>
      <c r="M85" t="s">
        <v>37</v>
      </c>
      <c r="N85" t="s">
        <v>37</v>
      </c>
      <c r="O85" t="b">
        <v>1</v>
      </c>
      <c r="P85" t="s">
        <v>31</v>
      </c>
      <c r="Q85" t="s">
        <v>32</v>
      </c>
    </row>
    <row r="86" spans="1:17" x14ac:dyDescent="0.35">
      <c r="A86" t="s">
        <v>188</v>
      </c>
      <c r="B86" t="s">
        <v>189</v>
      </c>
      <c r="C86" t="s">
        <v>977</v>
      </c>
      <c r="D86" t="s">
        <v>35</v>
      </c>
      <c r="E86" t="s">
        <v>978</v>
      </c>
      <c r="F86" t="s">
        <v>565</v>
      </c>
      <c r="G86" t="s">
        <v>543</v>
      </c>
      <c r="H86" t="s">
        <v>187</v>
      </c>
      <c r="I86" t="s">
        <v>979</v>
      </c>
      <c r="J86" t="s">
        <v>1200</v>
      </c>
      <c r="K86" s="5">
        <v>6625976</v>
      </c>
      <c r="L86" t="s">
        <v>40</v>
      </c>
      <c r="M86" t="s">
        <v>40</v>
      </c>
      <c r="N86" t="s">
        <v>37</v>
      </c>
      <c r="O86" t="b">
        <v>1</v>
      </c>
      <c r="P86" t="s">
        <v>31</v>
      </c>
      <c r="Q86" t="s">
        <v>32</v>
      </c>
    </row>
    <row r="87" spans="1:17" x14ac:dyDescent="0.35">
      <c r="A87" t="s">
        <v>185</v>
      </c>
      <c r="B87" t="s">
        <v>186</v>
      </c>
      <c r="C87" t="s">
        <v>1305</v>
      </c>
      <c r="D87" t="s">
        <v>51</v>
      </c>
      <c r="E87" t="s">
        <v>1306</v>
      </c>
      <c r="F87" t="s">
        <v>565</v>
      </c>
      <c r="G87" t="s">
        <v>543</v>
      </c>
      <c r="H87" t="s">
        <v>187</v>
      </c>
      <c r="I87" t="s">
        <v>1307</v>
      </c>
      <c r="J87" t="s">
        <v>1200</v>
      </c>
      <c r="K87" s="5">
        <v>1740000</v>
      </c>
      <c r="L87" t="s">
        <v>40</v>
      </c>
      <c r="M87" t="s">
        <v>40</v>
      </c>
      <c r="N87" t="s">
        <v>37</v>
      </c>
      <c r="O87" t="b">
        <v>1</v>
      </c>
      <c r="P87" t="s">
        <v>31</v>
      </c>
      <c r="Q87" t="s">
        <v>32</v>
      </c>
    </row>
    <row r="88" spans="1:17" x14ac:dyDescent="0.35">
      <c r="A88" t="s">
        <v>84</v>
      </c>
      <c r="B88" t="s">
        <v>85</v>
      </c>
      <c r="C88" t="s">
        <v>986</v>
      </c>
      <c r="D88" t="s">
        <v>35</v>
      </c>
      <c r="E88" t="s">
        <v>987</v>
      </c>
      <c r="F88" t="s">
        <v>565</v>
      </c>
      <c r="G88" t="s">
        <v>857</v>
      </c>
      <c r="H88" t="s">
        <v>988</v>
      </c>
      <c r="I88" t="s">
        <v>991</v>
      </c>
      <c r="J88" t="s">
        <v>1200</v>
      </c>
      <c r="K88" s="5">
        <v>2913880</v>
      </c>
      <c r="L88" t="s">
        <v>37</v>
      </c>
      <c r="M88" t="s">
        <v>37</v>
      </c>
      <c r="N88" t="s">
        <v>37</v>
      </c>
      <c r="O88" t="b">
        <v>1</v>
      </c>
      <c r="P88" t="s">
        <v>31</v>
      </c>
      <c r="Q88" t="s">
        <v>32</v>
      </c>
    </row>
    <row r="89" spans="1:17" x14ac:dyDescent="0.35">
      <c r="A89" t="s">
        <v>88</v>
      </c>
      <c r="B89" t="s">
        <v>89</v>
      </c>
      <c r="C89" t="s">
        <v>1308</v>
      </c>
      <c r="D89" t="s">
        <v>90</v>
      </c>
      <c r="E89" t="s">
        <v>1309</v>
      </c>
      <c r="F89" t="s">
        <v>983</v>
      </c>
      <c r="G89" t="s">
        <v>543</v>
      </c>
      <c r="H89" t="s">
        <v>81</v>
      </c>
      <c r="I89" t="s">
        <v>1310</v>
      </c>
      <c r="J89" t="s">
        <v>1192</v>
      </c>
      <c r="K89" s="5">
        <v>254520</v>
      </c>
      <c r="L89" t="s">
        <v>40</v>
      </c>
      <c r="M89" t="s">
        <v>40</v>
      </c>
      <c r="N89" t="s">
        <v>40</v>
      </c>
      <c r="O89" t="b">
        <v>1</v>
      </c>
      <c r="P89" t="s">
        <v>31</v>
      </c>
      <c r="Q89" t="s">
        <v>32</v>
      </c>
    </row>
    <row r="90" spans="1:17" x14ac:dyDescent="0.35">
      <c r="A90" t="s">
        <v>86</v>
      </c>
      <c r="B90" t="s">
        <v>87</v>
      </c>
      <c r="C90" t="s">
        <v>1311</v>
      </c>
      <c r="D90" t="s">
        <v>35</v>
      </c>
      <c r="E90" t="s">
        <v>620</v>
      </c>
      <c r="F90" t="s">
        <v>565</v>
      </c>
      <c r="G90" t="s">
        <v>543</v>
      </c>
      <c r="H90" t="s">
        <v>1312</v>
      </c>
      <c r="I90" t="s">
        <v>1313</v>
      </c>
      <c r="J90" t="s">
        <v>1200</v>
      </c>
      <c r="K90" s="5">
        <v>5184000</v>
      </c>
      <c r="L90" t="s">
        <v>37</v>
      </c>
      <c r="M90" t="s">
        <v>37</v>
      </c>
      <c r="N90" t="s">
        <v>37</v>
      </c>
      <c r="O90" t="b">
        <v>1</v>
      </c>
      <c r="P90" t="s">
        <v>31</v>
      </c>
      <c r="Q90" t="s">
        <v>32</v>
      </c>
    </row>
    <row r="91" spans="1:17" x14ac:dyDescent="0.35">
      <c r="A91" t="s">
        <v>109</v>
      </c>
      <c r="B91" t="s">
        <v>110</v>
      </c>
      <c r="C91" t="s">
        <v>1314</v>
      </c>
      <c r="D91" t="s">
        <v>35</v>
      </c>
      <c r="E91" t="s">
        <v>1236</v>
      </c>
      <c r="F91" t="s">
        <v>983</v>
      </c>
      <c r="G91" t="s">
        <v>543</v>
      </c>
      <c r="H91" t="s">
        <v>111</v>
      </c>
      <c r="I91" t="s">
        <v>1315</v>
      </c>
      <c r="J91" t="s">
        <v>1192</v>
      </c>
      <c r="K91" s="5">
        <v>2236931</v>
      </c>
      <c r="L91" t="s">
        <v>40</v>
      </c>
      <c r="M91" t="s">
        <v>40</v>
      </c>
      <c r="N91" t="s">
        <v>40</v>
      </c>
      <c r="O91" t="b">
        <v>1</v>
      </c>
      <c r="P91" t="s">
        <v>31</v>
      </c>
      <c r="Q91" t="s">
        <v>32</v>
      </c>
    </row>
    <row r="92" spans="1:17" x14ac:dyDescent="0.35">
      <c r="A92" t="s">
        <v>404</v>
      </c>
      <c r="B92" t="s">
        <v>405</v>
      </c>
      <c r="C92" t="s">
        <v>1316</v>
      </c>
      <c r="D92" t="s">
        <v>43</v>
      </c>
      <c r="E92" t="s">
        <v>708</v>
      </c>
      <c r="F92" t="s">
        <v>1033</v>
      </c>
      <c r="G92" t="s">
        <v>543</v>
      </c>
      <c r="H92" t="s">
        <v>406</v>
      </c>
      <c r="I92" t="s">
        <v>1317</v>
      </c>
      <c r="J92" t="s">
        <v>1192</v>
      </c>
      <c r="K92" s="5">
        <v>56000</v>
      </c>
      <c r="L92" t="s">
        <v>40</v>
      </c>
      <c r="M92" t="s">
        <v>37</v>
      </c>
      <c r="N92" t="s">
        <v>37</v>
      </c>
      <c r="O92" t="b">
        <v>1</v>
      </c>
      <c r="P92" t="s">
        <v>31</v>
      </c>
      <c r="Q92" t="s">
        <v>32</v>
      </c>
    </row>
    <row r="93" spans="1:17" x14ac:dyDescent="0.35">
      <c r="A93" t="s">
        <v>302</v>
      </c>
      <c r="B93" t="s">
        <v>303</v>
      </c>
      <c r="C93" t="s">
        <v>1318</v>
      </c>
      <c r="D93" t="s">
        <v>35</v>
      </c>
      <c r="E93" t="s">
        <v>1319</v>
      </c>
      <c r="F93" t="s">
        <v>1033</v>
      </c>
      <c r="G93" t="s">
        <v>543</v>
      </c>
      <c r="H93" t="s">
        <v>304</v>
      </c>
      <c r="I93" t="s">
        <v>1320</v>
      </c>
      <c r="J93" t="s">
        <v>1192</v>
      </c>
      <c r="K93" s="5">
        <v>873600</v>
      </c>
      <c r="L93" t="s">
        <v>40</v>
      </c>
      <c r="M93" t="s">
        <v>40</v>
      </c>
      <c r="N93" t="s">
        <v>40</v>
      </c>
      <c r="O93" t="b">
        <v>1</v>
      </c>
      <c r="P93" t="s">
        <v>31</v>
      </c>
      <c r="Q93" t="s">
        <v>32</v>
      </c>
    </row>
    <row r="94" spans="1:17" x14ac:dyDescent="0.35">
      <c r="A94" t="s">
        <v>302</v>
      </c>
      <c r="B94" t="s">
        <v>303</v>
      </c>
      <c r="C94" t="s">
        <v>1318</v>
      </c>
      <c r="D94" t="s">
        <v>35</v>
      </c>
      <c r="E94" t="s">
        <v>1319</v>
      </c>
      <c r="F94" t="s">
        <v>1033</v>
      </c>
      <c r="G94" t="s">
        <v>543</v>
      </c>
      <c r="H94" t="s">
        <v>304</v>
      </c>
      <c r="I94" t="s">
        <v>1321</v>
      </c>
      <c r="J94" t="s">
        <v>1192</v>
      </c>
      <c r="K94" s="5">
        <v>93600</v>
      </c>
      <c r="L94" t="s">
        <v>40</v>
      </c>
      <c r="M94" t="s">
        <v>40</v>
      </c>
      <c r="N94" t="s">
        <v>40</v>
      </c>
      <c r="O94" t="b">
        <v>1</v>
      </c>
      <c r="P94" t="s">
        <v>31</v>
      </c>
      <c r="Q94" t="s">
        <v>32</v>
      </c>
    </row>
    <row r="95" spans="1:17" x14ac:dyDescent="0.35">
      <c r="A95" t="s">
        <v>395</v>
      </c>
      <c r="B95" t="s">
        <v>396</v>
      </c>
      <c r="C95" t="s">
        <v>1322</v>
      </c>
      <c r="D95" t="s">
        <v>35</v>
      </c>
      <c r="E95" t="s">
        <v>620</v>
      </c>
      <c r="F95" t="s">
        <v>565</v>
      </c>
      <c r="G95" t="s">
        <v>543</v>
      </c>
      <c r="H95" t="s">
        <v>394</v>
      </c>
      <c r="I95" t="s">
        <v>1323</v>
      </c>
      <c r="J95" t="s">
        <v>1200</v>
      </c>
      <c r="K95" s="5">
        <v>800000</v>
      </c>
      <c r="L95" t="s">
        <v>37</v>
      </c>
      <c r="M95" t="s">
        <v>37</v>
      </c>
      <c r="N95" t="s">
        <v>37</v>
      </c>
      <c r="O95" t="b">
        <v>1</v>
      </c>
      <c r="P95" t="s">
        <v>31</v>
      </c>
      <c r="Q95" t="s">
        <v>32</v>
      </c>
    </row>
    <row r="96" spans="1:17" x14ac:dyDescent="0.35">
      <c r="A96" t="s">
        <v>33</v>
      </c>
      <c r="B96" t="s">
        <v>34</v>
      </c>
      <c r="C96" t="s">
        <v>619</v>
      </c>
      <c r="D96" t="s">
        <v>35</v>
      </c>
      <c r="E96" t="s">
        <v>620</v>
      </c>
      <c r="F96" t="s">
        <v>565</v>
      </c>
      <c r="G96" t="s">
        <v>543</v>
      </c>
      <c r="H96" t="s">
        <v>1324</v>
      </c>
      <c r="I96" t="s">
        <v>1325</v>
      </c>
      <c r="J96" t="s">
        <v>1191</v>
      </c>
      <c r="K96" s="5">
        <v>8240000</v>
      </c>
      <c r="L96" t="s">
        <v>37</v>
      </c>
      <c r="M96" t="s">
        <v>37</v>
      </c>
      <c r="N96" t="s">
        <v>37</v>
      </c>
      <c r="O96" t="b">
        <v>1</v>
      </c>
      <c r="P96" t="s">
        <v>31</v>
      </c>
      <c r="Q96" t="s">
        <v>32</v>
      </c>
    </row>
    <row r="97" spans="1:17" x14ac:dyDescent="0.35">
      <c r="A97" t="s">
        <v>38</v>
      </c>
      <c r="B97" t="s">
        <v>39</v>
      </c>
      <c r="C97" t="s">
        <v>600</v>
      </c>
      <c r="D97" t="s">
        <v>35</v>
      </c>
      <c r="E97" t="s">
        <v>601</v>
      </c>
      <c r="F97" t="s">
        <v>565</v>
      </c>
      <c r="G97" t="s">
        <v>543</v>
      </c>
      <c r="H97" t="s">
        <v>1326</v>
      </c>
      <c r="I97" t="s">
        <v>1327</v>
      </c>
      <c r="J97" t="s">
        <v>1200</v>
      </c>
      <c r="K97" s="5">
        <v>4160000</v>
      </c>
      <c r="L97" t="s">
        <v>40</v>
      </c>
      <c r="M97" t="s">
        <v>40</v>
      </c>
      <c r="N97" t="s">
        <v>37</v>
      </c>
      <c r="O97" t="b">
        <v>1</v>
      </c>
      <c r="P97" t="s">
        <v>31</v>
      </c>
      <c r="Q97" t="s">
        <v>32</v>
      </c>
    </row>
    <row r="98" spans="1:17" x14ac:dyDescent="0.35">
      <c r="A98" t="s">
        <v>94</v>
      </c>
      <c r="B98" t="s">
        <v>95</v>
      </c>
      <c r="C98" t="s">
        <v>619</v>
      </c>
      <c r="D98" t="s">
        <v>35</v>
      </c>
      <c r="E98" t="s">
        <v>620</v>
      </c>
      <c r="F98" t="s">
        <v>565</v>
      </c>
      <c r="G98" t="s">
        <v>543</v>
      </c>
      <c r="H98" t="s">
        <v>1058</v>
      </c>
      <c r="I98" t="s">
        <v>1059</v>
      </c>
      <c r="J98" t="s">
        <v>1191</v>
      </c>
      <c r="K98" s="5">
        <v>105383</v>
      </c>
      <c r="L98" t="s">
        <v>37</v>
      </c>
      <c r="M98" t="s">
        <v>37</v>
      </c>
      <c r="N98" t="s">
        <v>37</v>
      </c>
      <c r="O98" t="b">
        <v>1</v>
      </c>
      <c r="P98" t="s">
        <v>31</v>
      </c>
      <c r="Q98" t="s">
        <v>32</v>
      </c>
    </row>
    <row r="99" spans="1:17" x14ac:dyDescent="0.35">
      <c r="A99" t="s">
        <v>425</v>
      </c>
      <c r="B99" t="s">
        <v>426</v>
      </c>
      <c r="C99" t="s">
        <v>1328</v>
      </c>
      <c r="D99" t="s">
        <v>373</v>
      </c>
      <c r="E99" t="s">
        <v>1329</v>
      </c>
      <c r="F99" t="s">
        <v>1074</v>
      </c>
      <c r="G99" t="s">
        <v>543</v>
      </c>
      <c r="H99" t="s">
        <v>1330</v>
      </c>
      <c r="I99" t="s">
        <v>1331</v>
      </c>
      <c r="J99" t="s">
        <v>1192</v>
      </c>
      <c r="K99" s="5">
        <v>1139994</v>
      </c>
      <c r="L99" t="s">
        <v>40</v>
      </c>
      <c r="M99" t="s">
        <v>37</v>
      </c>
      <c r="N99" t="s">
        <v>40</v>
      </c>
      <c r="O99" t="b">
        <v>1</v>
      </c>
      <c r="P99" t="s">
        <v>31</v>
      </c>
      <c r="Q99" t="s">
        <v>32</v>
      </c>
    </row>
    <row r="100" spans="1:17" x14ac:dyDescent="0.35">
      <c r="A100" t="s">
        <v>491</v>
      </c>
      <c r="B100" t="s">
        <v>492</v>
      </c>
      <c r="C100" t="s">
        <v>1332</v>
      </c>
      <c r="D100" t="s">
        <v>48</v>
      </c>
      <c r="E100" t="s">
        <v>1333</v>
      </c>
      <c r="F100" t="s">
        <v>565</v>
      </c>
      <c r="G100" t="s">
        <v>543</v>
      </c>
      <c r="H100" t="s">
        <v>493</v>
      </c>
      <c r="I100" t="s">
        <v>1334</v>
      </c>
      <c r="J100" t="s">
        <v>1191</v>
      </c>
      <c r="K100" s="5">
        <v>10800000</v>
      </c>
      <c r="L100" t="s">
        <v>37</v>
      </c>
      <c r="M100" t="s">
        <v>37</v>
      </c>
      <c r="N100" t="s">
        <v>37</v>
      </c>
      <c r="O100" t="b">
        <v>1</v>
      </c>
      <c r="P100" t="s">
        <v>31</v>
      </c>
      <c r="Q100" t="s">
        <v>32</v>
      </c>
    </row>
    <row r="101" spans="1:17" x14ac:dyDescent="0.35">
      <c r="A101" t="s">
        <v>491</v>
      </c>
      <c r="B101" t="s">
        <v>492</v>
      </c>
      <c r="C101" t="s">
        <v>1332</v>
      </c>
      <c r="D101" t="s">
        <v>48</v>
      </c>
      <c r="E101" t="s">
        <v>1333</v>
      </c>
      <c r="F101" t="s">
        <v>565</v>
      </c>
      <c r="G101" t="s">
        <v>543</v>
      </c>
      <c r="H101" t="s">
        <v>493</v>
      </c>
      <c r="I101" t="s">
        <v>1334</v>
      </c>
      <c r="J101" t="s">
        <v>1191</v>
      </c>
      <c r="K101" s="5">
        <v>702000</v>
      </c>
      <c r="L101" t="s">
        <v>37</v>
      </c>
      <c r="M101" t="s">
        <v>37</v>
      </c>
      <c r="N101" t="s">
        <v>37</v>
      </c>
      <c r="O101" t="b">
        <v>1</v>
      </c>
      <c r="P101" t="s">
        <v>31</v>
      </c>
      <c r="Q101" t="s">
        <v>32</v>
      </c>
    </row>
    <row r="102" spans="1:17" x14ac:dyDescent="0.35">
      <c r="A102" t="s">
        <v>447</v>
      </c>
      <c r="B102" t="s">
        <v>448</v>
      </c>
      <c r="C102" t="s">
        <v>1335</v>
      </c>
      <c r="D102" t="s">
        <v>43</v>
      </c>
      <c r="E102" t="s">
        <v>792</v>
      </c>
      <c r="F102" t="s">
        <v>1247</v>
      </c>
      <c r="G102" t="s">
        <v>543</v>
      </c>
      <c r="H102" t="s">
        <v>449</v>
      </c>
      <c r="I102" t="s">
        <v>1336</v>
      </c>
      <c r="J102" t="s">
        <v>1221</v>
      </c>
      <c r="K102" s="5">
        <v>124800</v>
      </c>
      <c r="L102" t="s">
        <v>40</v>
      </c>
      <c r="M102" t="s">
        <v>37</v>
      </c>
      <c r="N102" t="s">
        <v>37</v>
      </c>
      <c r="O102" t="b">
        <v>1</v>
      </c>
      <c r="P102" t="s">
        <v>31</v>
      </c>
      <c r="Q102" t="s">
        <v>32</v>
      </c>
    </row>
    <row r="103" spans="1:17" x14ac:dyDescent="0.35">
      <c r="A103" t="s">
        <v>337</v>
      </c>
      <c r="B103" t="s">
        <v>338</v>
      </c>
      <c r="C103" t="s">
        <v>1337</v>
      </c>
      <c r="D103" t="s">
        <v>43</v>
      </c>
      <c r="E103" t="s">
        <v>1338</v>
      </c>
      <c r="F103" t="s">
        <v>1074</v>
      </c>
      <c r="G103" t="s">
        <v>543</v>
      </c>
      <c r="H103" t="s">
        <v>339</v>
      </c>
      <c r="I103" t="s">
        <v>1339</v>
      </c>
      <c r="J103" t="s">
        <v>1221</v>
      </c>
      <c r="K103" s="5">
        <v>91200</v>
      </c>
      <c r="L103" t="s">
        <v>40</v>
      </c>
      <c r="M103" t="s">
        <v>40</v>
      </c>
      <c r="N103" t="s">
        <v>37</v>
      </c>
      <c r="O103" t="b">
        <v>1</v>
      </c>
      <c r="P103" t="s">
        <v>31</v>
      </c>
      <c r="Q103" t="s">
        <v>32</v>
      </c>
    </row>
    <row r="104" spans="1:17" x14ac:dyDescent="0.35">
      <c r="A104" t="s">
        <v>212</v>
      </c>
      <c r="B104" t="s">
        <v>213</v>
      </c>
      <c r="C104" t="s">
        <v>1072</v>
      </c>
      <c r="D104" t="s">
        <v>90</v>
      </c>
      <c r="E104" t="s">
        <v>1073</v>
      </c>
      <c r="F104" t="s">
        <v>1074</v>
      </c>
      <c r="G104" t="s">
        <v>543</v>
      </c>
      <c r="H104" t="s">
        <v>214</v>
      </c>
      <c r="I104" t="s">
        <v>1075</v>
      </c>
      <c r="J104" t="s">
        <v>1192</v>
      </c>
      <c r="K104" s="5">
        <v>411848</v>
      </c>
      <c r="L104" t="s">
        <v>40</v>
      </c>
      <c r="M104" t="s">
        <v>40</v>
      </c>
      <c r="N104" t="s">
        <v>40</v>
      </c>
      <c r="O104" t="b">
        <v>1</v>
      </c>
      <c r="P104" t="s">
        <v>31</v>
      </c>
      <c r="Q104" t="s">
        <v>32</v>
      </c>
    </row>
    <row r="105" spans="1:17" x14ac:dyDescent="0.35">
      <c r="A105" t="s">
        <v>416</v>
      </c>
      <c r="B105" t="s">
        <v>417</v>
      </c>
      <c r="C105" t="s">
        <v>1340</v>
      </c>
      <c r="D105" t="s">
        <v>35</v>
      </c>
      <c r="E105" t="s">
        <v>1341</v>
      </c>
      <c r="F105" t="s">
        <v>1074</v>
      </c>
      <c r="G105" t="s">
        <v>543</v>
      </c>
      <c r="H105" t="s">
        <v>415</v>
      </c>
      <c r="I105" t="s">
        <v>1342</v>
      </c>
      <c r="J105" t="s">
        <v>1192</v>
      </c>
      <c r="K105" s="5">
        <v>419071</v>
      </c>
      <c r="L105" t="s">
        <v>40</v>
      </c>
      <c r="M105" t="s">
        <v>40</v>
      </c>
      <c r="N105" t="s">
        <v>40</v>
      </c>
      <c r="O105" t="b">
        <v>1</v>
      </c>
      <c r="P105" t="s">
        <v>31</v>
      </c>
      <c r="Q105" t="s">
        <v>32</v>
      </c>
    </row>
    <row r="106" spans="1:17" x14ac:dyDescent="0.35">
      <c r="A106" t="s">
        <v>91</v>
      </c>
      <c r="B106" t="s">
        <v>92</v>
      </c>
      <c r="C106" t="s">
        <v>1343</v>
      </c>
      <c r="D106" t="s">
        <v>43</v>
      </c>
      <c r="E106" t="s">
        <v>1344</v>
      </c>
      <c r="F106" t="s">
        <v>1074</v>
      </c>
      <c r="G106" t="s">
        <v>543</v>
      </c>
      <c r="H106" t="s">
        <v>1345</v>
      </c>
      <c r="I106" t="s">
        <v>1346</v>
      </c>
      <c r="J106" t="s">
        <v>1210</v>
      </c>
      <c r="K106" s="5">
        <v>766440</v>
      </c>
      <c r="L106" t="s">
        <v>40</v>
      </c>
      <c r="M106" t="s">
        <v>40</v>
      </c>
      <c r="N106" t="s">
        <v>37</v>
      </c>
      <c r="O106" t="b">
        <v>1</v>
      </c>
      <c r="P106" t="s">
        <v>31</v>
      </c>
      <c r="Q106" t="s">
        <v>32</v>
      </c>
    </row>
    <row r="107" spans="1:17" x14ac:dyDescent="0.35">
      <c r="A107" t="s">
        <v>299</v>
      </c>
      <c r="B107" t="s">
        <v>300</v>
      </c>
      <c r="C107" t="s">
        <v>1100</v>
      </c>
      <c r="D107" t="s">
        <v>35</v>
      </c>
      <c r="E107" t="s">
        <v>1101</v>
      </c>
      <c r="F107" t="s">
        <v>1074</v>
      </c>
      <c r="G107" t="s">
        <v>543</v>
      </c>
      <c r="H107" t="s">
        <v>301</v>
      </c>
      <c r="I107" t="s">
        <v>1102</v>
      </c>
      <c r="J107" t="s">
        <v>1192</v>
      </c>
      <c r="K107" s="5">
        <v>265547</v>
      </c>
      <c r="L107" t="s">
        <v>40</v>
      </c>
      <c r="M107" t="s">
        <v>40</v>
      </c>
      <c r="N107" t="s">
        <v>40</v>
      </c>
      <c r="O107" t="b">
        <v>1</v>
      </c>
      <c r="P107" t="s">
        <v>31</v>
      </c>
      <c r="Q107" t="s">
        <v>32</v>
      </c>
    </row>
    <row r="108" spans="1:17" x14ac:dyDescent="0.35">
      <c r="A108" t="s">
        <v>181</v>
      </c>
      <c r="B108" t="s">
        <v>182</v>
      </c>
      <c r="C108" t="s">
        <v>828</v>
      </c>
      <c r="D108" t="s">
        <v>51</v>
      </c>
      <c r="E108" t="s">
        <v>829</v>
      </c>
      <c r="F108" t="s">
        <v>565</v>
      </c>
      <c r="G108" t="s">
        <v>543</v>
      </c>
      <c r="H108" t="s">
        <v>1347</v>
      </c>
      <c r="I108" t="s">
        <v>1348</v>
      </c>
      <c r="J108" t="s">
        <v>1250</v>
      </c>
      <c r="K108" s="5">
        <v>2250000</v>
      </c>
      <c r="L108" t="s">
        <v>37</v>
      </c>
      <c r="M108" t="s">
        <v>37</v>
      </c>
      <c r="N108" t="s">
        <v>37</v>
      </c>
      <c r="O108" t="b">
        <v>1</v>
      </c>
      <c r="P108" t="s">
        <v>31</v>
      </c>
      <c r="Q108" t="s">
        <v>32</v>
      </c>
    </row>
    <row r="109" spans="1:17" x14ac:dyDescent="0.35">
      <c r="A109" t="s">
        <v>488</v>
      </c>
      <c r="B109" t="s">
        <v>489</v>
      </c>
      <c r="C109" t="s">
        <v>1311</v>
      </c>
      <c r="D109" t="s">
        <v>35</v>
      </c>
      <c r="E109" t="s">
        <v>620</v>
      </c>
      <c r="F109" t="s">
        <v>565</v>
      </c>
      <c r="G109" t="s">
        <v>543</v>
      </c>
      <c r="H109" t="s">
        <v>490</v>
      </c>
      <c r="I109" t="s">
        <v>1349</v>
      </c>
      <c r="J109" t="s">
        <v>1200</v>
      </c>
      <c r="K109" s="5">
        <v>1280000</v>
      </c>
      <c r="L109" t="s">
        <v>37</v>
      </c>
      <c r="M109" t="s">
        <v>37</v>
      </c>
      <c r="N109" t="s">
        <v>37</v>
      </c>
      <c r="O109" t="b">
        <v>1</v>
      </c>
      <c r="P109" t="s">
        <v>31</v>
      </c>
      <c r="Q109" t="s">
        <v>32</v>
      </c>
    </row>
    <row r="110" spans="1:17" x14ac:dyDescent="0.35">
      <c r="A110" t="s">
        <v>210</v>
      </c>
      <c r="B110" t="s">
        <v>211</v>
      </c>
      <c r="C110" t="s">
        <v>1233</v>
      </c>
      <c r="D110" t="s">
        <v>35</v>
      </c>
      <c r="E110" t="s">
        <v>601</v>
      </c>
      <c r="F110" t="s">
        <v>565</v>
      </c>
      <c r="G110" t="s">
        <v>543</v>
      </c>
      <c r="H110" t="s">
        <v>209</v>
      </c>
      <c r="I110" t="s">
        <v>1350</v>
      </c>
      <c r="J110" t="s">
        <v>1200</v>
      </c>
      <c r="K110" s="5">
        <v>640000</v>
      </c>
      <c r="L110" t="s">
        <v>40</v>
      </c>
      <c r="M110" t="s">
        <v>40</v>
      </c>
      <c r="N110" t="s">
        <v>37</v>
      </c>
      <c r="O110" t="b">
        <v>1</v>
      </c>
      <c r="P110" t="s">
        <v>31</v>
      </c>
      <c r="Q110" t="s">
        <v>32</v>
      </c>
    </row>
    <row r="111" spans="1:17" x14ac:dyDescent="0.35">
      <c r="A111" t="s">
        <v>178</v>
      </c>
      <c r="B111" t="s">
        <v>179</v>
      </c>
      <c r="C111" t="s">
        <v>1207</v>
      </c>
      <c r="D111" t="s">
        <v>116</v>
      </c>
      <c r="E111" t="s">
        <v>1208</v>
      </c>
      <c r="F111" t="s">
        <v>565</v>
      </c>
      <c r="G111" t="s">
        <v>543</v>
      </c>
      <c r="H111" t="s">
        <v>180</v>
      </c>
      <c r="I111" t="s">
        <v>1351</v>
      </c>
      <c r="J111" t="s">
        <v>1206</v>
      </c>
      <c r="K111" s="5">
        <v>960000</v>
      </c>
      <c r="L111" t="s">
        <v>37</v>
      </c>
      <c r="M111" t="s">
        <v>37</v>
      </c>
      <c r="N111" t="s">
        <v>37</v>
      </c>
      <c r="O111" t="b">
        <v>1</v>
      </c>
      <c r="P111" t="s">
        <v>31</v>
      </c>
      <c r="Q111" t="s">
        <v>32</v>
      </c>
    </row>
    <row r="112" spans="1:17" x14ac:dyDescent="0.35">
      <c r="A112" t="s">
        <v>266</v>
      </c>
      <c r="B112" t="s">
        <v>267</v>
      </c>
      <c r="C112" t="s">
        <v>1080</v>
      </c>
      <c r="D112" t="s">
        <v>35</v>
      </c>
      <c r="E112" t="s">
        <v>601</v>
      </c>
      <c r="F112" t="s">
        <v>565</v>
      </c>
      <c r="G112" t="s">
        <v>543</v>
      </c>
      <c r="H112" t="s">
        <v>1352</v>
      </c>
      <c r="I112" t="s">
        <v>1353</v>
      </c>
      <c r="J112" t="s">
        <v>1191</v>
      </c>
      <c r="K112" s="5">
        <v>1360000</v>
      </c>
      <c r="L112" t="s">
        <v>40</v>
      </c>
      <c r="M112" t="s">
        <v>40</v>
      </c>
      <c r="N112" t="s">
        <v>37</v>
      </c>
      <c r="O112" t="b">
        <v>1</v>
      </c>
      <c r="P112" t="s">
        <v>31</v>
      </c>
      <c r="Q112" t="s">
        <v>32</v>
      </c>
    </row>
    <row r="113" spans="1:17" x14ac:dyDescent="0.35">
      <c r="A113" t="s">
        <v>1354</v>
      </c>
      <c r="B113" t="s">
        <v>1355</v>
      </c>
      <c r="C113" t="s">
        <v>1356</v>
      </c>
      <c r="D113" t="s">
        <v>43</v>
      </c>
      <c r="E113" t="s">
        <v>1357</v>
      </c>
      <c r="F113" t="s">
        <v>1358</v>
      </c>
      <c r="G113" t="s">
        <v>543</v>
      </c>
      <c r="H113" t="s">
        <v>1359</v>
      </c>
      <c r="I113" t="s">
        <v>1360</v>
      </c>
      <c r="J113" t="s">
        <v>1192</v>
      </c>
      <c r="K113" s="5">
        <v>496200</v>
      </c>
      <c r="L113" t="s">
        <v>40</v>
      </c>
      <c r="M113" t="s">
        <v>40</v>
      </c>
      <c r="N113" t="s">
        <v>37</v>
      </c>
      <c r="O113" t="b">
        <v>1</v>
      </c>
      <c r="P113" t="s">
        <v>31</v>
      </c>
      <c r="Q113" t="s">
        <v>32</v>
      </c>
    </row>
    <row r="114" spans="1:17" x14ac:dyDescent="0.35">
      <c r="A114" t="s">
        <v>275</v>
      </c>
      <c r="B114" t="s">
        <v>276</v>
      </c>
      <c r="C114" t="s">
        <v>828</v>
      </c>
      <c r="D114" t="s">
        <v>51</v>
      </c>
      <c r="E114" t="s">
        <v>829</v>
      </c>
      <c r="F114" t="s">
        <v>565</v>
      </c>
      <c r="G114" t="s">
        <v>1361</v>
      </c>
      <c r="H114" t="s">
        <v>1362</v>
      </c>
      <c r="I114" t="s">
        <v>1363</v>
      </c>
      <c r="J114" t="s">
        <v>1250</v>
      </c>
      <c r="K114" s="5">
        <v>2700000</v>
      </c>
      <c r="L114" t="s">
        <v>37</v>
      </c>
      <c r="M114" t="s">
        <v>37</v>
      </c>
      <c r="N114" t="s">
        <v>37</v>
      </c>
      <c r="O114" t="b">
        <v>1</v>
      </c>
      <c r="P114" t="s">
        <v>31</v>
      </c>
      <c r="Q114" t="s">
        <v>32</v>
      </c>
    </row>
    <row r="115" spans="1:17" x14ac:dyDescent="0.35">
      <c r="A115" t="s">
        <v>327</v>
      </c>
      <c r="B115" t="s">
        <v>328</v>
      </c>
      <c r="C115" t="s">
        <v>828</v>
      </c>
      <c r="D115" t="s">
        <v>51</v>
      </c>
      <c r="E115" t="s">
        <v>829</v>
      </c>
      <c r="F115" t="s">
        <v>565</v>
      </c>
      <c r="G115" t="s">
        <v>857</v>
      </c>
      <c r="H115" t="s">
        <v>1364</v>
      </c>
      <c r="I115" t="s">
        <v>1365</v>
      </c>
      <c r="J115" t="s">
        <v>1250</v>
      </c>
      <c r="K115" s="5">
        <v>2700000</v>
      </c>
      <c r="L115" t="s">
        <v>37</v>
      </c>
      <c r="M115" t="s">
        <v>37</v>
      </c>
      <c r="N115" t="s">
        <v>37</v>
      </c>
      <c r="O115" t="b">
        <v>1</v>
      </c>
      <c r="P115" t="s">
        <v>31</v>
      </c>
      <c r="Q115" t="s">
        <v>32</v>
      </c>
    </row>
    <row r="116" spans="1:17" x14ac:dyDescent="0.35">
      <c r="A116" t="s">
        <v>1366</v>
      </c>
      <c r="B116" t="s">
        <v>1367</v>
      </c>
      <c r="C116" t="s">
        <v>1322</v>
      </c>
      <c r="D116" t="s">
        <v>35</v>
      </c>
      <c r="E116" t="s">
        <v>620</v>
      </c>
      <c r="F116" t="s">
        <v>565</v>
      </c>
      <c r="G116" t="s">
        <v>543</v>
      </c>
      <c r="H116" t="s">
        <v>1142</v>
      </c>
      <c r="I116" t="s">
        <v>1368</v>
      </c>
      <c r="J116" t="s">
        <v>1191</v>
      </c>
      <c r="K116" s="5">
        <v>576000</v>
      </c>
      <c r="L116" t="s">
        <v>37</v>
      </c>
      <c r="M116" t="s">
        <v>37</v>
      </c>
      <c r="N116" t="s">
        <v>37</v>
      </c>
      <c r="O116" t="b">
        <v>1</v>
      </c>
      <c r="P116" t="s">
        <v>31</v>
      </c>
      <c r="Q116" t="s">
        <v>32</v>
      </c>
    </row>
    <row r="117" spans="1:17" x14ac:dyDescent="0.35">
      <c r="A117" t="s">
        <v>65</v>
      </c>
      <c r="B117" t="s">
        <v>66</v>
      </c>
      <c r="C117" t="s">
        <v>619</v>
      </c>
      <c r="D117" t="s">
        <v>35</v>
      </c>
      <c r="E117" t="s">
        <v>620</v>
      </c>
      <c r="F117" t="s">
        <v>565</v>
      </c>
      <c r="G117" t="s">
        <v>543</v>
      </c>
      <c r="H117" t="s">
        <v>67</v>
      </c>
      <c r="I117" t="s">
        <v>1369</v>
      </c>
      <c r="J117" t="s">
        <v>1191</v>
      </c>
      <c r="K117" s="5">
        <v>1280000</v>
      </c>
      <c r="L117" t="s">
        <v>37</v>
      </c>
      <c r="M117" t="s">
        <v>37</v>
      </c>
      <c r="N117" t="s">
        <v>37</v>
      </c>
      <c r="O117" t="b">
        <v>1</v>
      </c>
      <c r="P117" t="s">
        <v>31</v>
      </c>
      <c r="Q117" t="s">
        <v>32</v>
      </c>
    </row>
    <row r="118" spans="1:17" x14ac:dyDescent="0.35">
      <c r="A118" t="s">
        <v>197</v>
      </c>
      <c r="B118" t="s">
        <v>198</v>
      </c>
      <c r="C118" t="s">
        <v>1370</v>
      </c>
      <c r="D118" t="s">
        <v>51</v>
      </c>
      <c r="E118" t="s">
        <v>829</v>
      </c>
      <c r="F118" t="s">
        <v>565</v>
      </c>
      <c r="G118" t="s">
        <v>968</v>
      </c>
      <c r="H118" t="s">
        <v>1371</v>
      </c>
      <c r="I118" t="s">
        <v>1372</v>
      </c>
      <c r="J118" t="s">
        <v>1250</v>
      </c>
      <c r="K118" s="5">
        <v>3150000</v>
      </c>
      <c r="L118" t="s">
        <v>37</v>
      </c>
      <c r="M118" t="s">
        <v>37</v>
      </c>
      <c r="N118" t="s">
        <v>37</v>
      </c>
      <c r="O118" t="b">
        <v>1</v>
      </c>
      <c r="P118" t="s">
        <v>31</v>
      </c>
      <c r="Q118" t="s">
        <v>32</v>
      </c>
    </row>
    <row r="119" spans="1:17" x14ac:dyDescent="0.35">
      <c r="A119" t="s">
        <v>193</v>
      </c>
      <c r="B119" t="s">
        <v>194</v>
      </c>
      <c r="C119" t="s">
        <v>1154</v>
      </c>
      <c r="D119" t="s">
        <v>195</v>
      </c>
      <c r="E119" t="s">
        <v>1155</v>
      </c>
      <c r="F119" t="s">
        <v>565</v>
      </c>
      <c r="G119" t="s">
        <v>857</v>
      </c>
      <c r="H119" t="s">
        <v>858</v>
      </c>
      <c r="I119" t="s">
        <v>1158</v>
      </c>
      <c r="J119" t="s">
        <v>1221</v>
      </c>
      <c r="K119" s="5">
        <v>10922005</v>
      </c>
      <c r="L119" t="s">
        <v>40</v>
      </c>
      <c r="M119" t="s">
        <v>40</v>
      </c>
      <c r="N119" t="s">
        <v>37</v>
      </c>
      <c r="O119" t="b">
        <v>1</v>
      </c>
      <c r="P119" t="s">
        <v>31</v>
      </c>
      <c r="Q119" t="s">
        <v>32</v>
      </c>
    </row>
    <row r="120" spans="1:17" x14ac:dyDescent="0.35">
      <c r="A120" t="s">
        <v>193</v>
      </c>
      <c r="B120" t="s">
        <v>194</v>
      </c>
      <c r="C120" t="s">
        <v>1154</v>
      </c>
      <c r="D120" t="s">
        <v>195</v>
      </c>
      <c r="E120" t="s">
        <v>1155</v>
      </c>
      <c r="F120" t="s">
        <v>565</v>
      </c>
      <c r="G120" t="s">
        <v>857</v>
      </c>
      <c r="H120" t="s">
        <v>858</v>
      </c>
      <c r="I120" t="s">
        <v>1158</v>
      </c>
      <c r="J120" t="s">
        <v>1191</v>
      </c>
      <c r="K120" s="5">
        <v>8807138</v>
      </c>
      <c r="L120" t="s">
        <v>40</v>
      </c>
      <c r="M120" t="s">
        <v>40</v>
      </c>
      <c r="N120" t="s">
        <v>37</v>
      </c>
      <c r="O120" t="b">
        <v>1</v>
      </c>
      <c r="P120" t="s">
        <v>31</v>
      </c>
      <c r="Q120" t="s">
        <v>32</v>
      </c>
    </row>
    <row r="121" spans="1:17" x14ac:dyDescent="0.35">
      <c r="A121" t="s">
        <v>505</v>
      </c>
      <c r="B121" t="s">
        <v>506</v>
      </c>
      <c r="C121" t="s">
        <v>1373</v>
      </c>
      <c r="D121" t="s">
        <v>51</v>
      </c>
      <c r="E121" t="s">
        <v>1374</v>
      </c>
      <c r="F121" t="s">
        <v>565</v>
      </c>
      <c r="G121" t="s">
        <v>543</v>
      </c>
      <c r="H121" t="s">
        <v>1165</v>
      </c>
      <c r="I121" t="s">
        <v>1375</v>
      </c>
      <c r="J121" t="s">
        <v>1200</v>
      </c>
      <c r="K121" s="5">
        <v>10800000</v>
      </c>
      <c r="L121" t="s">
        <v>40</v>
      </c>
      <c r="M121" t="s">
        <v>37</v>
      </c>
      <c r="N121" t="s">
        <v>37</v>
      </c>
      <c r="O121" t="b">
        <v>1</v>
      </c>
      <c r="P121" t="s">
        <v>31</v>
      </c>
      <c r="Q121" t="s">
        <v>32</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50"/>
  <sheetViews>
    <sheetView workbookViewId="0">
      <pane ySplit="1" topLeftCell="A2" activePane="bottomLeft" state="frozen"/>
      <selection pane="bottomLeft"/>
    </sheetView>
  </sheetViews>
  <sheetFormatPr defaultRowHeight="14.5" x14ac:dyDescent="0.35"/>
  <cols>
    <col min="1" max="1" width="12" customWidth="1"/>
    <col min="2" max="3" width="55" customWidth="1"/>
    <col min="4" max="4" width="35" customWidth="1"/>
    <col min="5" max="5" width="55" customWidth="1"/>
    <col min="6" max="6" width="20" customWidth="1"/>
    <col min="7" max="7" width="19" customWidth="1"/>
    <col min="8" max="8" width="34" customWidth="1"/>
    <col min="9" max="9" width="22" customWidth="1"/>
    <col min="10" max="10" width="28" customWidth="1"/>
    <col min="11" max="11" width="23" customWidth="1"/>
    <col min="12" max="12" width="26" customWidth="1"/>
    <col min="13" max="13" width="24" customWidth="1"/>
    <col min="14" max="14" width="13" customWidth="1"/>
    <col min="15" max="15" width="16" customWidth="1"/>
  </cols>
  <sheetData>
    <row r="1" spans="1:15" x14ac:dyDescent="0.35">
      <c r="A1" s="4" t="s">
        <v>23</v>
      </c>
      <c r="B1" s="4" t="s">
        <v>24</v>
      </c>
      <c r="C1" s="4" t="s">
        <v>530</v>
      </c>
      <c r="D1" s="4" t="s">
        <v>25</v>
      </c>
      <c r="E1" s="4" t="s">
        <v>531</v>
      </c>
      <c r="F1" s="4" t="s">
        <v>532</v>
      </c>
      <c r="G1" s="4" t="s">
        <v>1376</v>
      </c>
      <c r="H1" s="4" t="s">
        <v>1377</v>
      </c>
      <c r="I1" s="4" t="s">
        <v>538</v>
      </c>
      <c r="J1" s="4" t="s">
        <v>28</v>
      </c>
      <c r="K1" s="4" t="s">
        <v>29</v>
      </c>
      <c r="L1" s="4" t="s">
        <v>30</v>
      </c>
      <c r="M1" s="4" t="s">
        <v>539</v>
      </c>
      <c r="N1" s="4" t="s">
        <v>21</v>
      </c>
      <c r="O1" s="4" t="s">
        <v>22</v>
      </c>
    </row>
    <row r="2" spans="1:15" x14ac:dyDescent="0.35">
      <c r="A2" t="s">
        <v>1378</v>
      </c>
      <c r="B2" t="s">
        <v>1379</v>
      </c>
      <c r="C2" t="s">
        <v>1380</v>
      </c>
      <c r="D2" t="s">
        <v>1381</v>
      </c>
      <c r="E2" t="s">
        <v>1382</v>
      </c>
      <c r="F2" t="s">
        <v>1173</v>
      </c>
      <c r="G2" t="s">
        <v>1383</v>
      </c>
      <c r="H2" t="s">
        <v>1384</v>
      </c>
      <c r="I2" s="5">
        <v>746000000</v>
      </c>
      <c r="J2" t="s">
        <v>37</v>
      </c>
      <c r="K2" t="s">
        <v>37</v>
      </c>
      <c r="L2" t="s">
        <v>37</v>
      </c>
      <c r="M2" t="b">
        <v>0</v>
      </c>
      <c r="N2" t="s">
        <v>31</v>
      </c>
      <c r="O2" t="s">
        <v>1385</v>
      </c>
    </row>
    <row r="3" spans="1:15" x14ac:dyDescent="0.35">
      <c r="A3" t="s">
        <v>1378</v>
      </c>
      <c r="B3" t="s">
        <v>1379</v>
      </c>
      <c r="C3" t="s">
        <v>1380</v>
      </c>
      <c r="D3" t="s">
        <v>1381</v>
      </c>
      <c r="E3" t="s">
        <v>1382</v>
      </c>
      <c r="F3" t="s">
        <v>1173</v>
      </c>
      <c r="G3" t="s">
        <v>1386</v>
      </c>
      <c r="H3" t="s">
        <v>1384</v>
      </c>
      <c r="I3" s="5">
        <v>350000000</v>
      </c>
      <c r="J3" t="s">
        <v>37</v>
      </c>
      <c r="K3" t="s">
        <v>37</v>
      </c>
      <c r="L3" t="s">
        <v>37</v>
      </c>
      <c r="M3" t="b">
        <v>0</v>
      </c>
      <c r="N3" t="s">
        <v>31</v>
      </c>
      <c r="O3" t="s">
        <v>1385</v>
      </c>
    </row>
    <row r="4" spans="1:15" x14ac:dyDescent="0.35">
      <c r="A4" t="s">
        <v>1387</v>
      </c>
      <c r="B4" t="s">
        <v>1388</v>
      </c>
      <c r="C4" t="s">
        <v>1389</v>
      </c>
      <c r="D4" t="s">
        <v>1390</v>
      </c>
      <c r="E4" t="s">
        <v>1391</v>
      </c>
      <c r="F4" t="s">
        <v>1392</v>
      </c>
      <c r="G4" t="s">
        <v>1393</v>
      </c>
      <c r="H4" t="s">
        <v>1394</v>
      </c>
      <c r="I4" s="5">
        <v>200000</v>
      </c>
      <c r="J4" t="s">
        <v>37</v>
      </c>
      <c r="K4" t="s">
        <v>37</v>
      </c>
      <c r="L4" t="s">
        <v>37</v>
      </c>
      <c r="M4" t="b">
        <v>0</v>
      </c>
      <c r="N4" t="s">
        <v>31</v>
      </c>
      <c r="O4" t="s">
        <v>1385</v>
      </c>
    </row>
    <row r="5" spans="1:15" x14ac:dyDescent="0.35">
      <c r="A5" t="s">
        <v>1387</v>
      </c>
      <c r="B5" t="s">
        <v>1388</v>
      </c>
      <c r="C5" t="s">
        <v>1389</v>
      </c>
      <c r="D5" t="s">
        <v>1390</v>
      </c>
      <c r="E5" t="s">
        <v>1391</v>
      </c>
      <c r="F5" t="s">
        <v>1392</v>
      </c>
      <c r="G5" t="s">
        <v>1393</v>
      </c>
      <c r="H5" t="s">
        <v>1394</v>
      </c>
      <c r="I5" s="5">
        <v>214583</v>
      </c>
      <c r="J5" t="s">
        <v>37</v>
      </c>
      <c r="K5" t="s">
        <v>37</v>
      </c>
      <c r="L5" t="s">
        <v>37</v>
      </c>
      <c r="M5" t="b">
        <v>0</v>
      </c>
      <c r="N5" t="s">
        <v>31</v>
      </c>
      <c r="O5" t="s">
        <v>1385</v>
      </c>
    </row>
    <row r="6" spans="1:15" x14ac:dyDescent="0.35">
      <c r="A6" t="s">
        <v>1387</v>
      </c>
      <c r="B6" t="s">
        <v>1388</v>
      </c>
      <c r="C6" t="s">
        <v>1389</v>
      </c>
      <c r="D6" t="s">
        <v>1390</v>
      </c>
      <c r="E6" t="s">
        <v>1391</v>
      </c>
      <c r="F6" t="s">
        <v>1392</v>
      </c>
      <c r="G6" t="s">
        <v>1393</v>
      </c>
      <c r="H6" t="s">
        <v>1394</v>
      </c>
      <c r="I6" s="5">
        <v>17301</v>
      </c>
      <c r="J6" t="s">
        <v>37</v>
      </c>
      <c r="K6" t="s">
        <v>37</v>
      </c>
      <c r="L6" t="s">
        <v>37</v>
      </c>
      <c r="M6" t="b">
        <v>0</v>
      </c>
      <c r="N6" t="s">
        <v>31</v>
      </c>
      <c r="O6" t="s">
        <v>1385</v>
      </c>
    </row>
    <row r="7" spans="1:15" x14ac:dyDescent="0.35">
      <c r="A7" t="s">
        <v>1387</v>
      </c>
      <c r="B7" t="s">
        <v>1388</v>
      </c>
      <c r="C7" t="s">
        <v>1389</v>
      </c>
      <c r="D7" t="s">
        <v>1390</v>
      </c>
      <c r="E7" t="s">
        <v>1391</v>
      </c>
      <c r="F7" t="s">
        <v>1392</v>
      </c>
      <c r="G7" t="s">
        <v>1393</v>
      </c>
      <c r="H7" t="s">
        <v>1394</v>
      </c>
      <c r="I7" s="5">
        <v>350000</v>
      </c>
      <c r="J7" t="s">
        <v>37</v>
      </c>
      <c r="K7" t="s">
        <v>37</v>
      </c>
      <c r="L7" t="s">
        <v>37</v>
      </c>
      <c r="M7" t="b">
        <v>0</v>
      </c>
      <c r="N7" t="s">
        <v>31</v>
      </c>
      <c r="O7" t="s">
        <v>1385</v>
      </c>
    </row>
    <row r="8" spans="1:15" x14ac:dyDescent="0.35">
      <c r="A8" t="s">
        <v>1387</v>
      </c>
      <c r="B8" t="s">
        <v>1388</v>
      </c>
      <c r="C8" t="s">
        <v>1389</v>
      </c>
      <c r="D8" t="s">
        <v>1390</v>
      </c>
      <c r="E8" t="s">
        <v>1391</v>
      </c>
      <c r="F8" t="s">
        <v>1392</v>
      </c>
      <c r="G8" t="s">
        <v>1393</v>
      </c>
      <c r="H8" t="s">
        <v>1394</v>
      </c>
      <c r="I8" s="5">
        <v>22510</v>
      </c>
      <c r="J8" t="s">
        <v>37</v>
      </c>
      <c r="K8" t="s">
        <v>37</v>
      </c>
      <c r="L8" t="s">
        <v>37</v>
      </c>
      <c r="M8" t="b">
        <v>0</v>
      </c>
      <c r="N8" t="s">
        <v>31</v>
      </c>
      <c r="O8" t="s">
        <v>1385</v>
      </c>
    </row>
    <row r="9" spans="1:15" x14ac:dyDescent="0.35">
      <c r="A9" t="s">
        <v>1387</v>
      </c>
      <c r="B9" t="s">
        <v>1388</v>
      </c>
      <c r="C9" t="s">
        <v>1389</v>
      </c>
      <c r="D9" t="s">
        <v>1390</v>
      </c>
      <c r="E9" t="s">
        <v>1391</v>
      </c>
      <c r="F9" t="s">
        <v>1392</v>
      </c>
      <c r="G9" t="s">
        <v>1393</v>
      </c>
      <c r="H9" t="s">
        <v>1394</v>
      </c>
      <c r="I9" s="5">
        <v>80000</v>
      </c>
      <c r="J9" t="s">
        <v>37</v>
      </c>
      <c r="K9" t="s">
        <v>37</v>
      </c>
      <c r="L9" t="s">
        <v>37</v>
      </c>
      <c r="M9" t="b">
        <v>0</v>
      </c>
      <c r="N9" t="s">
        <v>31</v>
      </c>
      <c r="O9" t="s">
        <v>1385</v>
      </c>
    </row>
    <row r="10" spans="1:15" x14ac:dyDescent="0.35">
      <c r="A10" t="s">
        <v>1387</v>
      </c>
      <c r="B10" t="s">
        <v>1388</v>
      </c>
      <c r="C10" t="s">
        <v>1389</v>
      </c>
      <c r="D10" t="s">
        <v>1390</v>
      </c>
      <c r="E10" t="s">
        <v>1391</v>
      </c>
      <c r="F10" t="s">
        <v>1392</v>
      </c>
      <c r="G10" t="s">
        <v>1393</v>
      </c>
      <c r="H10" t="s">
        <v>1394</v>
      </c>
      <c r="I10" s="5">
        <v>310000</v>
      </c>
      <c r="J10" t="s">
        <v>37</v>
      </c>
      <c r="K10" t="s">
        <v>37</v>
      </c>
      <c r="L10" t="s">
        <v>37</v>
      </c>
      <c r="M10" t="b">
        <v>0</v>
      </c>
      <c r="N10" t="s">
        <v>31</v>
      </c>
      <c r="O10" t="s">
        <v>1385</v>
      </c>
    </row>
    <row r="11" spans="1:15" x14ac:dyDescent="0.35">
      <c r="A11" t="s">
        <v>1387</v>
      </c>
      <c r="B11" t="s">
        <v>1388</v>
      </c>
      <c r="C11" t="s">
        <v>1389</v>
      </c>
      <c r="D11" t="s">
        <v>1390</v>
      </c>
      <c r="E11" t="s">
        <v>1391</v>
      </c>
      <c r="F11" t="s">
        <v>1392</v>
      </c>
      <c r="G11" t="s">
        <v>1393</v>
      </c>
      <c r="H11" t="s">
        <v>1394</v>
      </c>
      <c r="I11" s="5">
        <v>60000</v>
      </c>
      <c r="J11" t="s">
        <v>37</v>
      </c>
      <c r="K11" t="s">
        <v>37</v>
      </c>
      <c r="L11" t="s">
        <v>37</v>
      </c>
      <c r="M11" t="b">
        <v>0</v>
      </c>
      <c r="N11" t="s">
        <v>31</v>
      </c>
      <c r="O11" t="s">
        <v>1385</v>
      </c>
    </row>
    <row r="12" spans="1:15" x14ac:dyDescent="0.35">
      <c r="A12" t="s">
        <v>1395</v>
      </c>
      <c r="B12" t="s">
        <v>1396</v>
      </c>
      <c r="C12" t="s">
        <v>1397</v>
      </c>
      <c r="D12" t="s">
        <v>1171</v>
      </c>
      <c r="E12" t="s">
        <v>1398</v>
      </c>
      <c r="F12" t="s">
        <v>1173</v>
      </c>
      <c r="G12" t="s">
        <v>1399</v>
      </c>
      <c r="H12" t="s">
        <v>1400</v>
      </c>
      <c r="I12" s="5">
        <v>3000000</v>
      </c>
      <c r="J12" t="s">
        <v>37</v>
      </c>
      <c r="K12" t="s">
        <v>37</v>
      </c>
      <c r="L12" t="s">
        <v>37</v>
      </c>
      <c r="M12" t="b">
        <v>0</v>
      </c>
      <c r="N12" t="s">
        <v>31</v>
      </c>
      <c r="O12" t="s">
        <v>1385</v>
      </c>
    </row>
    <row r="13" spans="1:15" x14ac:dyDescent="0.35">
      <c r="A13" t="s">
        <v>1401</v>
      </c>
      <c r="B13" t="s">
        <v>1402</v>
      </c>
      <c r="C13" t="s">
        <v>1403</v>
      </c>
      <c r="D13" t="s">
        <v>195</v>
      </c>
      <c r="E13" t="s">
        <v>1404</v>
      </c>
      <c r="F13" t="s">
        <v>1173</v>
      </c>
      <c r="G13" t="s">
        <v>1399</v>
      </c>
      <c r="H13" t="s">
        <v>1405</v>
      </c>
      <c r="I13" s="5">
        <v>6000000</v>
      </c>
      <c r="J13" t="s">
        <v>37</v>
      </c>
      <c r="K13" t="s">
        <v>37</v>
      </c>
      <c r="L13" t="s">
        <v>37</v>
      </c>
      <c r="M13" t="b">
        <v>1</v>
      </c>
      <c r="N13" t="s">
        <v>31</v>
      </c>
      <c r="O13" t="s">
        <v>1385</v>
      </c>
    </row>
    <row r="14" spans="1:15" x14ac:dyDescent="0.35">
      <c r="A14" t="s">
        <v>1401</v>
      </c>
      <c r="B14" t="s">
        <v>1402</v>
      </c>
      <c r="C14" t="s">
        <v>1403</v>
      </c>
      <c r="D14" t="s">
        <v>195</v>
      </c>
      <c r="E14" t="s">
        <v>1404</v>
      </c>
      <c r="F14" t="s">
        <v>1173</v>
      </c>
      <c r="G14" t="s">
        <v>1399</v>
      </c>
      <c r="H14" t="s">
        <v>1405</v>
      </c>
      <c r="I14" s="5">
        <v>5000000</v>
      </c>
      <c r="J14" t="s">
        <v>37</v>
      </c>
      <c r="K14" t="s">
        <v>37</v>
      </c>
      <c r="L14" t="s">
        <v>37</v>
      </c>
      <c r="M14" t="b">
        <v>1</v>
      </c>
      <c r="N14" t="s">
        <v>31</v>
      </c>
      <c r="O14" t="s">
        <v>1385</v>
      </c>
    </row>
    <row r="15" spans="1:15" x14ac:dyDescent="0.35">
      <c r="A15" t="s">
        <v>1401</v>
      </c>
      <c r="B15" t="s">
        <v>1402</v>
      </c>
      <c r="C15" t="s">
        <v>1403</v>
      </c>
      <c r="D15" t="s">
        <v>195</v>
      </c>
      <c r="E15" t="s">
        <v>1404</v>
      </c>
      <c r="F15" t="s">
        <v>1173</v>
      </c>
      <c r="G15" t="s">
        <v>1399</v>
      </c>
      <c r="H15" t="s">
        <v>1405</v>
      </c>
      <c r="I15" s="5">
        <v>4000000</v>
      </c>
      <c r="J15" t="s">
        <v>37</v>
      </c>
      <c r="K15" t="s">
        <v>37</v>
      </c>
      <c r="L15" t="s">
        <v>37</v>
      </c>
      <c r="M15" t="b">
        <v>1</v>
      </c>
      <c r="N15" t="s">
        <v>31</v>
      </c>
      <c r="O15" t="s">
        <v>1385</v>
      </c>
    </row>
    <row r="16" spans="1:15" x14ac:dyDescent="0.35">
      <c r="A16" t="s">
        <v>1406</v>
      </c>
      <c r="B16" t="s">
        <v>1407</v>
      </c>
      <c r="C16" t="s">
        <v>1408</v>
      </c>
      <c r="D16" t="s">
        <v>1409</v>
      </c>
      <c r="E16" t="s">
        <v>1404</v>
      </c>
      <c r="F16" t="s">
        <v>1173</v>
      </c>
      <c r="G16" t="s">
        <v>1399</v>
      </c>
      <c r="H16" t="s">
        <v>1400</v>
      </c>
      <c r="I16" s="5">
        <v>151601239</v>
      </c>
      <c r="J16" t="s">
        <v>37</v>
      </c>
      <c r="K16" t="s">
        <v>37</v>
      </c>
      <c r="L16" t="s">
        <v>37</v>
      </c>
      <c r="M16" t="b">
        <v>0</v>
      </c>
      <c r="N16" t="s">
        <v>31</v>
      </c>
      <c r="O16" t="s">
        <v>1385</v>
      </c>
    </row>
    <row r="17" spans="1:15" x14ac:dyDescent="0.35">
      <c r="A17" t="s">
        <v>1406</v>
      </c>
      <c r="B17" t="s">
        <v>1407</v>
      </c>
      <c r="C17" t="s">
        <v>1408</v>
      </c>
      <c r="D17" t="s">
        <v>1409</v>
      </c>
      <c r="E17" t="s">
        <v>1404</v>
      </c>
      <c r="F17" t="s">
        <v>1173</v>
      </c>
      <c r="G17" t="s">
        <v>1399</v>
      </c>
      <c r="H17" t="s">
        <v>1405</v>
      </c>
      <c r="I17" s="5">
        <v>60532587</v>
      </c>
      <c r="J17" t="s">
        <v>37</v>
      </c>
      <c r="K17" t="s">
        <v>37</v>
      </c>
      <c r="L17" t="s">
        <v>37</v>
      </c>
      <c r="M17" t="b">
        <v>0</v>
      </c>
      <c r="N17" t="s">
        <v>31</v>
      </c>
      <c r="O17" t="s">
        <v>1385</v>
      </c>
    </row>
    <row r="18" spans="1:15" x14ac:dyDescent="0.35">
      <c r="A18" t="s">
        <v>1410</v>
      </c>
      <c r="B18" t="s">
        <v>1411</v>
      </c>
      <c r="C18" t="s">
        <v>1412</v>
      </c>
      <c r="D18" t="s">
        <v>1413</v>
      </c>
      <c r="E18" t="s">
        <v>1404</v>
      </c>
      <c r="F18" t="s">
        <v>1173</v>
      </c>
      <c r="G18" t="s">
        <v>1399</v>
      </c>
      <c r="H18" t="s">
        <v>1405</v>
      </c>
      <c r="I18" s="5">
        <v>1225000</v>
      </c>
      <c r="J18" t="s">
        <v>37</v>
      </c>
      <c r="K18" t="s">
        <v>37</v>
      </c>
      <c r="L18" t="s">
        <v>37</v>
      </c>
      <c r="M18" t="b">
        <v>0</v>
      </c>
      <c r="N18" t="s">
        <v>31</v>
      </c>
      <c r="O18" t="s">
        <v>1385</v>
      </c>
    </row>
    <row r="19" spans="1:15" x14ac:dyDescent="0.35">
      <c r="A19" t="s">
        <v>1414</v>
      </c>
      <c r="B19" t="s">
        <v>1415</v>
      </c>
      <c r="C19" t="s">
        <v>1416</v>
      </c>
      <c r="D19" t="s">
        <v>1417</v>
      </c>
      <c r="E19" t="s">
        <v>1418</v>
      </c>
      <c r="F19" t="s">
        <v>1173</v>
      </c>
      <c r="G19" t="s">
        <v>1399</v>
      </c>
      <c r="H19" t="s">
        <v>1405</v>
      </c>
      <c r="I19" s="5">
        <v>7761684</v>
      </c>
      <c r="J19" t="s">
        <v>37</v>
      </c>
      <c r="K19" t="s">
        <v>37</v>
      </c>
      <c r="L19" t="s">
        <v>37</v>
      </c>
      <c r="M19" t="b">
        <v>0</v>
      </c>
      <c r="N19" t="s">
        <v>31</v>
      </c>
      <c r="O19" t="s">
        <v>1385</v>
      </c>
    </row>
    <row r="20" spans="1:15" x14ac:dyDescent="0.35">
      <c r="A20" t="s">
        <v>1414</v>
      </c>
      <c r="B20" t="s">
        <v>1415</v>
      </c>
      <c r="C20" t="s">
        <v>1416</v>
      </c>
      <c r="D20" t="s">
        <v>1417</v>
      </c>
      <c r="E20" t="s">
        <v>1418</v>
      </c>
      <c r="F20" t="s">
        <v>1173</v>
      </c>
      <c r="G20" t="s">
        <v>1399</v>
      </c>
      <c r="H20" t="s">
        <v>1400</v>
      </c>
      <c r="I20" s="5">
        <v>7572512</v>
      </c>
      <c r="J20" t="s">
        <v>37</v>
      </c>
      <c r="K20" t="s">
        <v>37</v>
      </c>
      <c r="L20" t="s">
        <v>37</v>
      </c>
      <c r="M20" t="b">
        <v>0</v>
      </c>
      <c r="N20" t="s">
        <v>31</v>
      </c>
      <c r="O20" t="s">
        <v>1385</v>
      </c>
    </row>
    <row r="21" spans="1:15" x14ac:dyDescent="0.35">
      <c r="A21" t="s">
        <v>1414</v>
      </c>
      <c r="B21" t="s">
        <v>1415</v>
      </c>
      <c r="C21" t="s">
        <v>1416</v>
      </c>
      <c r="D21" t="s">
        <v>1417</v>
      </c>
      <c r="E21" t="s">
        <v>1418</v>
      </c>
      <c r="F21" t="s">
        <v>1173</v>
      </c>
      <c r="G21" t="s">
        <v>1399</v>
      </c>
      <c r="H21" t="s">
        <v>1405</v>
      </c>
      <c r="I21" s="5">
        <v>2287001</v>
      </c>
      <c r="J21" t="s">
        <v>37</v>
      </c>
      <c r="K21" t="s">
        <v>37</v>
      </c>
      <c r="L21" t="s">
        <v>37</v>
      </c>
      <c r="M21" t="b">
        <v>0</v>
      </c>
      <c r="N21" t="s">
        <v>31</v>
      </c>
      <c r="O21" t="s">
        <v>1385</v>
      </c>
    </row>
    <row r="22" spans="1:15" x14ac:dyDescent="0.35">
      <c r="A22" t="s">
        <v>1414</v>
      </c>
      <c r="B22" t="s">
        <v>1415</v>
      </c>
      <c r="C22" t="s">
        <v>1416</v>
      </c>
      <c r="D22" t="s">
        <v>1417</v>
      </c>
      <c r="E22" t="s">
        <v>1418</v>
      </c>
      <c r="F22" t="s">
        <v>1173</v>
      </c>
      <c r="G22" t="s">
        <v>1399</v>
      </c>
      <c r="H22" t="s">
        <v>1400</v>
      </c>
      <c r="I22" s="5">
        <v>21120340</v>
      </c>
      <c r="J22" t="s">
        <v>37</v>
      </c>
      <c r="K22" t="s">
        <v>37</v>
      </c>
      <c r="L22" t="s">
        <v>37</v>
      </c>
      <c r="M22" t="b">
        <v>0</v>
      </c>
      <c r="N22" t="s">
        <v>31</v>
      </c>
      <c r="O22" t="s">
        <v>1385</v>
      </c>
    </row>
    <row r="23" spans="1:15" x14ac:dyDescent="0.35">
      <c r="A23" t="s">
        <v>1419</v>
      </c>
      <c r="B23" t="s">
        <v>1420</v>
      </c>
      <c r="C23" t="s">
        <v>1421</v>
      </c>
      <c r="D23" t="s">
        <v>1409</v>
      </c>
      <c r="E23" t="s">
        <v>1404</v>
      </c>
      <c r="F23" t="s">
        <v>1173</v>
      </c>
      <c r="G23" t="s">
        <v>1399</v>
      </c>
      <c r="H23" t="s">
        <v>1400</v>
      </c>
      <c r="I23" s="5">
        <v>6606375</v>
      </c>
      <c r="J23" t="s">
        <v>37</v>
      </c>
      <c r="K23" t="s">
        <v>37</v>
      </c>
      <c r="L23" t="s">
        <v>37</v>
      </c>
      <c r="M23" t="b">
        <v>0</v>
      </c>
      <c r="N23" t="s">
        <v>31</v>
      </c>
      <c r="O23" t="s">
        <v>1385</v>
      </c>
    </row>
    <row r="24" spans="1:15" x14ac:dyDescent="0.35">
      <c r="A24" t="s">
        <v>1419</v>
      </c>
      <c r="B24" t="s">
        <v>1420</v>
      </c>
      <c r="C24" t="s">
        <v>1421</v>
      </c>
      <c r="D24" t="s">
        <v>1409</v>
      </c>
      <c r="E24" t="s">
        <v>1404</v>
      </c>
      <c r="F24" t="s">
        <v>1173</v>
      </c>
      <c r="G24" t="s">
        <v>1399</v>
      </c>
      <c r="H24" t="s">
        <v>1405</v>
      </c>
      <c r="I24" s="5">
        <v>1093971</v>
      </c>
      <c r="J24" t="s">
        <v>37</v>
      </c>
      <c r="K24" t="s">
        <v>37</v>
      </c>
      <c r="L24" t="s">
        <v>37</v>
      </c>
      <c r="M24" t="b">
        <v>0</v>
      </c>
      <c r="N24" t="s">
        <v>31</v>
      </c>
      <c r="O24" t="s">
        <v>1385</v>
      </c>
    </row>
    <row r="25" spans="1:15" x14ac:dyDescent="0.35">
      <c r="A25" t="s">
        <v>1419</v>
      </c>
      <c r="B25" t="s">
        <v>1420</v>
      </c>
      <c r="C25" t="s">
        <v>1421</v>
      </c>
      <c r="D25" t="s">
        <v>1409</v>
      </c>
      <c r="E25" t="s">
        <v>1404</v>
      </c>
      <c r="F25" t="s">
        <v>1173</v>
      </c>
      <c r="G25" t="s">
        <v>1399</v>
      </c>
      <c r="H25" t="s">
        <v>1400</v>
      </c>
      <c r="I25" s="5">
        <v>1063982</v>
      </c>
      <c r="J25" t="s">
        <v>37</v>
      </c>
      <c r="K25" t="s">
        <v>37</v>
      </c>
      <c r="L25" t="s">
        <v>37</v>
      </c>
      <c r="M25" t="b">
        <v>0</v>
      </c>
      <c r="N25" t="s">
        <v>31</v>
      </c>
      <c r="O25" t="s">
        <v>1385</v>
      </c>
    </row>
    <row r="26" spans="1:15" x14ac:dyDescent="0.35">
      <c r="A26" t="s">
        <v>1419</v>
      </c>
      <c r="B26" t="s">
        <v>1420</v>
      </c>
      <c r="C26" t="s">
        <v>1421</v>
      </c>
      <c r="D26" t="s">
        <v>1409</v>
      </c>
      <c r="E26" t="s">
        <v>1404</v>
      </c>
      <c r="F26" t="s">
        <v>1173</v>
      </c>
      <c r="G26" t="s">
        <v>1399</v>
      </c>
      <c r="H26" t="s">
        <v>1422</v>
      </c>
      <c r="I26" s="5">
        <v>64261</v>
      </c>
      <c r="J26" t="s">
        <v>37</v>
      </c>
      <c r="K26" t="s">
        <v>37</v>
      </c>
      <c r="L26" t="s">
        <v>37</v>
      </c>
      <c r="M26" t="b">
        <v>0</v>
      </c>
      <c r="N26" t="s">
        <v>31</v>
      </c>
      <c r="O26" t="s">
        <v>1385</v>
      </c>
    </row>
    <row r="27" spans="1:15" x14ac:dyDescent="0.35">
      <c r="A27" t="s">
        <v>1423</v>
      </c>
      <c r="B27" t="s">
        <v>1424</v>
      </c>
      <c r="C27" t="s">
        <v>1425</v>
      </c>
      <c r="D27" t="s">
        <v>331</v>
      </c>
      <c r="E27" t="s">
        <v>1426</v>
      </c>
      <c r="F27" t="s">
        <v>1173</v>
      </c>
      <c r="G27" t="s">
        <v>1399</v>
      </c>
      <c r="H27" t="s">
        <v>1405</v>
      </c>
      <c r="I27" s="5">
        <v>7500000</v>
      </c>
      <c r="J27" t="s">
        <v>40</v>
      </c>
      <c r="K27" t="s">
        <v>40</v>
      </c>
      <c r="L27" t="s">
        <v>37</v>
      </c>
      <c r="M27" t="b">
        <v>1</v>
      </c>
      <c r="N27" t="s">
        <v>31</v>
      </c>
      <c r="O27" t="s">
        <v>1385</v>
      </c>
    </row>
    <row r="28" spans="1:15" x14ac:dyDescent="0.35">
      <c r="A28" t="s">
        <v>1423</v>
      </c>
      <c r="B28" t="s">
        <v>1424</v>
      </c>
      <c r="C28" t="s">
        <v>1425</v>
      </c>
      <c r="D28" t="s">
        <v>331</v>
      </c>
      <c r="E28" t="s">
        <v>1426</v>
      </c>
      <c r="F28" t="s">
        <v>1173</v>
      </c>
      <c r="G28" t="s">
        <v>1399</v>
      </c>
      <c r="H28" t="s">
        <v>1405</v>
      </c>
      <c r="I28" s="5">
        <v>13460000</v>
      </c>
      <c r="J28" t="s">
        <v>40</v>
      </c>
      <c r="K28" t="s">
        <v>40</v>
      </c>
      <c r="L28" t="s">
        <v>37</v>
      </c>
      <c r="M28" t="b">
        <v>1</v>
      </c>
      <c r="N28" t="s">
        <v>31</v>
      </c>
      <c r="O28" t="s">
        <v>1385</v>
      </c>
    </row>
    <row r="29" spans="1:15" x14ac:dyDescent="0.35">
      <c r="A29" t="s">
        <v>1427</v>
      </c>
      <c r="B29" t="s">
        <v>1428</v>
      </c>
      <c r="C29" t="s">
        <v>1429</v>
      </c>
      <c r="D29" t="s">
        <v>1390</v>
      </c>
      <c r="E29" t="s">
        <v>1430</v>
      </c>
      <c r="F29" t="s">
        <v>1173</v>
      </c>
      <c r="G29" t="s">
        <v>1399</v>
      </c>
      <c r="H29" t="s">
        <v>1400</v>
      </c>
      <c r="I29" s="5">
        <v>5250000</v>
      </c>
      <c r="J29" t="s">
        <v>37</v>
      </c>
      <c r="K29" t="s">
        <v>37</v>
      </c>
      <c r="L29" t="s">
        <v>40</v>
      </c>
      <c r="M29" t="b">
        <v>1</v>
      </c>
      <c r="N29" t="s">
        <v>31</v>
      </c>
      <c r="O29" t="s">
        <v>1385</v>
      </c>
    </row>
    <row r="30" spans="1:15" x14ac:dyDescent="0.35">
      <c r="A30" t="s">
        <v>1431</v>
      </c>
      <c r="B30" t="s">
        <v>1432</v>
      </c>
      <c r="C30" t="s">
        <v>1433</v>
      </c>
      <c r="D30" t="s">
        <v>1417</v>
      </c>
      <c r="E30" t="s">
        <v>1434</v>
      </c>
      <c r="F30" t="s">
        <v>1173</v>
      </c>
      <c r="G30" t="s">
        <v>1399</v>
      </c>
      <c r="H30" t="s">
        <v>1405</v>
      </c>
      <c r="I30" s="5">
        <v>36689623</v>
      </c>
      <c r="J30" t="s">
        <v>37</v>
      </c>
      <c r="K30" t="s">
        <v>37</v>
      </c>
      <c r="L30" t="s">
        <v>37</v>
      </c>
      <c r="M30" t="b">
        <v>0</v>
      </c>
      <c r="N30" t="s">
        <v>31</v>
      </c>
      <c r="O30" t="s">
        <v>1385</v>
      </c>
    </row>
    <row r="31" spans="1:15" x14ac:dyDescent="0.35">
      <c r="A31" t="s">
        <v>1435</v>
      </c>
      <c r="B31" t="s">
        <v>1436</v>
      </c>
      <c r="C31" t="s">
        <v>1437</v>
      </c>
      <c r="D31" t="s">
        <v>1417</v>
      </c>
      <c r="E31" t="s">
        <v>1434</v>
      </c>
      <c r="F31" t="s">
        <v>1173</v>
      </c>
      <c r="G31" t="s">
        <v>1399</v>
      </c>
      <c r="H31" t="s">
        <v>1400</v>
      </c>
      <c r="I31" s="5">
        <v>6531997</v>
      </c>
      <c r="J31" t="s">
        <v>37</v>
      </c>
      <c r="K31" t="s">
        <v>37</v>
      </c>
      <c r="L31" t="s">
        <v>37</v>
      </c>
      <c r="M31" t="b">
        <v>0</v>
      </c>
      <c r="N31" t="s">
        <v>31</v>
      </c>
      <c r="O31" t="s">
        <v>1385</v>
      </c>
    </row>
    <row r="32" spans="1:15" x14ac:dyDescent="0.35">
      <c r="A32" t="s">
        <v>1435</v>
      </c>
      <c r="B32" t="s">
        <v>1436</v>
      </c>
      <c r="C32" t="s">
        <v>1437</v>
      </c>
      <c r="D32" t="s">
        <v>1417</v>
      </c>
      <c r="E32" t="s">
        <v>1434</v>
      </c>
      <c r="F32" t="s">
        <v>1173</v>
      </c>
      <c r="G32" t="s">
        <v>1399</v>
      </c>
      <c r="H32" t="s">
        <v>1405</v>
      </c>
      <c r="I32" s="5">
        <v>11760081</v>
      </c>
      <c r="J32" t="s">
        <v>37</v>
      </c>
      <c r="K32" t="s">
        <v>37</v>
      </c>
      <c r="L32" t="s">
        <v>37</v>
      </c>
      <c r="M32" t="b">
        <v>0</v>
      </c>
      <c r="N32" t="s">
        <v>31</v>
      </c>
      <c r="O32" t="s">
        <v>1385</v>
      </c>
    </row>
    <row r="33" spans="1:15" x14ac:dyDescent="0.35">
      <c r="A33" t="s">
        <v>1438</v>
      </c>
      <c r="B33" t="s">
        <v>1439</v>
      </c>
      <c r="C33" t="s">
        <v>1440</v>
      </c>
      <c r="D33" t="s">
        <v>1390</v>
      </c>
      <c r="E33" t="s">
        <v>1441</v>
      </c>
      <c r="F33" t="s">
        <v>1173</v>
      </c>
      <c r="G33" t="s">
        <v>1399</v>
      </c>
      <c r="H33" t="s">
        <v>1400</v>
      </c>
      <c r="I33" s="5">
        <v>10050000</v>
      </c>
      <c r="J33" t="s">
        <v>37</v>
      </c>
      <c r="K33" t="s">
        <v>37</v>
      </c>
      <c r="L33" t="s">
        <v>37</v>
      </c>
      <c r="M33" t="b">
        <v>0</v>
      </c>
      <c r="N33" t="s">
        <v>31</v>
      </c>
      <c r="O33" t="s">
        <v>1385</v>
      </c>
    </row>
    <row r="34" spans="1:15" x14ac:dyDescent="0.35">
      <c r="A34" t="s">
        <v>1442</v>
      </c>
      <c r="B34" t="s">
        <v>1443</v>
      </c>
      <c r="C34" t="s">
        <v>1444</v>
      </c>
      <c r="D34" t="s">
        <v>1390</v>
      </c>
      <c r="E34" t="s">
        <v>1445</v>
      </c>
      <c r="F34" t="s">
        <v>1173</v>
      </c>
      <c r="G34" t="s">
        <v>1399</v>
      </c>
      <c r="H34" t="s">
        <v>1405</v>
      </c>
      <c r="I34" s="5">
        <v>2000000</v>
      </c>
      <c r="J34" t="s">
        <v>37</v>
      </c>
      <c r="K34" t="s">
        <v>40</v>
      </c>
      <c r="L34" t="s">
        <v>37</v>
      </c>
      <c r="M34" t="b">
        <v>1</v>
      </c>
      <c r="N34" t="s">
        <v>31</v>
      </c>
      <c r="O34" t="s">
        <v>1385</v>
      </c>
    </row>
    <row r="35" spans="1:15" x14ac:dyDescent="0.35">
      <c r="A35" t="s">
        <v>1446</v>
      </c>
      <c r="B35" t="s">
        <v>1447</v>
      </c>
      <c r="C35" t="s">
        <v>1448</v>
      </c>
      <c r="D35" t="s">
        <v>1417</v>
      </c>
      <c r="E35" t="s">
        <v>1418</v>
      </c>
      <c r="F35" t="s">
        <v>1173</v>
      </c>
      <c r="G35" t="s">
        <v>1399</v>
      </c>
      <c r="H35" t="s">
        <v>1405</v>
      </c>
      <c r="I35" s="5">
        <v>1598832</v>
      </c>
      <c r="J35" t="s">
        <v>37</v>
      </c>
      <c r="K35" t="s">
        <v>37</v>
      </c>
      <c r="L35" t="s">
        <v>37</v>
      </c>
      <c r="M35" t="b">
        <v>0</v>
      </c>
      <c r="N35" t="s">
        <v>31</v>
      </c>
      <c r="O35" t="s">
        <v>1385</v>
      </c>
    </row>
    <row r="36" spans="1:15" x14ac:dyDescent="0.35">
      <c r="A36" t="s">
        <v>1449</v>
      </c>
      <c r="B36" t="s">
        <v>1450</v>
      </c>
      <c r="C36" t="s">
        <v>1451</v>
      </c>
      <c r="D36" t="s">
        <v>331</v>
      </c>
      <c r="E36" t="s">
        <v>1452</v>
      </c>
      <c r="F36" t="s">
        <v>1173</v>
      </c>
      <c r="G36" t="s">
        <v>1399</v>
      </c>
      <c r="H36" t="s">
        <v>1405</v>
      </c>
      <c r="I36" s="5">
        <v>3344922</v>
      </c>
      <c r="J36" t="s">
        <v>40</v>
      </c>
      <c r="K36" t="s">
        <v>40</v>
      </c>
      <c r="L36" t="s">
        <v>37</v>
      </c>
      <c r="M36" t="b">
        <v>1</v>
      </c>
      <c r="N36" t="s">
        <v>31</v>
      </c>
      <c r="O36" t="s">
        <v>1385</v>
      </c>
    </row>
    <row r="37" spans="1:15" x14ac:dyDescent="0.35">
      <c r="A37" t="s">
        <v>1453</v>
      </c>
      <c r="B37" t="s">
        <v>1454</v>
      </c>
      <c r="C37" t="s">
        <v>1455</v>
      </c>
      <c r="D37" t="s">
        <v>1417</v>
      </c>
      <c r="E37" t="s">
        <v>1418</v>
      </c>
      <c r="F37" t="s">
        <v>1173</v>
      </c>
      <c r="G37" t="s">
        <v>1399</v>
      </c>
      <c r="H37" t="s">
        <v>1422</v>
      </c>
      <c r="I37" s="5">
        <v>7265</v>
      </c>
      <c r="J37" t="s">
        <v>37</v>
      </c>
      <c r="K37" t="s">
        <v>37</v>
      </c>
      <c r="L37" t="s">
        <v>37</v>
      </c>
      <c r="M37" t="b">
        <v>0</v>
      </c>
      <c r="N37" t="s">
        <v>31</v>
      </c>
      <c r="O37" t="s">
        <v>1385</v>
      </c>
    </row>
    <row r="38" spans="1:15" x14ac:dyDescent="0.35">
      <c r="A38" t="s">
        <v>1453</v>
      </c>
      <c r="B38" t="s">
        <v>1454</v>
      </c>
      <c r="C38" t="s">
        <v>1455</v>
      </c>
      <c r="D38" t="s">
        <v>1417</v>
      </c>
      <c r="E38" t="s">
        <v>1418</v>
      </c>
      <c r="F38" t="s">
        <v>1173</v>
      </c>
      <c r="G38" t="s">
        <v>1399</v>
      </c>
      <c r="H38" t="s">
        <v>1422</v>
      </c>
      <c r="I38" s="5">
        <v>12787969</v>
      </c>
      <c r="J38" t="s">
        <v>37</v>
      </c>
      <c r="K38" t="s">
        <v>37</v>
      </c>
      <c r="L38" t="s">
        <v>37</v>
      </c>
      <c r="M38" t="b">
        <v>0</v>
      </c>
      <c r="N38" t="s">
        <v>31</v>
      </c>
      <c r="O38" t="s">
        <v>1385</v>
      </c>
    </row>
    <row r="39" spans="1:15" x14ac:dyDescent="0.35">
      <c r="A39" t="s">
        <v>1453</v>
      </c>
      <c r="B39" t="s">
        <v>1454</v>
      </c>
      <c r="C39" t="s">
        <v>1455</v>
      </c>
      <c r="D39" t="s">
        <v>1417</v>
      </c>
      <c r="E39" t="s">
        <v>1418</v>
      </c>
      <c r="F39" t="s">
        <v>1173</v>
      </c>
      <c r="G39" t="s">
        <v>1399</v>
      </c>
      <c r="H39" t="s">
        <v>1405</v>
      </c>
      <c r="I39" s="5">
        <v>38088390</v>
      </c>
      <c r="J39" t="s">
        <v>37</v>
      </c>
      <c r="K39" t="s">
        <v>37</v>
      </c>
      <c r="L39" t="s">
        <v>37</v>
      </c>
      <c r="M39" t="b">
        <v>0</v>
      </c>
      <c r="N39" t="s">
        <v>31</v>
      </c>
      <c r="O39" t="s">
        <v>1385</v>
      </c>
    </row>
    <row r="40" spans="1:15" x14ac:dyDescent="0.35">
      <c r="A40" t="s">
        <v>1456</v>
      </c>
      <c r="B40" t="s">
        <v>1457</v>
      </c>
      <c r="C40" t="s">
        <v>1458</v>
      </c>
      <c r="D40" t="s">
        <v>1459</v>
      </c>
      <c r="E40" t="s">
        <v>1460</v>
      </c>
      <c r="F40" t="s">
        <v>1173</v>
      </c>
      <c r="G40" t="s">
        <v>1399</v>
      </c>
      <c r="H40" t="s">
        <v>1405</v>
      </c>
      <c r="I40" s="5">
        <v>4200000</v>
      </c>
      <c r="J40" t="s">
        <v>37</v>
      </c>
      <c r="K40" t="s">
        <v>37</v>
      </c>
      <c r="L40" t="s">
        <v>37</v>
      </c>
      <c r="M40" t="b">
        <v>0</v>
      </c>
      <c r="N40" t="s">
        <v>31</v>
      </c>
      <c r="O40" t="s">
        <v>1385</v>
      </c>
    </row>
    <row r="41" spans="1:15" x14ac:dyDescent="0.35">
      <c r="A41" t="s">
        <v>1461</v>
      </c>
      <c r="B41" t="s">
        <v>1462</v>
      </c>
      <c r="C41" t="s">
        <v>1463</v>
      </c>
      <c r="D41" t="s">
        <v>331</v>
      </c>
      <c r="E41" t="s">
        <v>1464</v>
      </c>
      <c r="F41" t="s">
        <v>1173</v>
      </c>
      <c r="G41" t="s">
        <v>1399</v>
      </c>
      <c r="H41" t="s">
        <v>1405</v>
      </c>
      <c r="I41" s="5">
        <v>6187981</v>
      </c>
      <c r="J41" t="s">
        <v>37</v>
      </c>
      <c r="K41" t="s">
        <v>40</v>
      </c>
      <c r="L41" t="s">
        <v>37</v>
      </c>
      <c r="M41" t="b">
        <v>1</v>
      </c>
      <c r="N41" t="s">
        <v>31</v>
      </c>
      <c r="O41" t="s">
        <v>1385</v>
      </c>
    </row>
    <row r="42" spans="1:15" x14ac:dyDescent="0.35">
      <c r="A42" t="s">
        <v>1461</v>
      </c>
      <c r="B42" t="s">
        <v>1462</v>
      </c>
      <c r="C42" t="s">
        <v>1463</v>
      </c>
      <c r="D42" t="s">
        <v>331</v>
      </c>
      <c r="E42" t="s">
        <v>1464</v>
      </c>
      <c r="F42" t="s">
        <v>1173</v>
      </c>
      <c r="G42" t="s">
        <v>1399</v>
      </c>
      <c r="H42" t="s">
        <v>1405</v>
      </c>
      <c r="I42" s="5">
        <v>1064121</v>
      </c>
      <c r="J42" t="s">
        <v>37</v>
      </c>
      <c r="K42" t="s">
        <v>40</v>
      </c>
      <c r="L42" t="s">
        <v>37</v>
      </c>
      <c r="M42" t="b">
        <v>1</v>
      </c>
      <c r="N42" t="s">
        <v>31</v>
      </c>
      <c r="O42" t="s">
        <v>1385</v>
      </c>
    </row>
    <row r="43" spans="1:15" x14ac:dyDescent="0.35">
      <c r="A43" t="s">
        <v>1461</v>
      </c>
      <c r="B43" t="s">
        <v>1462</v>
      </c>
      <c r="C43" t="s">
        <v>1463</v>
      </c>
      <c r="D43" t="s">
        <v>331</v>
      </c>
      <c r="E43" t="s">
        <v>1464</v>
      </c>
      <c r="F43" t="s">
        <v>1173</v>
      </c>
      <c r="G43" t="s">
        <v>1399</v>
      </c>
      <c r="H43" t="s">
        <v>1405</v>
      </c>
      <c r="I43" s="5">
        <v>5000000</v>
      </c>
      <c r="J43" t="s">
        <v>37</v>
      </c>
      <c r="K43" t="s">
        <v>40</v>
      </c>
      <c r="L43" t="s">
        <v>37</v>
      </c>
      <c r="M43" t="b">
        <v>1</v>
      </c>
      <c r="N43" t="s">
        <v>31</v>
      </c>
      <c r="O43" t="s">
        <v>1385</v>
      </c>
    </row>
    <row r="44" spans="1:15" x14ac:dyDescent="0.35">
      <c r="A44" t="s">
        <v>1465</v>
      </c>
      <c r="B44" t="s">
        <v>1466</v>
      </c>
      <c r="C44" t="s">
        <v>1467</v>
      </c>
      <c r="D44" t="s">
        <v>1390</v>
      </c>
      <c r="E44" t="s">
        <v>1404</v>
      </c>
      <c r="F44" t="s">
        <v>1468</v>
      </c>
      <c r="G44" t="s">
        <v>1469</v>
      </c>
      <c r="H44" t="s">
        <v>1394</v>
      </c>
      <c r="I44" s="5">
        <v>1199000</v>
      </c>
      <c r="J44" t="s">
        <v>37</v>
      </c>
      <c r="K44" t="s">
        <v>37</v>
      </c>
      <c r="L44" t="s">
        <v>37</v>
      </c>
      <c r="M44" t="b">
        <v>0</v>
      </c>
      <c r="N44" t="s">
        <v>31</v>
      </c>
      <c r="O44" t="s">
        <v>1385</v>
      </c>
    </row>
    <row r="45" spans="1:15" x14ac:dyDescent="0.35">
      <c r="A45" t="s">
        <v>1470</v>
      </c>
      <c r="B45" t="s">
        <v>1471</v>
      </c>
      <c r="C45" t="s">
        <v>1472</v>
      </c>
      <c r="D45" t="s">
        <v>1417</v>
      </c>
      <c r="E45" t="s">
        <v>1473</v>
      </c>
      <c r="F45" t="s">
        <v>1468</v>
      </c>
      <c r="G45" t="s">
        <v>1474</v>
      </c>
      <c r="H45" t="s">
        <v>1475</v>
      </c>
      <c r="I45" s="5">
        <v>30911000</v>
      </c>
      <c r="J45" t="s">
        <v>37</v>
      </c>
      <c r="K45" t="s">
        <v>37</v>
      </c>
      <c r="L45" t="s">
        <v>37</v>
      </c>
      <c r="M45" t="b">
        <v>0</v>
      </c>
      <c r="N45" t="s">
        <v>31</v>
      </c>
      <c r="O45" t="s">
        <v>1385</v>
      </c>
    </row>
    <row r="46" spans="1:15" x14ac:dyDescent="0.35">
      <c r="A46" t="s">
        <v>1470</v>
      </c>
      <c r="B46" t="s">
        <v>1471</v>
      </c>
      <c r="C46" t="s">
        <v>1472</v>
      </c>
      <c r="D46" t="s">
        <v>1417</v>
      </c>
      <c r="E46" t="s">
        <v>1473</v>
      </c>
      <c r="F46" t="s">
        <v>1468</v>
      </c>
      <c r="G46" t="s">
        <v>1476</v>
      </c>
      <c r="H46" t="s">
        <v>1405</v>
      </c>
      <c r="I46" s="5">
        <v>12450000</v>
      </c>
      <c r="J46" t="s">
        <v>37</v>
      </c>
      <c r="K46" t="s">
        <v>37</v>
      </c>
      <c r="L46" t="s">
        <v>37</v>
      </c>
      <c r="M46" t="b">
        <v>0</v>
      </c>
      <c r="N46" t="s">
        <v>31</v>
      </c>
      <c r="O46" t="s">
        <v>1385</v>
      </c>
    </row>
    <row r="47" spans="1:15" x14ac:dyDescent="0.35">
      <c r="A47" t="s">
        <v>1470</v>
      </c>
      <c r="B47" t="s">
        <v>1471</v>
      </c>
      <c r="C47" t="s">
        <v>1472</v>
      </c>
      <c r="D47" t="s">
        <v>1417</v>
      </c>
      <c r="E47" t="s">
        <v>1473</v>
      </c>
      <c r="F47" t="s">
        <v>1468</v>
      </c>
      <c r="G47" t="s">
        <v>1476</v>
      </c>
      <c r="H47" t="s">
        <v>1405</v>
      </c>
      <c r="I47" s="5">
        <v>9600000</v>
      </c>
      <c r="J47" t="s">
        <v>37</v>
      </c>
      <c r="K47" t="s">
        <v>37</v>
      </c>
      <c r="L47" t="s">
        <v>37</v>
      </c>
      <c r="M47" t="b">
        <v>0</v>
      </c>
      <c r="N47" t="s">
        <v>31</v>
      </c>
      <c r="O47" t="s">
        <v>1385</v>
      </c>
    </row>
    <row r="48" spans="1:15" x14ac:dyDescent="0.35">
      <c r="A48" t="s">
        <v>1477</v>
      </c>
      <c r="B48" t="s">
        <v>1478</v>
      </c>
      <c r="C48" t="s">
        <v>1479</v>
      </c>
      <c r="D48" t="s">
        <v>1417</v>
      </c>
      <c r="E48" t="s">
        <v>1418</v>
      </c>
      <c r="F48" t="s">
        <v>1468</v>
      </c>
      <c r="G48" t="s">
        <v>1476</v>
      </c>
      <c r="H48" t="s">
        <v>1405</v>
      </c>
      <c r="I48" s="5">
        <v>247670</v>
      </c>
      <c r="J48" t="s">
        <v>37</v>
      </c>
      <c r="K48" t="s">
        <v>37</v>
      </c>
      <c r="L48" t="s">
        <v>37</v>
      </c>
      <c r="M48" t="b">
        <v>0</v>
      </c>
      <c r="N48" t="s">
        <v>31</v>
      </c>
      <c r="O48" t="s">
        <v>1385</v>
      </c>
    </row>
    <row r="49" spans="1:15" x14ac:dyDescent="0.35">
      <c r="A49" t="s">
        <v>1477</v>
      </c>
      <c r="B49" t="s">
        <v>1478</v>
      </c>
      <c r="C49" t="s">
        <v>1479</v>
      </c>
      <c r="D49" t="s">
        <v>1417</v>
      </c>
      <c r="E49" t="s">
        <v>1418</v>
      </c>
      <c r="F49" t="s">
        <v>1468</v>
      </c>
      <c r="G49" t="s">
        <v>1476</v>
      </c>
      <c r="H49" t="s">
        <v>1422</v>
      </c>
      <c r="I49" s="5">
        <v>2036861</v>
      </c>
      <c r="J49" t="s">
        <v>37</v>
      </c>
      <c r="K49" t="s">
        <v>37</v>
      </c>
      <c r="L49" t="s">
        <v>37</v>
      </c>
      <c r="M49" t="b">
        <v>0</v>
      </c>
      <c r="N49" t="s">
        <v>31</v>
      </c>
      <c r="O49" t="s">
        <v>1385</v>
      </c>
    </row>
    <row r="50" spans="1:15" x14ac:dyDescent="0.35">
      <c r="A50" t="s">
        <v>1480</v>
      </c>
      <c r="B50" t="s">
        <v>1481</v>
      </c>
      <c r="C50" t="s">
        <v>1482</v>
      </c>
      <c r="D50" t="s">
        <v>1459</v>
      </c>
      <c r="E50" t="s">
        <v>1483</v>
      </c>
      <c r="F50" t="s">
        <v>1468</v>
      </c>
      <c r="G50" t="s">
        <v>1476</v>
      </c>
      <c r="H50" t="s">
        <v>1405</v>
      </c>
      <c r="I50" s="5">
        <v>31500000</v>
      </c>
      <c r="J50" t="s">
        <v>37</v>
      </c>
      <c r="K50" t="s">
        <v>37</v>
      </c>
      <c r="L50" t="s">
        <v>37</v>
      </c>
      <c r="M50" t="b">
        <v>0</v>
      </c>
      <c r="N50" t="s">
        <v>31</v>
      </c>
      <c r="O50" t="s">
        <v>1385</v>
      </c>
    </row>
    <row r="51" spans="1:15" x14ac:dyDescent="0.35">
      <c r="A51" t="s">
        <v>1484</v>
      </c>
      <c r="B51" t="s">
        <v>1485</v>
      </c>
      <c r="C51" t="s">
        <v>1486</v>
      </c>
      <c r="D51" t="s">
        <v>1417</v>
      </c>
      <c r="E51" t="s">
        <v>1487</v>
      </c>
      <c r="F51" t="s">
        <v>1488</v>
      </c>
      <c r="G51" t="s">
        <v>1489</v>
      </c>
      <c r="H51" t="s">
        <v>1400</v>
      </c>
      <c r="I51" s="5">
        <v>6035000</v>
      </c>
      <c r="J51" t="s">
        <v>37</v>
      </c>
      <c r="K51" t="s">
        <v>37</v>
      </c>
      <c r="L51" t="s">
        <v>37</v>
      </c>
      <c r="M51" t="b">
        <v>0</v>
      </c>
      <c r="N51" t="s">
        <v>31</v>
      </c>
      <c r="O51" t="s">
        <v>1385</v>
      </c>
    </row>
    <row r="52" spans="1:15" x14ac:dyDescent="0.35">
      <c r="A52" t="s">
        <v>1490</v>
      </c>
      <c r="B52" t="s">
        <v>1491</v>
      </c>
      <c r="C52" t="s">
        <v>1492</v>
      </c>
      <c r="D52" t="s">
        <v>195</v>
      </c>
      <c r="E52" t="s">
        <v>1493</v>
      </c>
      <c r="F52" t="s">
        <v>1488</v>
      </c>
      <c r="G52" t="s">
        <v>1494</v>
      </c>
      <c r="H52" t="s">
        <v>1400</v>
      </c>
      <c r="I52" s="5">
        <v>710000</v>
      </c>
      <c r="J52" t="s">
        <v>37</v>
      </c>
      <c r="K52" t="s">
        <v>37</v>
      </c>
      <c r="L52" t="s">
        <v>37</v>
      </c>
      <c r="M52" t="b">
        <v>1</v>
      </c>
      <c r="N52" t="s">
        <v>31</v>
      </c>
      <c r="O52" t="s">
        <v>1385</v>
      </c>
    </row>
    <row r="53" spans="1:15" x14ac:dyDescent="0.35">
      <c r="A53" t="s">
        <v>1490</v>
      </c>
      <c r="B53" t="s">
        <v>1491</v>
      </c>
      <c r="C53" t="s">
        <v>1492</v>
      </c>
      <c r="D53" t="s">
        <v>195</v>
      </c>
      <c r="E53" t="s">
        <v>1493</v>
      </c>
      <c r="F53" t="s">
        <v>1488</v>
      </c>
      <c r="G53" t="s">
        <v>1489</v>
      </c>
      <c r="H53" t="s">
        <v>1400</v>
      </c>
      <c r="I53" s="5">
        <v>500000</v>
      </c>
      <c r="J53" t="s">
        <v>37</v>
      </c>
      <c r="K53" t="s">
        <v>37</v>
      </c>
      <c r="L53" t="s">
        <v>37</v>
      </c>
      <c r="M53" t="b">
        <v>1</v>
      </c>
      <c r="N53" t="s">
        <v>31</v>
      </c>
      <c r="O53" t="s">
        <v>1385</v>
      </c>
    </row>
    <row r="54" spans="1:15" x14ac:dyDescent="0.35">
      <c r="A54" t="s">
        <v>1495</v>
      </c>
      <c r="B54" t="s">
        <v>1496</v>
      </c>
      <c r="C54" t="s">
        <v>1497</v>
      </c>
      <c r="D54" t="s">
        <v>1171</v>
      </c>
      <c r="E54" t="s">
        <v>1398</v>
      </c>
      <c r="F54" t="s">
        <v>1488</v>
      </c>
      <c r="G54" t="s">
        <v>1489</v>
      </c>
      <c r="H54" t="s">
        <v>1400</v>
      </c>
      <c r="I54" s="5">
        <v>1611000</v>
      </c>
      <c r="J54" t="s">
        <v>37</v>
      </c>
      <c r="K54" t="s">
        <v>37</v>
      </c>
      <c r="L54" t="s">
        <v>37</v>
      </c>
      <c r="M54" t="b">
        <v>0</v>
      </c>
      <c r="N54" t="s">
        <v>31</v>
      </c>
      <c r="O54" t="s">
        <v>1385</v>
      </c>
    </row>
    <row r="55" spans="1:15" x14ac:dyDescent="0.35">
      <c r="A55" t="s">
        <v>1498</v>
      </c>
      <c r="B55" t="s">
        <v>1499</v>
      </c>
      <c r="C55" t="s">
        <v>1500</v>
      </c>
      <c r="D55" t="s">
        <v>1417</v>
      </c>
      <c r="E55" t="s">
        <v>1501</v>
      </c>
      <c r="F55" t="s">
        <v>1488</v>
      </c>
      <c r="G55" t="s">
        <v>1489</v>
      </c>
      <c r="H55" t="s">
        <v>1400</v>
      </c>
      <c r="I55" s="5">
        <v>250000</v>
      </c>
      <c r="J55" t="s">
        <v>37</v>
      </c>
      <c r="K55" t="s">
        <v>37</v>
      </c>
      <c r="L55" t="s">
        <v>37</v>
      </c>
      <c r="M55" t="b">
        <v>0</v>
      </c>
      <c r="N55" t="s">
        <v>31</v>
      </c>
      <c r="O55" t="s">
        <v>1385</v>
      </c>
    </row>
    <row r="56" spans="1:15" x14ac:dyDescent="0.35">
      <c r="A56" t="s">
        <v>1502</v>
      </c>
      <c r="B56" t="s">
        <v>1503</v>
      </c>
      <c r="C56" t="s">
        <v>1504</v>
      </c>
      <c r="D56" t="s">
        <v>1417</v>
      </c>
      <c r="E56" t="s">
        <v>1505</v>
      </c>
      <c r="F56" t="s">
        <v>1488</v>
      </c>
      <c r="G56" t="s">
        <v>1489</v>
      </c>
      <c r="H56" t="s">
        <v>1400</v>
      </c>
      <c r="I56" s="5">
        <v>2000000</v>
      </c>
      <c r="J56" t="s">
        <v>37</v>
      </c>
      <c r="K56" t="s">
        <v>37</v>
      </c>
      <c r="L56" t="s">
        <v>37</v>
      </c>
      <c r="M56" t="b">
        <v>0</v>
      </c>
      <c r="N56" t="s">
        <v>31</v>
      </c>
      <c r="O56" t="s">
        <v>1385</v>
      </c>
    </row>
    <row r="57" spans="1:15" x14ac:dyDescent="0.35">
      <c r="A57" t="s">
        <v>1506</v>
      </c>
      <c r="B57" t="s">
        <v>1507</v>
      </c>
      <c r="C57" t="s">
        <v>1508</v>
      </c>
      <c r="D57" t="s">
        <v>1417</v>
      </c>
      <c r="E57" t="s">
        <v>1434</v>
      </c>
      <c r="F57" t="s">
        <v>1488</v>
      </c>
      <c r="G57" t="s">
        <v>1509</v>
      </c>
      <c r="H57" t="s">
        <v>1405</v>
      </c>
      <c r="I57" s="5">
        <v>855244</v>
      </c>
      <c r="J57" t="s">
        <v>37</v>
      </c>
      <c r="K57" t="s">
        <v>37</v>
      </c>
      <c r="L57" t="s">
        <v>37</v>
      </c>
      <c r="M57" t="b">
        <v>0</v>
      </c>
      <c r="N57" t="s">
        <v>31</v>
      </c>
      <c r="O57" t="s">
        <v>1385</v>
      </c>
    </row>
    <row r="58" spans="1:15" x14ac:dyDescent="0.35">
      <c r="A58" t="s">
        <v>1506</v>
      </c>
      <c r="B58" t="s">
        <v>1507</v>
      </c>
      <c r="C58" t="s">
        <v>1508</v>
      </c>
      <c r="D58" t="s">
        <v>1417</v>
      </c>
      <c r="E58" t="s">
        <v>1434</v>
      </c>
      <c r="F58" t="s">
        <v>1488</v>
      </c>
      <c r="G58" t="s">
        <v>1489</v>
      </c>
      <c r="H58" t="s">
        <v>1400</v>
      </c>
      <c r="I58" s="5">
        <v>21144756</v>
      </c>
      <c r="J58" t="s">
        <v>37</v>
      </c>
      <c r="K58" t="s">
        <v>37</v>
      </c>
      <c r="L58" t="s">
        <v>37</v>
      </c>
      <c r="M58" t="b">
        <v>0</v>
      </c>
      <c r="N58" t="s">
        <v>31</v>
      </c>
      <c r="O58" t="s">
        <v>1385</v>
      </c>
    </row>
    <row r="59" spans="1:15" x14ac:dyDescent="0.35">
      <c r="A59" t="s">
        <v>1510</v>
      </c>
      <c r="B59" t="s">
        <v>1511</v>
      </c>
      <c r="C59" t="s">
        <v>1512</v>
      </c>
      <c r="D59" t="s">
        <v>1417</v>
      </c>
      <c r="E59" t="s">
        <v>1434</v>
      </c>
      <c r="F59" t="s">
        <v>1488</v>
      </c>
      <c r="G59" t="s">
        <v>1509</v>
      </c>
      <c r="H59" t="s">
        <v>1405</v>
      </c>
      <c r="I59" s="5">
        <v>200000</v>
      </c>
      <c r="J59" t="s">
        <v>37</v>
      </c>
      <c r="K59" t="s">
        <v>37</v>
      </c>
      <c r="L59" t="s">
        <v>37</v>
      </c>
      <c r="M59" t="b">
        <v>0</v>
      </c>
      <c r="N59" t="s">
        <v>31</v>
      </c>
      <c r="O59" t="s">
        <v>1385</v>
      </c>
    </row>
    <row r="60" spans="1:15" x14ac:dyDescent="0.35">
      <c r="A60" t="s">
        <v>1510</v>
      </c>
      <c r="B60" t="s">
        <v>1511</v>
      </c>
      <c r="C60" t="s">
        <v>1512</v>
      </c>
      <c r="D60" t="s">
        <v>1417</v>
      </c>
      <c r="E60" t="s">
        <v>1434</v>
      </c>
      <c r="F60" t="s">
        <v>1488</v>
      </c>
      <c r="G60" t="s">
        <v>1489</v>
      </c>
      <c r="H60" t="s">
        <v>1400</v>
      </c>
      <c r="I60" s="5">
        <v>6000000</v>
      </c>
      <c r="J60" t="s">
        <v>37</v>
      </c>
      <c r="K60" t="s">
        <v>37</v>
      </c>
      <c r="L60" t="s">
        <v>37</v>
      </c>
      <c r="M60" t="b">
        <v>0</v>
      </c>
      <c r="N60" t="s">
        <v>31</v>
      </c>
      <c r="O60" t="s">
        <v>1385</v>
      </c>
    </row>
    <row r="61" spans="1:15" x14ac:dyDescent="0.35">
      <c r="A61" t="s">
        <v>1513</v>
      </c>
      <c r="B61" t="s">
        <v>1514</v>
      </c>
      <c r="C61" t="s">
        <v>1515</v>
      </c>
      <c r="D61" t="s">
        <v>1171</v>
      </c>
      <c r="E61" t="s">
        <v>1398</v>
      </c>
      <c r="F61" t="s">
        <v>1488</v>
      </c>
      <c r="G61" t="s">
        <v>1489</v>
      </c>
      <c r="H61" t="s">
        <v>1400</v>
      </c>
      <c r="I61" s="5">
        <v>3975000</v>
      </c>
      <c r="J61" t="s">
        <v>37</v>
      </c>
      <c r="K61" t="s">
        <v>37</v>
      </c>
      <c r="L61" t="s">
        <v>37</v>
      </c>
      <c r="M61" t="b">
        <v>0</v>
      </c>
      <c r="N61" t="s">
        <v>31</v>
      </c>
      <c r="O61" t="s">
        <v>1385</v>
      </c>
    </row>
    <row r="62" spans="1:15" x14ac:dyDescent="0.35">
      <c r="A62" t="s">
        <v>1513</v>
      </c>
      <c r="B62" t="s">
        <v>1514</v>
      </c>
      <c r="C62" t="s">
        <v>1515</v>
      </c>
      <c r="D62" t="s">
        <v>1171</v>
      </c>
      <c r="E62" t="s">
        <v>1398</v>
      </c>
      <c r="F62" t="s">
        <v>1488</v>
      </c>
      <c r="G62" t="s">
        <v>1509</v>
      </c>
      <c r="H62" t="s">
        <v>1405</v>
      </c>
      <c r="I62" s="5">
        <v>200000</v>
      </c>
      <c r="J62" t="s">
        <v>37</v>
      </c>
      <c r="K62" t="s">
        <v>37</v>
      </c>
      <c r="L62" t="s">
        <v>37</v>
      </c>
      <c r="M62" t="b">
        <v>0</v>
      </c>
      <c r="N62" t="s">
        <v>31</v>
      </c>
      <c r="O62" t="s">
        <v>1385</v>
      </c>
    </row>
    <row r="63" spans="1:15" x14ac:dyDescent="0.35">
      <c r="A63" t="s">
        <v>1516</v>
      </c>
      <c r="B63" t="s">
        <v>1517</v>
      </c>
      <c r="C63" t="s">
        <v>1518</v>
      </c>
      <c r="D63" t="s">
        <v>1171</v>
      </c>
      <c r="E63" t="s">
        <v>1398</v>
      </c>
      <c r="F63" t="s">
        <v>1488</v>
      </c>
      <c r="G63" t="s">
        <v>1489</v>
      </c>
      <c r="H63" t="s">
        <v>1400</v>
      </c>
      <c r="I63" s="5">
        <v>1584000</v>
      </c>
      <c r="J63" t="s">
        <v>37</v>
      </c>
      <c r="K63" t="s">
        <v>37</v>
      </c>
      <c r="L63" t="s">
        <v>37</v>
      </c>
      <c r="M63" t="b">
        <v>0</v>
      </c>
      <c r="N63" t="s">
        <v>31</v>
      </c>
      <c r="O63" t="s">
        <v>1385</v>
      </c>
    </row>
    <row r="64" spans="1:15" x14ac:dyDescent="0.35">
      <c r="A64" t="s">
        <v>1516</v>
      </c>
      <c r="B64" t="s">
        <v>1517</v>
      </c>
      <c r="C64" t="s">
        <v>1518</v>
      </c>
      <c r="D64" t="s">
        <v>1171</v>
      </c>
      <c r="E64" t="s">
        <v>1398</v>
      </c>
      <c r="F64" t="s">
        <v>1488</v>
      </c>
      <c r="G64" t="s">
        <v>1489</v>
      </c>
      <c r="H64" t="s">
        <v>1400</v>
      </c>
      <c r="I64" s="5">
        <v>1890000</v>
      </c>
      <c r="J64" t="s">
        <v>37</v>
      </c>
      <c r="K64" t="s">
        <v>37</v>
      </c>
      <c r="L64" t="s">
        <v>37</v>
      </c>
      <c r="M64" t="b">
        <v>0</v>
      </c>
      <c r="N64" t="s">
        <v>31</v>
      </c>
      <c r="O64" t="s">
        <v>1385</v>
      </c>
    </row>
    <row r="65" spans="1:15" x14ac:dyDescent="0.35">
      <c r="A65" t="s">
        <v>1516</v>
      </c>
      <c r="B65" t="s">
        <v>1517</v>
      </c>
      <c r="C65" t="s">
        <v>1518</v>
      </c>
      <c r="D65" t="s">
        <v>1171</v>
      </c>
      <c r="E65" t="s">
        <v>1398</v>
      </c>
      <c r="F65" t="s">
        <v>1488</v>
      </c>
      <c r="G65" t="s">
        <v>1489</v>
      </c>
      <c r="H65" t="s">
        <v>1400</v>
      </c>
      <c r="I65" s="5">
        <v>1800000</v>
      </c>
      <c r="J65" t="s">
        <v>37</v>
      </c>
      <c r="K65" t="s">
        <v>37</v>
      </c>
      <c r="L65" t="s">
        <v>37</v>
      </c>
      <c r="M65" t="b">
        <v>0</v>
      </c>
      <c r="N65" t="s">
        <v>31</v>
      </c>
      <c r="O65" t="s">
        <v>1385</v>
      </c>
    </row>
    <row r="66" spans="1:15" x14ac:dyDescent="0.35">
      <c r="A66" t="s">
        <v>1516</v>
      </c>
      <c r="B66" t="s">
        <v>1517</v>
      </c>
      <c r="C66" t="s">
        <v>1518</v>
      </c>
      <c r="D66" t="s">
        <v>1171</v>
      </c>
      <c r="E66" t="s">
        <v>1398</v>
      </c>
      <c r="F66" t="s">
        <v>1488</v>
      </c>
      <c r="G66" t="s">
        <v>1509</v>
      </c>
      <c r="H66" t="s">
        <v>1405</v>
      </c>
      <c r="I66" s="5">
        <v>585000</v>
      </c>
      <c r="J66" t="s">
        <v>37</v>
      </c>
      <c r="K66" t="s">
        <v>37</v>
      </c>
      <c r="L66" t="s">
        <v>37</v>
      </c>
      <c r="M66" t="b">
        <v>0</v>
      </c>
      <c r="N66" t="s">
        <v>31</v>
      </c>
      <c r="O66" t="s">
        <v>1385</v>
      </c>
    </row>
    <row r="67" spans="1:15" x14ac:dyDescent="0.35">
      <c r="A67" t="s">
        <v>1519</v>
      </c>
      <c r="B67" t="s">
        <v>1520</v>
      </c>
      <c r="C67" t="s">
        <v>1521</v>
      </c>
      <c r="D67" t="s">
        <v>1171</v>
      </c>
      <c r="E67" t="s">
        <v>1398</v>
      </c>
      <c r="F67" t="s">
        <v>1488</v>
      </c>
      <c r="G67" t="s">
        <v>1489</v>
      </c>
      <c r="H67" t="s">
        <v>1400</v>
      </c>
      <c r="I67" s="5">
        <v>2100000</v>
      </c>
      <c r="J67" t="s">
        <v>37</v>
      </c>
      <c r="K67" t="s">
        <v>37</v>
      </c>
      <c r="L67" t="s">
        <v>37</v>
      </c>
      <c r="M67" t="b">
        <v>0</v>
      </c>
      <c r="N67" t="s">
        <v>31</v>
      </c>
      <c r="O67" t="s">
        <v>1385</v>
      </c>
    </row>
    <row r="68" spans="1:15" x14ac:dyDescent="0.35">
      <c r="A68" t="s">
        <v>1519</v>
      </c>
      <c r="B68" t="s">
        <v>1520</v>
      </c>
      <c r="C68" t="s">
        <v>1521</v>
      </c>
      <c r="D68" t="s">
        <v>1171</v>
      </c>
      <c r="E68" t="s">
        <v>1398</v>
      </c>
      <c r="F68" t="s">
        <v>1488</v>
      </c>
      <c r="G68" t="s">
        <v>1489</v>
      </c>
      <c r="H68" t="s">
        <v>1400</v>
      </c>
      <c r="I68" s="5">
        <v>2560000</v>
      </c>
      <c r="J68" t="s">
        <v>37</v>
      </c>
      <c r="K68" t="s">
        <v>37</v>
      </c>
      <c r="L68" t="s">
        <v>37</v>
      </c>
      <c r="M68" t="b">
        <v>0</v>
      </c>
      <c r="N68" t="s">
        <v>31</v>
      </c>
      <c r="O68" t="s">
        <v>1385</v>
      </c>
    </row>
    <row r="69" spans="1:15" x14ac:dyDescent="0.35">
      <c r="A69" t="s">
        <v>1519</v>
      </c>
      <c r="B69" t="s">
        <v>1520</v>
      </c>
      <c r="C69" t="s">
        <v>1521</v>
      </c>
      <c r="D69" t="s">
        <v>1171</v>
      </c>
      <c r="E69" t="s">
        <v>1398</v>
      </c>
      <c r="F69" t="s">
        <v>1488</v>
      </c>
      <c r="G69" t="s">
        <v>1489</v>
      </c>
      <c r="H69" t="s">
        <v>1400</v>
      </c>
      <c r="I69" s="5">
        <v>2670000</v>
      </c>
      <c r="J69" t="s">
        <v>37</v>
      </c>
      <c r="K69" t="s">
        <v>37</v>
      </c>
      <c r="L69" t="s">
        <v>37</v>
      </c>
      <c r="M69" t="b">
        <v>0</v>
      </c>
      <c r="N69" t="s">
        <v>31</v>
      </c>
      <c r="O69" t="s">
        <v>1385</v>
      </c>
    </row>
    <row r="70" spans="1:15" x14ac:dyDescent="0.35">
      <c r="A70" t="s">
        <v>1519</v>
      </c>
      <c r="B70" t="s">
        <v>1520</v>
      </c>
      <c r="C70" t="s">
        <v>1521</v>
      </c>
      <c r="D70" t="s">
        <v>1171</v>
      </c>
      <c r="E70" t="s">
        <v>1398</v>
      </c>
      <c r="F70" t="s">
        <v>1488</v>
      </c>
      <c r="G70" t="s">
        <v>1489</v>
      </c>
      <c r="H70" t="s">
        <v>1400</v>
      </c>
      <c r="I70" s="5">
        <v>1900000</v>
      </c>
      <c r="J70" t="s">
        <v>37</v>
      </c>
      <c r="K70" t="s">
        <v>37</v>
      </c>
      <c r="L70" t="s">
        <v>37</v>
      </c>
      <c r="M70" t="b">
        <v>0</v>
      </c>
      <c r="N70" t="s">
        <v>31</v>
      </c>
      <c r="O70" t="s">
        <v>1385</v>
      </c>
    </row>
    <row r="71" spans="1:15" x14ac:dyDescent="0.35">
      <c r="A71" t="s">
        <v>1519</v>
      </c>
      <c r="B71" t="s">
        <v>1520</v>
      </c>
      <c r="C71" t="s">
        <v>1521</v>
      </c>
      <c r="D71" t="s">
        <v>1171</v>
      </c>
      <c r="E71" t="s">
        <v>1398</v>
      </c>
      <c r="F71" t="s">
        <v>1488</v>
      </c>
      <c r="G71" t="s">
        <v>1489</v>
      </c>
      <c r="H71" t="s">
        <v>1400</v>
      </c>
      <c r="I71" s="5">
        <v>1150000</v>
      </c>
      <c r="J71" t="s">
        <v>37</v>
      </c>
      <c r="K71" t="s">
        <v>37</v>
      </c>
      <c r="L71" t="s">
        <v>37</v>
      </c>
      <c r="M71" t="b">
        <v>0</v>
      </c>
      <c r="N71" t="s">
        <v>31</v>
      </c>
      <c r="O71" t="s">
        <v>1385</v>
      </c>
    </row>
    <row r="72" spans="1:15" x14ac:dyDescent="0.35">
      <c r="A72" t="s">
        <v>1519</v>
      </c>
      <c r="B72" t="s">
        <v>1520</v>
      </c>
      <c r="C72" t="s">
        <v>1521</v>
      </c>
      <c r="D72" t="s">
        <v>1171</v>
      </c>
      <c r="E72" t="s">
        <v>1398</v>
      </c>
      <c r="F72" t="s">
        <v>1488</v>
      </c>
      <c r="G72" t="s">
        <v>1509</v>
      </c>
      <c r="H72" t="s">
        <v>1405</v>
      </c>
      <c r="I72" s="5">
        <v>200000</v>
      </c>
      <c r="J72" t="s">
        <v>37</v>
      </c>
      <c r="K72" t="s">
        <v>37</v>
      </c>
      <c r="L72" t="s">
        <v>37</v>
      </c>
      <c r="M72" t="b">
        <v>0</v>
      </c>
      <c r="N72" t="s">
        <v>31</v>
      </c>
      <c r="O72" t="s">
        <v>1385</v>
      </c>
    </row>
    <row r="73" spans="1:15" x14ac:dyDescent="0.35">
      <c r="A73" t="s">
        <v>1522</v>
      </c>
      <c r="B73" t="s">
        <v>1523</v>
      </c>
      <c r="C73" t="s">
        <v>1524</v>
      </c>
      <c r="D73" t="s">
        <v>1171</v>
      </c>
      <c r="E73" t="s">
        <v>788</v>
      </c>
      <c r="F73" t="s">
        <v>1488</v>
      </c>
      <c r="G73" t="s">
        <v>1489</v>
      </c>
      <c r="H73" t="s">
        <v>1400</v>
      </c>
      <c r="I73" s="5">
        <v>3500000</v>
      </c>
      <c r="J73" t="s">
        <v>37</v>
      </c>
      <c r="K73" t="s">
        <v>37</v>
      </c>
      <c r="L73" t="s">
        <v>37</v>
      </c>
      <c r="M73" t="b">
        <v>0</v>
      </c>
      <c r="N73" t="s">
        <v>31</v>
      </c>
      <c r="O73" t="s">
        <v>1385</v>
      </c>
    </row>
    <row r="74" spans="1:15" x14ac:dyDescent="0.35">
      <c r="A74" t="s">
        <v>1522</v>
      </c>
      <c r="B74" t="s">
        <v>1523</v>
      </c>
      <c r="C74" t="s">
        <v>1524</v>
      </c>
      <c r="D74" t="s">
        <v>1171</v>
      </c>
      <c r="E74" t="s">
        <v>788</v>
      </c>
      <c r="F74" t="s">
        <v>1488</v>
      </c>
      <c r="G74" t="s">
        <v>1489</v>
      </c>
      <c r="H74" t="s">
        <v>1400</v>
      </c>
      <c r="I74" s="5">
        <v>2200000</v>
      </c>
      <c r="J74" t="s">
        <v>37</v>
      </c>
      <c r="K74" t="s">
        <v>37</v>
      </c>
      <c r="L74" t="s">
        <v>37</v>
      </c>
      <c r="M74" t="b">
        <v>0</v>
      </c>
      <c r="N74" t="s">
        <v>31</v>
      </c>
      <c r="O74" t="s">
        <v>1385</v>
      </c>
    </row>
    <row r="75" spans="1:15" x14ac:dyDescent="0.35">
      <c r="A75" t="s">
        <v>1522</v>
      </c>
      <c r="B75" t="s">
        <v>1523</v>
      </c>
      <c r="C75" t="s">
        <v>1524</v>
      </c>
      <c r="D75" t="s">
        <v>1171</v>
      </c>
      <c r="E75" t="s">
        <v>788</v>
      </c>
      <c r="F75" t="s">
        <v>1488</v>
      </c>
      <c r="G75" t="s">
        <v>1489</v>
      </c>
      <c r="H75" t="s">
        <v>1400</v>
      </c>
      <c r="I75" s="5">
        <v>1350000</v>
      </c>
      <c r="J75" t="s">
        <v>37</v>
      </c>
      <c r="K75" t="s">
        <v>37</v>
      </c>
      <c r="L75" t="s">
        <v>37</v>
      </c>
      <c r="M75" t="b">
        <v>0</v>
      </c>
      <c r="N75" t="s">
        <v>31</v>
      </c>
      <c r="O75" t="s">
        <v>1385</v>
      </c>
    </row>
    <row r="76" spans="1:15" x14ac:dyDescent="0.35">
      <c r="A76" t="s">
        <v>1522</v>
      </c>
      <c r="B76" t="s">
        <v>1523</v>
      </c>
      <c r="C76" t="s">
        <v>1524</v>
      </c>
      <c r="D76" t="s">
        <v>1171</v>
      </c>
      <c r="E76" t="s">
        <v>788</v>
      </c>
      <c r="F76" t="s">
        <v>1488</v>
      </c>
      <c r="G76" t="s">
        <v>1489</v>
      </c>
      <c r="H76" t="s">
        <v>1400</v>
      </c>
      <c r="I76" s="5">
        <v>1980000</v>
      </c>
      <c r="J76" t="s">
        <v>37</v>
      </c>
      <c r="K76" t="s">
        <v>37</v>
      </c>
      <c r="L76" t="s">
        <v>37</v>
      </c>
      <c r="M76" t="b">
        <v>0</v>
      </c>
      <c r="N76" t="s">
        <v>31</v>
      </c>
      <c r="O76" t="s">
        <v>1385</v>
      </c>
    </row>
    <row r="77" spans="1:15" x14ac:dyDescent="0.35">
      <c r="A77" t="s">
        <v>1522</v>
      </c>
      <c r="B77" t="s">
        <v>1523</v>
      </c>
      <c r="C77" t="s">
        <v>1524</v>
      </c>
      <c r="D77" t="s">
        <v>1171</v>
      </c>
      <c r="E77" t="s">
        <v>788</v>
      </c>
      <c r="F77" t="s">
        <v>1488</v>
      </c>
      <c r="G77" t="s">
        <v>1489</v>
      </c>
      <c r="H77" t="s">
        <v>1400</v>
      </c>
      <c r="I77" s="5">
        <v>1350000</v>
      </c>
      <c r="J77" t="s">
        <v>37</v>
      </c>
      <c r="K77" t="s">
        <v>37</v>
      </c>
      <c r="L77" t="s">
        <v>37</v>
      </c>
      <c r="M77" t="b">
        <v>0</v>
      </c>
      <c r="N77" t="s">
        <v>31</v>
      </c>
      <c r="O77" t="s">
        <v>1385</v>
      </c>
    </row>
    <row r="78" spans="1:15" x14ac:dyDescent="0.35">
      <c r="A78" t="s">
        <v>1525</v>
      </c>
      <c r="B78" t="s">
        <v>1526</v>
      </c>
      <c r="C78" t="s">
        <v>1527</v>
      </c>
      <c r="D78" t="s">
        <v>1171</v>
      </c>
      <c r="E78" t="s">
        <v>1493</v>
      </c>
      <c r="F78" t="s">
        <v>1488</v>
      </c>
      <c r="G78" t="s">
        <v>1509</v>
      </c>
      <c r="H78" t="s">
        <v>1405</v>
      </c>
      <c r="I78" s="5">
        <v>1620000</v>
      </c>
      <c r="J78" t="s">
        <v>37</v>
      </c>
      <c r="K78" t="s">
        <v>37</v>
      </c>
      <c r="L78" t="s">
        <v>37</v>
      </c>
      <c r="M78" t="b">
        <v>0</v>
      </c>
      <c r="N78" t="s">
        <v>31</v>
      </c>
      <c r="O78" t="s">
        <v>1385</v>
      </c>
    </row>
    <row r="79" spans="1:15" x14ac:dyDescent="0.35">
      <c r="A79" t="s">
        <v>1525</v>
      </c>
      <c r="B79" t="s">
        <v>1526</v>
      </c>
      <c r="C79" t="s">
        <v>1527</v>
      </c>
      <c r="D79" t="s">
        <v>1171</v>
      </c>
      <c r="E79" t="s">
        <v>1493</v>
      </c>
      <c r="F79" t="s">
        <v>1488</v>
      </c>
      <c r="G79" t="s">
        <v>1489</v>
      </c>
      <c r="H79" t="s">
        <v>1400</v>
      </c>
      <c r="I79" s="5">
        <v>2800000</v>
      </c>
      <c r="J79" t="s">
        <v>37</v>
      </c>
      <c r="K79" t="s">
        <v>37</v>
      </c>
      <c r="L79" t="s">
        <v>37</v>
      </c>
      <c r="M79" t="b">
        <v>0</v>
      </c>
      <c r="N79" t="s">
        <v>31</v>
      </c>
      <c r="O79" t="s">
        <v>1385</v>
      </c>
    </row>
    <row r="80" spans="1:15" x14ac:dyDescent="0.35">
      <c r="A80" t="s">
        <v>1525</v>
      </c>
      <c r="B80" t="s">
        <v>1526</v>
      </c>
      <c r="C80" t="s">
        <v>1527</v>
      </c>
      <c r="D80" t="s">
        <v>1171</v>
      </c>
      <c r="E80" t="s">
        <v>1493</v>
      </c>
      <c r="F80" t="s">
        <v>1488</v>
      </c>
      <c r="G80" t="s">
        <v>1489</v>
      </c>
      <c r="H80" t="s">
        <v>1400</v>
      </c>
      <c r="I80" s="5">
        <v>1500000</v>
      </c>
      <c r="J80" t="s">
        <v>37</v>
      </c>
      <c r="K80" t="s">
        <v>37</v>
      </c>
      <c r="L80" t="s">
        <v>37</v>
      </c>
      <c r="M80" t="b">
        <v>0</v>
      </c>
      <c r="N80" t="s">
        <v>31</v>
      </c>
      <c r="O80" t="s">
        <v>1385</v>
      </c>
    </row>
    <row r="81" spans="1:15" x14ac:dyDescent="0.35">
      <c r="A81" t="s">
        <v>1525</v>
      </c>
      <c r="B81" t="s">
        <v>1526</v>
      </c>
      <c r="C81" t="s">
        <v>1527</v>
      </c>
      <c r="D81" t="s">
        <v>1171</v>
      </c>
      <c r="E81" t="s">
        <v>1493</v>
      </c>
      <c r="F81" t="s">
        <v>1488</v>
      </c>
      <c r="G81" t="s">
        <v>1489</v>
      </c>
      <c r="H81" t="s">
        <v>1400</v>
      </c>
      <c r="I81" s="5">
        <v>1500000</v>
      </c>
      <c r="J81" t="s">
        <v>37</v>
      </c>
      <c r="K81" t="s">
        <v>37</v>
      </c>
      <c r="L81" t="s">
        <v>37</v>
      </c>
      <c r="M81" t="b">
        <v>0</v>
      </c>
      <c r="N81" t="s">
        <v>31</v>
      </c>
      <c r="O81" t="s">
        <v>1385</v>
      </c>
    </row>
    <row r="82" spans="1:15" x14ac:dyDescent="0.35">
      <c r="A82" t="s">
        <v>1525</v>
      </c>
      <c r="B82" t="s">
        <v>1526</v>
      </c>
      <c r="C82" t="s">
        <v>1527</v>
      </c>
      <c r="D82" t="s">
        <v>1171</v>
      </c>
      <c r="E82" t="s">
        <v>1493</v>
      </c>
      <c r="F82" t="s">
        <v>1488</v>
      </c>
      <c r="G82" t="s">
        <v>1489</v>
      </c>
      <c r="H82" t="s">
        <v>1400</v>
      </c>
      <c r="I82" s="5">
        <v>1500000</v>
      </c>
      <c r="J82" t="s">
        <v>37</v>
      </c>
      <c r="K82" t="s">
        <v>37</v>
      </c>
      <c r="L82" t="s">
        <v>37</v>
      </c>
      <c r="M82" t="b">
        <v>0</v>
      </c>
      <c r="N82" t="s">
        <v>31</v>
      </c>
      <c r="O82" t="s">
        <v>1385</v>
      </c>
    </row>
    <row r="83" spans="1:15" x14ac:dyDescent="0.35">
      <c r="A83" t="s">
        <v>1525</v>
      </c>
      <c r="B83" t="s">
        <v>1526</v>
      </c>
      <c r="C83" t="s">
        <v>1527</v>
      </c>
      <c r="D83" t="s">
        <v>1171</v>
      </c>
      <c r="E83" t="s">
        <v>1493</v>
      </c>
      <c r="F83" t="s">
        <v>1488</v>
      </c>
      <c r="G83" t="s">
        <v>1489</v>
      </c>
      <c r="H83" t="s">
        <v>1400</v>
      </c>
      <c r="I83" s="5">
        <v>910000</v>
      </c>
      <c r="J83" t="s">
        <v>37</v>
      </c>
      <c r="K83" t="s">
        <v>37</v>
      </c>
      <c r="L83" t="s">
        <v>37</v>
      </c>
      <c r="M83" t="b">
        <v>0</v>
      </c>
      <c r="N83" t="s">
        <v>31</v>
      </c>
      <c r="O83" t="s">
        <v>1385</v>
      </c>
    </row>
    <row r="84" spans="1:15" x14ac:dyDescent="0.35">
      <c r="A84" t="s">
        <v>1525</v>
      </c>
      <c r="B84" t="s">
        <v>1526</v>
      </c>
      <c r="C84" t="s">
        <v>1527</v>
      </c>
      <c r="D84" t="s">
        <v>1171</v>
      </c>
      <c r="E84" t="s">
        <v>1493</v>
      </c>
      <c r="F84" t="s">
        <v>1488</v>
      </c>
      <c r="G84" t="s">
        <v>1489</v>
      </c>
      <c r="H84" t="s">
        <v>1400</v>
      </c>
      <c r="I84" s="5">
        <v>2500000</v>
      </c>
      <c r="J84" t="s">
        <v>37</v>
      </c>
      <c r="K84" t="s">
        <v>37</v>
      </c>
      <c r="L84" t="s">
        <v>37</v>
      </c>
      <c r="M84" t="b">
        <v>0</v>
      </c>
      <c r="N84" t="s">
        <v>31</v>
      </c>
      <c r="O84" t="s">
        <v>1385</v>
      </c>
    </row>
    <row r="85" spans="1:15" x14ac:dyDescent="0.35">
      <c r="A85" t="s">
        <v>1528</v>
      </c>
      <c r="B85" t="s">
        <v>1529</v>
      </c>
      <c r="C85" t="s">
        <v>1530</v>
      </c>
      <c r="D85" t="s">
        <v>1171</v>
      </c>
      <c r="E85" t="s">
        <v>1398</v>
      </c>
      <c r="F85" t="s">
        <v>1488</v>
      </c>
      <c r="G85" t="s">
        <v>1489</v>
      </c>
      <c r="H85" t="s">
        <v>1400</v>
      </c>
      <c r="I85" s="5">
        <v>960000</v>
      </c>
      <c r="J85" t="s">
        <v>37</v>
      </c>
      <c r="K85" t="s">
        <v>37</v>
      </c>
      <c r="L85" t="s">
        <v>37</v>
      </c>
      <c r="M85" t="b">
        <v>0</v>
      </c>
      <c r="N85" t="s">
        <v>31</v>
      </c>
      <c r="O85" t="s">
        <v>1385</v>
      </c>
    </row>
    <row r="86" spans="1:15" x14ac:dyDescent="0.35">
      <c r="A86" t="s">
        <v>1531</v>
      </c>
      <c r="B86" t="s">
        <v>1532</v>
      </c>
      <c r="C86" t="s">
        <v>1533</v>
      </c>
      <c r="D86" t="s">
        <v>1459</v>
      </c>
      <c r="E86" t="s">
        <v>1534</v>
      </c>
      <c r="F86" t="s">
        <v>1488</v>
      </c>
      <c r="G86" t="s">
        <v>1489</v>
      </c>
      <c r="H86" t="s">
        <v>1400</v>
      </c>
      <c r="I86" s="5">
        <v>400000</v>
      </c>
      <c r="J86" t="s">
        <v>37</v>
      </c>
      <c r="K86" t="s">
        <v>37</v>
      </c>
      <c r="L86" t="s">
        <v>37</v>
      </c>
      <c r="M86" t="b">
        <v>0</v>
      </c>
      <c r="N86" t="s">
        <v>31</v>
      </c>
      <c r="O86" t="s">
        <v>1385</v>
      </c>
    </row>
    <row r="87" spans="1:15" x14ac:dyDescent="0.35">
      <c r="A87" t="s">
        <v>1531</v>
      </c>
      <c r="B87" t="s">
        <v>1532</v>
      </c>
      <c r="C87" t="s">
        <v>1533</v>
      </c>
      <c r="D87" t="s">
        <v>1459</v>
      </c>
      <c r="E87" t="s">
        <v>1534</v>
      </c>
      <c r="F87" t="s">
        <v>1488</v>
      </c>
      <c r="G87" t="s">
        <v>1509</v>
      </c>
      <c r="H87" t="s">
        <v>1405</v>
      </c>
      <c r="I87" s="5">
        <v>150000</v>
      </c>
      <c r="J87" t="s">
        <v>37</v>
      </c>
      <c r="K87" t="s">
        <v>37</v>
      </c>
      <c r="L87" t="s">
        <v>37</v>
      </c>
      <c r="M87" t="b">
        <v>0</v>
      </c>
      <c r="N87" t="s">
        <v>31</v>
      </c>
      <c r="O87" t="s">
        <v>1385</v>
      </c>
    </row>
    <row r="88" spans="1:15" x14ac:dyDescent="0.35">
      <c r="A88" t="s">
        <v>1535</v>
      </c>
      <c r="B88" t="s">
        <v>1536</v>
      </c>
      <c r="C88" t="s">
        <v>1537</v>
      </c>
      <c r="D88" t="s">
        <v>1413</v>
      </c>
      <c r="E88" t="s">
        <v>1538</v>
      </c>
      <c r="F88" t="s">
        <v>1488</v>
      </c>
      <c r="G88" t="s">
        <v>1489</v>
      </c>
      <c r="H88" t="s">
        <v>1400</v>
      </c>
      <c r="I88" s="5">
        <v>3500000</v>
      </c>
      <c r="J88" t="s">
        <v>37</v>
      </c>
      <c r="K88" t="s">
        <v>37</v>
      </c>
      <c r="L88" t="s">
        <v>37</v>
      </c>
      <c r="M88" t="b">
        <v>0</v>
      </c>
      <c r="N88" t="s">
        <v>31</v>
      </c>
      <c r="O88" t="s">
        <v>1385</v>
      </c>
    </row>
    <row r="89" spans="1:15" x14ac:dyDescent="0.35">
      <c r="A89" t="s">
        <v>1535</v>
      </c>
      <c r="B89" t="s">
        <v>1536</v>
      </c>
      <c r="C89" t="s">
        <v>1537</v>
      </c>
      <c r="D89" t="s">
        <v>1413</v>
      </c>
      <c r="E89" t="s">
        <v>1538</v>
      </c>
      <c r="F89" t="s">
        <v>1488</v>
      </c>
      <c r="G89" t="s">
        <v>1489</v>
      </c>
      <c r="H89" t="s">
        <v>1400</v>
      </c>
      <c r="I89" s="5">
        <v>750000</v>
      </c>
      <c r="J89" t="s">
        <v>37</v>
      </c>
      <c r="K89" t="s">
        <v>37</v>
      </c>
      <c r="L89" t="s">
        <v>37</v>
      </c>
      <c r="M89" t="b">
        <v>0</v>
      </c>
      <c r="N89" t="s">
        <v>31</v>
      </c>
      <c r="O89" t="s">
        <v>1385</v>
      </c>
    </row>
    <row r="90" spans="1:15" x14ac:dyDescent="0.35">
      <c r="A90" t="s">
        <v>1535</v>
      </c>
      <c r="B90" t="s">
        <v>1536</v>
      </c>
      <c r="C90" t="s">
        <v>1537</v>
      </c>
      <c r="D90" t="s">
        <v>1413</v>
      </c>
      <c r="E90" t="s">
        <v>1538</v>
      </c>
      <c r="F90" t="s">
        <v>1488</v>
      </c>
      <c r="G90" t="s">
        <v>1489</v>
      </c>
      <c r="H90" t="s">
        <v>1400</v>
      </c>
      <c r="I90" s="5">
        <v>1890000</v>
      </c>
      <c r="J90" t="s">
        <v>37</v>
      </c>
      <c r="K90" t="s">
        <v>37</v>
      </c>
      <c r="L90" t="s">
        <v>37</v>
      </c>
      <c r="M90" t="b">
        <v>0</v>
      </c>
      <c r="N90" t="s">
        <v>31</v>
      </c>
      <c r="O90" t="s">
        <v>1385</v>
      </c>
    </row>
    <row r="91" spans="1:15" x14ac:dyDescent="0.35">
      <c r="A91" t="s">
        <v>1539</v>
      </c>
      <c r="B91" t="s">
        <v>1540</v>
      </c>
      <c r="C91" t="s">
        <v>1541</v>
      </c>
      <c r="D91" t="s">
        <v>1413</v>
      </c>
      <c r="E91" t="s">
        <v>1542</v>
      </c>
      <c r="F91" t="s">
        <v>1488</v>
      </c>
      <c r="G91" t="s">
        <v>1509</v>
      </c>
      <c r="H91" t="s">
        <v>1405</v>
      </c>
      <c r="I91" s="5">
        <v>400000</v>
      </c>
      <c r="J91" t="s">
        <v>37</v>
      </c>
      <c r="K91" t="s">
        <v>37</v>
      </c>
      <c r="L91" t="s">
        <v>37</v>
      </c>
      <c r="M91" t="b">
        <v>0</v>
      </c>
      <c r="N91" t="s">
        <v>31</v>
      </c>
      <c r="O91" t="s">
        <v>1385</v>
      </c>
    </row>
    <row r="92" spans="1:15" x14ac:dyDescent="0.35">
      <c r="A92" t="s">
        <v>1539</v>
      </c>
      <c r="B92" t="s">
        <v>1540</v>
      </c>
      <c r="C92" t="s">
        <v>1541</v>
      </c>
      <c r="D92" t="s">
        <v>1413</v>
      </c>
      <c r="E92" t="s">
        <v>1542</v>
      </c>
      <c r="F92" t="s">
        <v>1488</v>
      </c>
      <c r="G92" t="s">
        <v>1489</v>
      </c>
      <c r="H92" t="s">
        <v>1400</v>
      </c>
      <c r="I92" s="5">
        <v>130000</v>
      </c>
      <c r="J92" t="s">
        <v>37</v>
      </c>
      <c r="K92" t="s">
        <v>37</v>
      </c>
      <c r="L92" t="s">
        <v>37</v>
      </c>
      <c r="M92" t="b">
        <v>0</v>
      </c>
      <c r="N92" t="s">
        <v>31</v>
      </c>
      <c r="O92" t="s">
        <v>1385</v>
      </c>
    </row>
    <row r="93" spans="1:15" x14ac:dyDescent="0.35">
      <c r="A93" t="s">
        <v>1539</v>
      </c>
      <c r="B93" t="s">
        <v>1540</v>
      </c>
      <c r="C93" t="s">
        <v>1541</v>
      </c>
      <c r="D93" t="s">
        <v>1413</v>
      </c>
      <c r="E93" t="s">
        <v>1542</v>
      </c>
      <c r="F93" t="s">
        <v>1488</v>
      </c>
      <c r="G93" t="s">
        <v>1509</v>
      </c>
      <c r="H93" t="s">
        <v>1405</v>
      </c>
      <c r="I93" s="5">
        <v>600000</v>
      </c>
      <c r="J93" t="s">
        <v>37</v>
      </c>
      <c r="K93" t="s">
        <v>37</v>
      </c>
      <c r="L93" t="s">
        <v>37</v>
      </c>
      <c r="M93" t="b">
        <v>0</v>
      </c>
      <c r="N93" t="s">
        <v>31</v>
      </c>
      <c r="O93" t="s">
        <v>1385</v>
      </c>
    </row>
    <row r="94" spans="1:15" x14ac:dyDescent="0.35">
      <c r="A94" t="s">
        <v>1543</v>
      </c>
      <c r="B94" t="s">
        <v>1544</v>
      </c>
      <c r="C94" t="s">
        <v>1545</v>
      </c>
      <c r="D94" t="s">
        <v>1459</v>
      </c>
      <c r="E94" t="s">
        <v>1542</v>
      </c>
      <c r="F94" t="s">
        <v>1488</v>
      </c>
      <c r="G94" t="s">
        <v>1509</v>
      </c>
      <c r="H94" t="s">
        <v>1405</v>
      </c>
      <c r="I94" s="5">
        <v>250000</v>
      </c>
      <c r="J94" t="s">
        <v>37</v>
      </c>
      <c r="K94" t="s">
        <v>37</v>
      </c>
      <c r="L94" t="s">
        <v>37</v>
      </c>
      <c r="M94" t="b">
        <v>0</v>
      </c>
      <c r="N94" t="s">
        <v>31</v>
      </c>
      <c r="O94" t="s">
        <v>1385</v>
      </c>
    </row>
    <row r="95" spans="1:15" x14ac:dyDescent="0.35">
      <c r="A95" t="s">
        <v>1546</v>
      </c>
      <c r="B95" t="s">
        <v>1547</v>
      </c>
      <c r="C95" t="s">
        <v>1548</v>
      </c>
      <c r="D95" t="s">
        <v>331</v>
      </c>
      <c r="E95" t="s">
        <v>1549</v>
      </c>
      <c r="F95" t="s">
        <v>1488</v>
      </c>
      <c r="G95" t="s">
        <v>1489</v>
      </c>
      <c r="H95" t="s">
        <v>1400</v>
      </c>
      <c r="I95" s="5">
        <v>720000</v>
      </c>
      <c r="J95" t="s">
        <v>37</v>
      </c>
      <c r="K95" t="s">
        <v>37</v>
      </c>
      <c r="L95" t="s">
        <v>37</v>
      </c>
      <c r="M95" t="b">
        <v>0</v>
      </c>
      <c r="N95" t="s">
        <v>31</v>
      </c>
      <c r="O95" t="s">
        <v>1385</v>
      </c>
    </row>
    <row r="96" spans="1:15" x14ac:dyDescent="0.35">
      <c r="A96" t="s">
        <v>1546</v>
      </c>
      <c r="B96" t="s">
        <v>1547</v>
      </c>
      <c r="C96" t="s">
        <v>1548</v>
      </c>
      <c r="D96" t="s">
        <v>331</v>
      </c>
      <c r="E96" t="s">
        <v>1549</v>
      </c>
      <c r="F96" t="s">
        <v>1488</v>
      </c>
      <c r="G96" t="s">
        <v>1489</v>
      </c>
      <c r="H96" t="s">
        <v>1400</v>
      </c>
      <c r="I96" s="5">
        <v>1000000</v>
      </c>
      <c r="J96" t="s">
        <v>37</v>
      </c>
      <c r="K96" t="s">
        <v>37</v>
      </c>
      <c r="L96" t="s">
        <v>37</v>
      </c>
      <c r="M96" t="b">
        <v>0</v>
      </c>
      <c r="N96" t="s">
        <v>31</v>
      </c>
      <c r="O96" t="s">
        <v>1385</v>
      </c>
    </row>
    <row r="97" spans="1:15" x14ac:dyDescent="0.35">
      <c r="A97" t="s">
        <v>1546</v>
      </c>
      <c r="B97" t="s">
        <v>1547</v>
      </c>
      <c r="C97" t="s">
        <v>1548</v>
      </c>
      <c r="D97" t="s">
        <v>331</v>
      </c>
      <c r="E97" t="s">
        <v>1549</v>
      </c>
      <c r="F97" t="s">
        <v>1488</v>
      </c>
      <c r="G97" t="s">
        <v>1489</v>
      </c>
      <c r="H97" t="s">
        <v>1400</v>
      </c>
      <c r="I97" s="5">
        <v>500000</v>
      </c>
      <c r="J97" t="s">
        <v>37</v>
      </c>
      <c r="K97" t="s">
        <v>37</v>
      </c>
      <c r="L97" t="s">
        <v>37</v>
      </c>
      <c r="M97" t="b">
        <v>0</v>
      </c>
      <c r="N97" t="s">
        <v>31</v>
      </c>
      <c r="O97" t="s">
        <v>1385</v>
      </c>
    </row>
    <row r="98" spans="1:15" x14ac:dyDescent="0.35">
      <c r="A98" t="s">
        <v>1546</v>
      </c>
      <c r="B98" t="s">
        <v>1547</v>
      </c>
      <c r="C98" t="s">
        <v>1548</v>
      </c>
      <c r="D98" t="s">
        <v>331</v>
      </c>
      <c r="E98" t="s">
        <v>1549</v>
      </c>
      <c r="F98" t="s">
        <v>1488</v>
      </c>
      <c r="G98" t="s">
        <v>1489</v>
      </c>
      <c r="H98" t="s">
        <v>1400</v>
      </c>
      <c r="I98" s="5">
        <v>1000000</v>
      </c>
      <c r="J98" t="s">
        <v>37</v>
      </c>
      <c r="K98" t="s">
        <v>37</v>
      </c>
      <c r="L98" t="s">
        <v>37</v>
      </c>
      <c r="M98" t="b">
        <v>0</v>
      </c>
      <c r="N98" t="s">
        <v>31</v>
      </c>
      <c r="O98" t="s">
        <v>1385</v>
      </c>
    </row>
    <row r="99" spans="1:15" x14ac:dyDescent="0.35">
      <c r="A99" t="s">
        <v>1546</v>
      </c>
      <c r="B99" t="s">
        <v>1547</v>
      </c>
      <c r="C99" t="s">
        <v>1548</v>
      </c>
      <c r="D99" t="s">
        <v>331</v>
      </c>
      <c r="E99" t="s">
        <v>1549</v>
      </c>
      <c r="F99" t="s">
        <v>1488</v>
      </c>
      <c r="G99" t="s">
        <v>1489</v>
      </c>
      <c r="H99" t="s">
        <v>1400</v>
      </c>
      <c r="I99" s="5">
        <v>1785000</v>
      </c>
      <c r="J99" t="s">
        <v>37</v>
      </c>
      <c r="K99" t="s">
        <v>37</v>
      </c>
      <c r="L99" t="s">
        <v>37</v>
      </c>
      <c r="M99" t="b">
        <v>0</v>
      </c>
      <c r="N99" t="s">
        <v>31</v>
      </c>
      <c r="O99" t="s">
        <v>1385</v>
      </c>
    </row>
    <row r="100" spans="1:15" x14ac:dyDescent="0.35">
      <c r="A100" t="s">
        <v>1550</v>
      </c>
      <c r="B100" t="s">
        <v>1551</v>
      </c>
      <c r="C100" t="s">
        <v>1552</v>
      </c>
      <c r="D100" t="s">
        <v>331</v>
      </c>
      <c r="E100" t="s">
        <v>1398</v>
      </c>
      <c r="F100" t="s">
        <v>1488</v>
      </c>
      <c r="G100" t="s">
        <v>1489</v>
      </c>
      <c r="H100" t="s">
        <v>1400</v>
      </c>
      <c r="I100" s="5">
        <v>4800000</v>
      </c>
      <c r="J100" t="s">
        <v>37</v>
      </c>
      <c r="K100" t="s">
        <v>37</v>
      </c>
      <c r="L100" t="s">
        <v>37</v>
      </c>
      <c r="M100" t="b">
        <v>0</v>
      </c>
      <c r="N100" t="s">
        <v>31</v>
      </c>
      <c r="O100" t="s">
        <v>1385</v>
      </c>
    </row>
    <row r="101" spans="1:15" x14ac:dyDescent="0.35">
      <c r="A101" t="s">
        <v>1550</v>
      </c>
      <c r="B101" t="s">
        <v>1551</v>
      </c>
      <c r="C101" t="s">
        <v>1552</v>
      </c>
      <c r="D101" t="s">
        <v>331</v>
      </c>
      <c r="E101" t="s">
        <v>1398</v>
      </c>
      <c r="F101" t="s">
        <v>1488</v>
      </c>
      <c r="G101" t="s">
        <v>1509</v>
      </c>
      <c r="H101" t="s">
        <v>1405</v>
      </c>
      <c r="I101" s="5">
        <v>200000</v>
      </c>
      <c r="J101" t="s">
        <v>37</v>
      </c>
      <c r="K101" t="s">
        <v>37</v>
      </c>
      <c r="L101" t="s">
        <v>37</v>
      </c>
      <c r="M101" t="b">
        <v>0</v>
      </c>
      <c r="N101" t="s">
        <v>31</v>
      </c>
      <c r="O101" t="s">
        <v>1385</v>
      </c>
    </row>
    <row r="102" spans="1:15" x14ac:dyDescent="0.35">
      <c r="A102" t="s">
        <v>1553</v>
      </c>
      <c r="B102" t="s">
        <v>1554</v>
      </c>
      <c r="C102" t="s">
        <v>1555</v>
      </c>
      <c r="D102" t="s">
        <v>331</v>
      </c>
      <c r="E102" t="s">
        <v>1404</v>
      </c>
      <c r="F102" t="s">
        <v>1488</v>
      </c>
      <c r="G102" t="s">
        <v>1489</v>
      </c>
      <c r="H102" t="s">
        <v>1400</v>
      </c>
      <c r="I102" s="5">
        <v>1000000</v>
      </c>
      <c r="J102" t="s">
        <v>37</v>
      </c>
      <c r="K102" t="s">
        <v>37</v>
      </c>
      <c r="L102" t="s">
        <v>37</v>
      </c>
      <c r="M102" t="b">
        <v>0</v>
      </c>
      <c r="N102" t="s">
        <v>31</v>
      </c>
      <c r="O102" t="s">
        <v>1385</v>
      </c>
    </row>
    <row r="103" spans="1:15" x14ac:dyDescent="0.35">
      <c r="A103" t="s">
        <v>1553</v>
      </c>
      <c r="B103" t="s">
        <v>1554</v>
      </c>
      <c r="C103" t="s">
        <v>1555</v>
      </c>
      <c r="D103" t="s">
        <v>331</v>
      </c>
      <c r="E103" t="s">
        <v>1404</v>
      </c>
      <c r="F103" t="s">
        <v>1488</v>
      </c>
      <c r="G103" t="s">
        <v>1509</v>
      </c>
      <c r="H103" t="s">
        <v>1405</v>
      </c>
      <c r="I103" s="5">
        <v>200000</v>
      </c>
      <c r="J103" t="s">
        <v>37</v>
      </c>
      <c r="K103" t="s">
        <v>37</v>
      </c>
      <c r="L103" t="s">
        <v>37</v>
      </c>
      <c r="M103" t="b">
        <v>0</v>
      </c>
      <c r="N103" t="s">
        <v>31</v>
      </c>
      <c r="O103" t="s">
        <v>1385</v>
      </c>
    </row>
    <row r="104" spans="1:15" x14ac:dyDescent="0.35">
      <c r="A104" t="s">
        <v>1553</v>
      </c>
      <c r="B104" t="s">
        <v>1554</v>
      </c>
      <c r="C104" t="s">
        <v>1555</v>
      </c>
      <c r="D104" t="s">
        <v>331</v>
      </c>
      <c r="E104" t="s">
        <v>1404</v>
      </c>
      <c r="F104" t="s">
        <v>1488</v>
      </c>
      <c r="G104" t="s">
        <v>1489</v>
      </c>
      <c r="H104" t="s">
        <v>1400</v>
      </c>
      <c r="I104" s="5">
        <v>3029656</v>
      </c>
      <c r="J104" t="s">
        <v>37</v>
      </c>
      <c r="K104" t="s">
        <v>37</v>
      </c>
      <c r="L104" t="s">
        <v>37</v>
      </c>
      <c r="M104" t="b">
        <v>0</v>
      </c>
      <c r="N104" t="s">
        <v>31</v>
      </c>
      <c r="O104" t="s">
        <v>1385</v>
      </c>
    </row>
    <row r="105" spans="1:15" x14ac:dyDescent="0.35">
      <c r="A105" t="s">
        <v>1556</v>
      </c>
      <c r="B105" t="s">
        <v>1557</v>
      </c>
      <c r="C105" t="s">
        <v>1558</v>
      </c>
      <c r="D105" t="s">
        <v>1459</v>
      </c>
      <c r="E105" t="s">
        <v>1534</v>
      </c>
      <c r="F105" t="s">
        <v>1488</v>
      </c>
      <c r="G105" t="s">
        <v>1489</v>
      </c>
      <c r="H105" t="s">
        <v>1400</v>
      </c>
      <c r="I105" s="5">
        <v>460000</v>
      </c>
      <c r="J105" t="s">
        <v>37</v>
      </c>
      <c r="K105" t="s">
        <v>37</v>
      </c>
      <c r="L105" t="s">
        <v>37</v>
      </c>
      <c r="M105" t="b">
        <v>0</v>
      </c>
      <c r="N105" t="s">
        <v>31</v>
      </c>
      <c r="O105" t="s">
        <v>1385</v>
      </c>
    </row>
    <row r="106" spans="1:15" x14ac:dyDescent="0.35">
      <c r="A106" t="s">
        <v>1559</v>
      </c>
      <c r="B106" t="s">
        <v>1560</v>
      </c>
      <c r="C106" t="s">
        <v>1561</v>
      </c>
      <c r="D106" t="s">
        <v>1171</v>
      </c>
      <c r="E106" t="s">
        <v>1398</v>
      </c>
      <c r="F106" t="s">
        <v>1488</v>
      </c>
      <c r="G106" t="s">
        <v>1489</v>
      </c>
      <c r="H106" t="s">
        <v>1400</v>
      </c>
      <c r="I106" s="5">
        <v>2900000</v>
      </c>
      <c r="J106" t="s">
        <v>37</v>
      </c>
      <c r="K106" t="s">
        <v>37</v>
      </c>
      <c r="L106" t="s">
        <v>37</v>
      </c>
      <c r="M106" t="b">
        <v>0</v>
      </c>
      <c r="N106" t="s">
        <v>31</v>
      </c>
      <c r="O106" t="s">
        <v>1385</v>
      </c>
    </row>
    <row r="107" spans="1:15" x14ac:dyDescent="0.35">
      <c r="A107" t="s">
        <v>1562</v>
      </c>
      <c r="B107" t="s">
        <v>1563</v>
      </c>
      <c r="C107" t="s">
        <v>1563</v>
      </c>
      <c r="D107" t="s">
        <v>1417</v>
      </c>
      <c r="E107" t="s">
        <v>1434</v>
      </c>
      <c r="F107" t="s">
        <v>1488</v>
      </c>
      <c r="G107" t="s">
        <v>1489</v>
      </c>
      <c r="H107" t="s">
        <v>1400</v>
      </c>
      <c r="I107" s="5">
        <v>4225000</v>
      </c>
      <c r="J107" t="s">
        <v>37</v>
      </c>
      <c r="K107" t="s">
        <v>37</v>
      </c>
      <c r="L107" t="s">
        <v>37</v>
      </c>
      <c r="M107" t="b">
        <v>0</v>
      </c>
      <c r="N107" t="s">
        <v>31</v>
      </c>
      <c r="O107" t="s">
        <v>1385</v>
      </c>
    </row>
    <row r="108" spans="1:15" x14ac:dyDescent="0.35">
      <c r="A108" t="s">
        <v>1564</v>
      </c>
      <c r="B108" t="s">
        <v>1565</v>
      </c>
      <c r="C108" t="s">
        <v>1566</v>
      </c>
      <c r="D108" t="s">
        <v>1413</v>
      </c>
      <c r="E108" t="s">
        <v>1398</v>
      </c>
      <c r="F108" t="s">
        <v>1488</v>
      </c>
      <c r="G108" t="s">
        <v>1509</v>
      </c>
      <c r="H108" t="s">
        <v>1405</v>
      </c>
      <c r="I108" s="5">
        <v>1200000</v>
      </c>
      <c r="J108" t="s">
        <v>37</v>
      </c>
      <c r="K108" t="s">
        <v>37</v>
      </c>
      <c r="L108" t="s">
        <v>37</v>
      </c>
      <c r="M108" t="b">
        <v>0</v>
      </c>
      <c r="N108" t="s">
        <v>31</v>
      </c>
      <c r="O108" t="s">
        <v>1385</v>
      </c>
    </row>
    <row r="109" spans="1:15" x14ac:dyDescent="0.35">
      <c r="A109" t="s">
        <v>1564</v>
      </c>
      <c r="B109" t="s">
        <v>1565</v>
      </c>
      <c r="C109" t="s">
        <v>1566</v>
      </c>
      <c r="D109" t="s">
        <v>1413</v>
      </c>
      <c r="E109" t="s">
        <v>1398</v>
      </c>
      <c r="F109" t="s">
        <v>1488</v>
      </c>
      <c r="G109" t="s">
        <v>1489</v>
      </c>
      <c r="H109" t="s">
        <v>1400</v>
      </c>
      <c r="I109" s="5">
        <v>250000</v>
      </c>
      <c r="J109" t="s">
        <v>37</v>
      </c>
      <c r="K109" t="s">
        <v>37</v>
      </c>
      <c r="L109" t="s">
        <v>37</v>
      </c>
      <c r="M109" t="b">
        <v>0</v>
      </c>
      <c r="N109" t="s">
        <v>31</v>
      </c>
      <c r="O109" t="s">
        <v>1385</v>
      </c>
    </row>
    <row r="110" spans="1:15" x14ac:dyDescent="0.35">
      <c r="A110" t="s">
        <v>1564</v>
      </c>
      <c r="B110" t="s">
        <v>1565</v>
      </c>
      <c r="C110" t="s">
        <v>1566</v>
      </c>
      <c r="D110" t="s">
        <v>1413</v>
      </c>
      <c r="E110" t="s">
        <v>1398</v>
      </c>
      <c r="F110" t="s">
        <v>1488</v>
      </c>
      <c r="G110" t="s">
        <v>1509</v>
      </c>
      <c r="H110" t="s">
        <v>1400</v>
      </c>
      <c r="I110" s="5">
        <v>1150000</v>
      </c>
      <c r="J110" t="s">
        <v>37</v>
      </c>
      <c r="K110" t="s">
        <v>37</v>
      </c>
      <c r="L110" t="s">
        <v>37</v>
      </c>
      <c r="M110" t="b">
        <v>0</v>
      </c>
      <c r="N110" t="s">
        <v>31</v>
      </c>
      <c r="O110" t="s">
        <v>1385</v>
      </c>
    </row>
    <row r="111" spans="1:15" x14ac:dyDescent="0.35">
      <c r="A111" t="s">
        <v>1564</v>
      </c>
      <c r="B111" t="s">
        <v>1565</v>
      </c>
      <c r="C111" t="s">
        <v>1566</v>
      </c>
      <c r="D111" t="s">
        <v>1413</v>
      </c>
      <c r="E111" t="s">
        <v>1398</v>
      </c>
      <c r="F111" t="s">
        <v>1488</v>
      </c>
      <c r="G111" t="s">
        <v>1509</v>
      </c>
      <c r="H111" t="s">
        <v>1400</v>
      </c>
      <c r="I111" s="5">
        <v>500000</v>
      </c>
      <c r="J111" t="s">
        <v>37</v>
      </c>
      <c r="K111" t="s">
        <v>37</v>
      </c>
      <c r="L111" t="s">
        <v>37</v>
      </c>
      <c r="M111" t="b">
        <v>0</v>
      </c>
      <c r="N111" t="s">
        <v>31</v>
      </c>
      <c r="O111" t="s">
        <v>1385</v>
      </c>
    </row>
    <row r="112" spans="1:15" x14ac:dyDescent="0.35">
      <c r="A112" t="s">
        <v>1567</v>
      </c>
      <c r="B112" t="s">
        <v>1568</v>
      </c>
      <c r="C112" t="s">
        <v>1569</v>
      </c>
      <c r="D112" t="s">
        <v>1459</v>
      </c>
      <c r="E112" t="s">
        <v>1570</v>
      </c>
      <c r="F112" t="s">
        <v>1488</v>
      </c>
      <c r="G112" t="s">
        <v>1489</v>
      </c>
      <c r="H112" t="s">
        <v>1400</v>
      </c>
      <c r="I112" s="5">
        <v>500000</v>
      </c>
      <c r="J112" t="s">
        <v>37</v>
      </c>
      <c r="K112" t="s">
        <v>37</v>
      </c>
      <c r="L112" t="s">
        <v>37</v>
      </c>
      <c r="M112" t="b">
        <v>0</v>
      </c>
      <c r="N112" t="s">
        <v>31</v>
      </c>
      <c r="O112" t="s">
        <v>1385</v>
      </c>
    </row>
    <row r="113" spans="1:15" x14ac:dyDescent="0.35">
      <c r="A113" t="s">
        <v>1567</v>
      </c>
      <c r="B113" t="s">
        <v>1568</v>
      </c>
      <c r="C113" t="s">
        <v>1569</v>
      </c>
      <c r="D113" t="s">
        <v>1459</v>
      </c>
      <c r="E113" t="s">
        <v>1570</v>
      </c>
      <c r="F113" t="s">
        <v>1488</v>
      </c>
      <c r="G113" t="s">
        <v>1489</v>
      </c>
      <c r="H113" t="s">
        <v>1400</v>
      </c>
      <c r="I113" s="5">
        <v>3162500</v>
      </c>
      <c r="J113" t="s">
        <v>37</v>
      </c>
      <c r="K113" t="s">
        <v>37</v>
      </c>
      <c r="L113" t="s">
        <v>37</v>
      </c>
      <c r="M113" t="b">
        <v>0</v>
      </c>
      <c r="N113" t="s">
        <v>31</v>
      </c>
      <c r="O113" t="s">
        <v>1385</v>
      </c>
    </row>
    <row r="114" spans="1:15" x14ac:dyDescent="0.35">
      <c r="A114" t="s">
        <v>1567</v>
      </c>
      <c r="B114" t="s">
        <v>1568</v>
      </c>
      <c r="C114" t="s">
        <v>1569</v>
      </c>
      <c r="D114" t="s">
        <v>1459</v>
      </c>
      <c r="E114" t="s">
        <v>1570</v>
      </c>
      <c r="F114" t="s">
        <v>1488</v>
      </c>
      <c r="G114" t="s">
        <v>1489</v>
      </c>
      <c r="H114" t="s">
        <v>1400</v>
      </c>
      <c r="I114" s="5">
        <v>3100000</v>
      </c>
      <c r="J114" t="s">
        <v>37</v>
      </c>
      <c r="K114" t="s">
        <v>37</v>
      </c>
      <c r="L114" t="s">
        <v>37</v>
      </c>
      <c r="M114" t="b">
        <v>0</v>
      </c>
      <c r="N114" t="s">
        <v>31</v>
      </c>
      <c r="O114" t="s">
        <v>1385</v>
      </c>
    </row>
    <row r="115" spans="1:15" x14ac:dyDescent="0.35">
      <c r="A115" t="s">
        <v>1571</v>
      </c>
      <c r="B115" t="s">
        <v>1572</v>
      </c>
      <c r="C115" t="s">
        <v>1573</v>
      </c>
      <c r="D115" t="s">
        <v>1171</v>
      </c>
      <c r="E115" t="s">
        <v>1398</v>
      </c>
      <c r="F115" t="s">
        <v>1488</v>
      </c>
      <c r="G115" t="s">
        <v>1489</v>
      </c>
      <c r="H115" t="s">
        <v>1400</v>
      </c>
      <c r="I115" s="5">
        <v>250000</v>
      </c>
      <c r="J115" t="s">
        <v>37</v>
      </c>
      <c r="K115" t="s">
        <v>37</v>
      </c>
      <c r="L115" t="s">
        <v>37</v>
      </c>
      <c r="M115" t="b">
        <v>0</v>
      </c>
      <c r="N115" t="s">
        <v>31</v>
      </c>
      <c r="O115" t="s">
        <v>1385</v>
      </c>
    </row>
    <row r="116" spans="1:15" x14ac:dyDescent="0.35">
      <c r="A116" t="s">
        <v>1574</v>
      </c>
      <c r="B116" t="s">
        <v>1575</v>
      </c>
      <c r="C116" t="s">
        <v>1575</v>
      </c>
      <c r="D116" t="s">
        <v>1459</v>
      </c>
      <c r="E116" t="s">
        <v>1404</v>
      </c>
      <c r="F116" t="s">
        <v>1488</v>
      </c>
      <c r="G116" t="s">
        <v>1489</v>
      </c>
      <c r="H116" t="s">
        <v>1400</v>
      </c>
      <c r="I116" s="5">
        <v>190000</v>
      </c>
      <c r="J116" t="s">
        <v>37</v>
      </c>
      <c r="K116" t="s">
        <v>37</v>
      </c>
      <c r="L116" t="s">
        <v>37</v>
      </c>
      <c r="M116" t="b">
        <v>0</v>
      </c>
      <c r="N116" t="s">
        <v>31</v>
      </c>
      <c r="O116" t="s">
        <v>1385</v>
      </c>
    </row>
    <row r="117" spans="1:15" x14ac:dyDescent="0.35">
      <c r="A117" t="s">
        <v>1574</v>
      </c>
      <c r="B117" t="s">
        <v>1575</v>
      </c>
      <c r="C117" t="s">
        <v>1575</v>
      </c>
      <c r="D117" t="s">
        <v>1459</v>
      </c>
      <c r="E117" t="s">
        <v>1404</v>
      </c>
      <c r="F117" t="s">
        <v>1488</v>
      </c>
      <c r="G117" t="s">
        <v>1489</v>
      </c>
      <c r="H117" t="s">
        <v>1400</v>
      </c>
      <c r="I117" s="5">
        <v>750000</v>
      </c>
      <c r="J117" t="s">
        <v>37</v>
      </c>
      <c r="K117" t="s">
        <v>37</v>
      </c>
      <c r="L117" t="s">
        <v>37</v>
      </c>
      <c r="M117" t="b">
        <v>0</v>
      </c>
      <c r="N117" t="s">
        <v>31</v>
      </c>
      <c r="O117" t="s">
        <v>1385</v>
      </c>
    </row>
    <row r="118" spans="1:15" x14ac:dyDescent="0.35">
      <c r="A118" t="s">
        <v>1576</v>
      </c>
      <c r="B118" t="s">
        <v>1577</v>
      </c>
      <c r="C118" t="s">
        <v>1577</v>
      </c>
      <c r="D118" t="s">
        <v>1409</v>
      </c>
      <c r="E118" t="s">
        <v>1404</v>
      </c>
      <c r="F118" t="s">
        <v>1488</v>
      </c>
      <c r="G118" t="s">
        <v>1509</v>
      </c>
      <c r="H118" t="s">
        <v>1405</v>
      </c>
      <c r="I118" s="5">
        <v>200000</v>
      </c>
      <c r="J118" t="s">
        <v>37</v>
      </c>
      <c r="K118" t="s">
        <v>37</v>
      </c>
      <c r="L118" t="s">
        <v>37</v>
      </c>
      <c r="M118" t="b">
        <v>0</v>
      </c>
      <c r="N118" t="s">
        <v>31</v>
      </c>
      <c r="O118" t="s">
        <v>1385</v>
      </c>
    </row>
    <row r="119" spans="1:15" x14ac:dyDescent="0.35">
      <c r="A119" t="s">
        <v>1576</v>
      </c>
      <c r="B119" t="s">
        <v>1577</v>
      </c>
      <c r="C119" t="s">
        <v>1577</v>
      </c>
      <c r="D119" t="s">
        <v>1409</v>
      </c>
      <c r="E119" t="s">
        <v>1404</v>
      </c>
      <c r="F119" t="s">
        <v>1488</v>
      </c>
      <c r="G119" t="s">
        <v>1489</v>
      </c>
      <c r="H119" t="s">
        <v>1400</v>
      </c>
      <c r="I119" s="5">
        <v>28000000</v>
      </c>
      <c r="J119" t="s">
        <v>37</v>
      </c>
      <c r="K119" t="s">
        <v>37</v>
      </c>
      <c r="L119" t="s">
        <v>37</v>
      </c>
      <c r="M119" t="b">
        <v>0</v>
      </c>
      <c r="N119" t="s">
        <v>31</v>
      </c>
      <c r="O119" t="s">
        <v>1385</v>
      </c>
    </row>
    <row r="120" spans="1:15" x14ac:dyDescent="0.35">
      <c r="A120" t="s">
        <v>1576</v>
      </c>
      <c r="B120" t="s">
        <v>1577</v>
      </c>
      <c r="C120" t="s">
        <v>1577</v>
      </c>
      <c r="D120" t="s">
        <v>1409</v>
      </c>
      <c r="E120" t="s">
        <v>1404</v>
      </c>
      <c r="F120" t="s">
        <v>1488</v>
      </c>
      <c r="G120" t="s">
        <v>1489</v>
      </c>
      <c r="H120" t="s">
        <v>1400</v>
      </c>
      <c r="I120" s="5">
        <v>1825000</v>
      </c>
      <c r="J120" t="s">
        <v>37</v>
      </c>
      <c r="K120" t="s">
        <v>37</v>
      </c>
      <c r="L120" t="s">
        <v>37</v>
      </c>
      <c r="M120" t="b">
        <v>0</v>
      </c>
      <c r="N120" t="s">
        <v>31</v>
      </c>
      <c r="O120" t="s">
        <v>1385</v>
      </c>
    </row>
    <row r="121" spans="1:15" x14ac:dyDescent="0.35">
      <c r="A121" t="s">
        <v>1578</v>
      </c>
      <c r="B121" t="s">
        <v>1579</v>
      </c>
      <c r="C121" t="s">
        <v>1580</v>
      </c>
      <c r="D121" t="s">
        <v>1417</v>
      </c>
      <c r="E121" t="s">
        <v>1434</v>
      </c>
      <c r="F121" t="s">
        <v>1488</v>
      </c>
      <c r="G121" t="s">
        <v>1489</v>
      </c>
      <c r="H121" t="s">
        <v>1400</v>
      </c>
      <c r="I121" s="5">
        <v>500000</v>
      </c>
      <c r="J121" t="s">
        <v>37</v>
      </c>
      <c r="K121" t="s">
        <v>37</v>
      </c>
      <c r="L121" t="s">
        <v>37</v>
      </c>
      <c r="M121" t="b">
        <v>0</v>
      </c>
      <c r="N121" t="s">
        <v>31</v>
      </c>
      <c r="O121" t="s">
        <v>1385</v>
      </c>
    </row>
    <row r="122" spans="1:15" x14ac:dyDescent="0.35">
      <c r="A122" t="s">
        <v>1578</v>
      </c>
      <c r="B122" t="s">
        <v>1579</v>
      </c>
      <c r="C122" t="s">
        <v>1580</v>
      </c>
      <c r="D122" t="s">
        <v>1417</v>
      </c>
      <c r="E122" t="s">
        <v>1434</v>
      </c>
      <c r="F122" t="s">
        <v>1488</v>
      </c>
      <c r="G122" t="s">
        <v>1509</v>
      </c>
      <c r="H122" t="s">
        <v>1405</v>
      </c>
      <c r="I122" s="5">
        <v>590860</v>
      </c>
      <c r="J122" t="s">
        <v>37</v>
      </c>
      <c r="K122" t="s">
        <v>37</v>
      </c>
      <c r="L122" t="s">
        <v>37</v>
      </c>
      <c r="M122" t="b">
        <v>0</v>
      </c>
      <c r="N122" t="s">
        <v>31</v>
      </c>
      <c r="O122" t="s">
        <v>1385</v>
      </c>
    </row>
    <row r="123" spans="1:15" x14ac:dyDescent="0.35">
      <c r="A123" t="s">
        <v>1581</v>
      </c>
      <c r="B123" t="s">
        <v>1582</v>
      </c>
      <c r="C123" t="s">
        <v>1583</v>
      </c>
      <c r="D123" t="s">
        <v>1171</v>
      </c>
      <c r="E123" t="s">
        <v>1172</v>
      </c>
      <c r="F123" t="s">
        <v>1488</v>
      </c>
      <c r="G123" t="s">
        <v>1509</v>
      </c>
      <c r="H123" t="s">
        <v>1405</v>
      </c>
      <c r="I123" s="5">
        <v>4000000</v>
      </c>
      <c r="J123" t="s">
        <v>37</v>
      </c>
      <c r="K123" t="s">
        <v>37</v>
      </c>
      <c r="L123" t="s">
        <v>37</v>
      </c>
      <c r="M123" t="b">
        <v>0</v>
      </c>
      <c r="N123" t="s">
        <v>31</v>
      </c>
      <c r="O123" t="s">
        <v>1385</v>
      </c>
    </row>
    <row r="124" spans="1:15" x14ac:dyDescent="0.35">
      <c r="A124" t="s">
        <v>1584</v>
      </c>
      <c r="B124" t="s">
        <v>1585</v>
      </c>
      <c r="C124" t="s">
        <v>1586</v>
      </c>
      <c r="D124" t="s">
        <v>1409</v>
      </c>
      <c r="E124" t="s">
        <v>1404</v>
      </c>
      <c r="F124" t="s">
        <v>1488</v>
      </c>
      <c r="G124" t="s">
        <v>1489</v>
      </c>
      <c r="H124" t="s">
        <v>1400</v>
      </c>
      <c r="I124" s="5">
        <v>1340000</v>
      </c>
      <c r="J124" t="s">
        <v>37</v>
      </c>
      <c r="K124" t="s">
        <v>37</v>
      </c>
      <c r="L124" t="s">
        <v>37</v>
      </c>
      <c r="M124" t="b">
        <v>0</v>
      </c>
      <c r="N124" t="s">
        <v>31</v>
      </c>
      <c r="O124" t="s">
        <v>1385</v>
      </c>
    </row>
    <row r="125" spans="1:15" x14ac:dyDescent="0.35">
      <c r="A125" t="s">
        <v>1587</v>
      </c>
      <c r="B125" t="s">
        <v>1588</v>
      </c>
      <c r="C125" t="s">
        <v>1589</v>
      </c>
      <c r="D125" t="s">
        <v>1417</v>
      </c>
      <c r="E125" t="s">
        <v>1590</v>
      </c>
      <c r="F125" t="s">
        <v>1488</v>
      </c>
      <c r="G125" t="s">
        <v>1509</v>
      </c>
      <c r="H125" t="s">
        <v>1405</v>
      </c>
      <c r="I125" s="5">
        <v>1500000</v>
      </c>
      <c r="J125" t="s">
        <v>37</v>
      </c>
      <c r="K125" t="s">
        <v>37</v>
      </c>
      <c r="L125" t="s">
        <v>37</v>
      </c>
      <c r="M125" t="b">
        <v>0</v>
      </c>
      <c r="N125" t="s">
        <v>31</v>
      </c>
      <c r="O125" t="s">
        <v>1385</v>
      </c>
    </row>
    <row r="126" spans="1:15" x14ac:dyDescent="0.35">
      <c r="A126" t="s">
        <v>1591</v>
      </c>
      <c r="B126" t="s">
        <v>1592</v>
      </c>
      <c r="C126" t="s">
        <v>1593</v>
      </c>
      <c r="D126" t="s">
        <v>1409</v>
      </c>
      <c r="E126" t="s">
        <v>1404</v>
      </c>
      <c r="F126" t="s">
        <v>1488</v>
      </c>
      <c r="G126" t="s">
        <v>1509</v>
      </c>
      <c r="H126" t="s">
        <v>1405</v>
      </c>
      <c r="I126" s="5">
        <v>30100000</v>
      </c>
      <c r="J126" t="s">
        <v>37</v>
      </c>
      <c r="K126" t="s">
        <v>37</v>
      </c>
      <c r="L126" t="s">
        <v>37</v>
      </c>
      <c r="M126" t="b">
        <v>0</v>
      </c>
      <c r="N126" t="s">
        <v>31</v>
      </c>
      <c r="O126" t="s">
        <v>1385</v>
      </c>
    </row>
    <row r="127" spans="1:15" x14ac:dyDescent="0.35">
      <c r="A127" t="s">
        <v>1594</v>
      </c>
      <c r="B127" t="s">
        <v>1595</v>
      </c>
      <c r="C127" t="s">
        <v>1596</v>
      </c>
      <c r="D127" t="s">
        <v>331</v>
      </c>
      <c r="E127" t="s">
        <v>1549</v>
      </c>
      <c r="F127" t="s">
        <v>1488</v>
      </c>
      <c r="G127" t="s">
        <v>1489</v>
      </c>
      <c r="H127" t="s">
        <v>1400</v>
      </c>
      <c r="I127" s="5">
        <v>465000</v>
      </c>
      <c r="J127" t="s">
        <v>37</v>
      </c>
      <c r="K127" t="s">
        <v>37</v>
      </c>
      <c r="L127" t="s">
        <v>37</v>
      </c>
      <c r="M127" t="b">
        <v>0</v>
      </c>
      <c r="N127" t="s">
        <v>31</v>
      </c>
      <c r="O127" t="s">
        <v>1385</v>
      </c>
    </row>
    <row r="128" spans="1:15" x14ac:dyDescent="0.35">
      <c r="A128" t="s">
        <v>1594</v>
      </c>
      <c r="B128" t="s">
        <v>1595</v>
      </c>
      <c r="C128" t="s">
        <v>1596</v>
      </c>
      <c r="D128" t="s">
        <v>331</v>
      </c>
      <c r="E128" t="s">
        <v>1549</v>
      </c>
      <c r="F128" t="s">
        <v>1488</v>
      </c>
      <c r="G128" t="s">
        <v>1489</v>
      </c>
      <c r="H128" t="s">
        <v>1400</v>
      </c>
      <c r="I128" s="5">
        <v>600000</v>
      </c>
      <c r="J128" t="s">
        <v>37</v>
      </c>
      <c r="K128" t="s">
        <v>37</v>
      </c>
      <c r="L128" t="s">
        <v>37</v>
      </c>
      <c r="M128" t="b">
        <v>0</v>
      </c>
      <c r="N128" t="s">
        <v>31</v>
      </c>
      <c r="O128" t="s">
        <v>1385</v>
      </c>
    </row>
    <row r="129" spans="1:15" x14ac:dyDescent="0.35">
      <c r="A129" t="s">
        <v>1594</v>
      </c>
      <c r="B129" t="s">
        <v>1595</v>
      </c>
      <c r="C129" t="s">
        <v>1596</v>
      </c>
      <c r="D129" t="s">
        <v>331</v>
      </c>
      <c r="E129" t="s">
        <v>1549</v>
      </c>
      <c r="F129" t="s">
        <v>1488</v>
      </c>
      <c r="G129" t="s">
        <v>1489</v>
      </c>
      <c r="H129" t="s">
        <v>1400</v>
      </c>
      <c r="I129" s="5">
        <v>455000</v>
      </c>
      <c r="J129" t="s">
        <v>37</v>
      </c>
      <c r="K129" t="s">
        <v>37</v>
      </c>
      <c r="L129" t="s">
        <v>37</v>
      </c>
      <c r="M129" t="b">
        <v>0</v>
      </c>
      <c r="N129" t="s">
        <v>31</v>
      </c>
      <c r="O129" t="s">
        <v>1385</v>
      </c>
    </row>
    <row r="130" spans="1:15" x14ac:dyDescent="0.35">
      <c r="A130" t="s">
        <v>1597</v>
      </c>
      <c r="B130" t="s">
        <v>1598</v>
      </c>
      <c r="C130" t="s">
        <v>1599</v>
      </c>
      <c r="D130" t="s">
        <v>331</v>
      </c>
      <c r="E130" t="s">
        <v>1549</v>
      </c>
      <c r="F130" t="s">
        <v>1488</v>
      </c>
      <c r="G130" t="s">
        <v>1489</v>
      </c>
      <c r="H130" t="s">
        <v>1400</v>
      </c>
      <c r="I130" s="5">
        <v>2000000</v>
      </c>
      <c r="J130" t="s">
        <v>37</v>
      </c>
      <c r="K130" t="s">
        <v>37</v>
      </c>
      <c r="L130" t="s">
        <v>37</v>
      </c>
      <c r="M130" t="b">
        <v>0</v>
      </c>
      <c r="N130" t="s">
        <v>31</v>
      </c>
      <c r="O130" t="s">
        <v>1385</v>
      </c>
    </row>
    <row r="131" spans="1:15" x14ac:dyDescent="0.35">
      <c r="A131" t="s">
        <v>1597</v>
      </c>
      <c r="B131" t="s">
        <v>1598</v>
      </c>
      <c r="C131" t="s">
        <v>1599</v>
      </c>
      <c r="D131" t="s">
        <v>331</v>
      </c>
      <c r="E131" t="s">
        <v>1549</v>
      </c>
      <c r="F131" t="s">
        <v>1488</v>
      </c>
      <c r="G131" t="s">
        <v>1489</v>
      </c>
      <c r="H131" t="s">
        <v>1400</v>
      </c>
      <c r="I131" s="5">
        <v>2000000</v>
      </c>
      <c r="J131" t="s">
        <v>37</v>
      </c>
      <c r="K131" t="s">
        <v>37</v>
      </c>
      <c r="L131" t="s">
        <v>37</v>
      </c>
      <c r="M131" t="b">
        <v>0</v>
      </c>
      <c r="N131" t="s">
        <v>31</v>
      </c>
      <c r="O131" t="s">
        <v>1385</v>
      </c>
    </row>
    <row r="132" spans="1:15" x14ac:dyDescent="0.35">
      <c r="A132" t="s">
        <v>1597</v>
      </c>
      <c r="B132" t="s">
        <v>1598</v>
      </c>
      <c r="C132" t="s">
        <v>1599</v>
      </c>
      <c r="D132" t="s">
        <v>331</v>
      </c>
      <c r="E132" t="s">
        <v>1549</v>
      </c>
      <c r="F132" t="s">
        <v>1488</v>
      </c>
      <c r="G132" t="s">
        <v>1489</v>
      </c>
      <c r="H132" t="s">
        <v>1400</v>
      </c>
      <c r="I132" s="5">
        <v>2300000</v>
      </c>
      <c r="J132" t="s">
        <v>37</v>
      </c>
      <c r="K132" t="s">
        <v>37</v>
      </c>
      <c r="L132" t="s">
        <v>37</v>
      </c>
      <c r="M132" t="b">
        <v>0</v>
      </c>
      <c r="N132" t="s">
        <v>31</v>
      </c>
      <c r="O132" t="s">
        <v>1385</v>
      </c>
    </row>
    <row r="133" spans="1:15" x14ac:dyDescent="0.35">
      <c r="A133" t="s">
        <v>1597</v>
      </c>
      <c r="B133" t="s">
        <v>1598</v>
      </c>
      <c r="C133" t="s">
        <v>1599</v>
      </c>
      <c r="D133" t="s">
        <v>331</v>
      </c>
      <c r="E133" t="s">
        <v>1549</v>
      </c>
      <c r="F133" t="s">
        <v>1488</v>
      </c>
      <c r="G133" t="s">
        <v>1489</v>
      </c>
      <c r="H133" t="s">
        <v>1400</v>
      </c>
      <c r="I133" s="5">
        <v>1800000</v>
      </c>
      <c r="J133" t="s">
        <v>37</v>
      </c>
      <c r="K133" t="s">
        <v>37</v>
      </c>
      <c r="L133" t="s">
        <v>37</v>
      </c>
      <c r="M133" t="b">
        <v>0</v>
      </c>
      <c r="N133" t="s">
        <v>31</v>
      </c>
      <c r="O133" t="s">
        <v>1385</v>
      </c>
    </row>
    <row r="134" spans="1:15" x14ac:dyDescent="0.35">
      <c r="A134" t="s">
        <v>1597</v>
      </c>
      <c r="B134" t="s">
        <v>1598</v>
      </c>
      <c r="C134" t="s">
        <v>1599</v>
      </c>
      <c r="D134" t="s">
        <v>331</v>
      </c>
      <c r="E134" t="s">
        <v>1549</v>
      </c>
      <c r="F134" t="s">
        <v>1488</v>
      </c>
      <c r="G134" t="s">
        <v>1489</v>
      </c>
      <c r="H134" t="s">
        <v>1400</v>
      </c>
      <c r="I134" s="5">
        <v>1700000</v>
      </c>
      <c r="J134" t="s">
        <v>37</v>
      </c>
      <c r="K134" t="s">
        <v>37</v>
      </c>
      <c r="L134" t="s">
        <v>37</v>
      </c>
      <c r="M134" t="b">
        <v>0</v>
      </c>
      <c r="N134" t="s">
        <v>31</v>
      </c>
      <c r="O134" t="s">
        <v>1385</v>
      </c>
    </row>
    <row r="135" spans="1:15" x14ac:dyDescent="0.35">
      <c r="A135" t="s">
        <v>1600</v>
      </c>
      <c r="B135" t="s">
        <v>1601</v>
      </c>
      <c r="C135" t="s">
        <v>1602</v>
      </c>
      <c r="D135" t="s">
        <v>331</v>
      </c>
      <c r="E135" t="s">
        <v>1603</v>
      </c>
      <c r="F135" t="s">
        <v>1488</v>
      </c>
      <c r="G135" t="s">
        <v>1489</v>
      </c>
      <c r="H135" t="s">
        <v>1400</v>
      </c>
      <c r="I135" s="5">
        <v>1390000</v>
      </c>
      <c r="J135" t="s">
        <v>37</v>
      </c>
      <c r="K135" t="s">
        <v>37</v>
      </c>
      <c r="L135" t="s">
        <v>37</v>
      </c>
      <c r="M135" t="b">
        <v>0</v>
      </c>
      <c r="N135" t="s">
        <v>31</v>
      </c>
      <c r="O135" t="s">
        <v>1385</v>
      </c>
    </row>
    <row r="136" spans="1:15" x14ac:dyDescent="0.35">
      <c r="A136" t="s">
        <v>1604</v>
      </c>
      <c r="B136" t="s">
        <v>1605</v>
      </c>
      <c r="C136" t="s">
        <v>1606</v>
      </c>
      <c r="D136" t="s">
        <v>331</v>
      </c>
      <c r="E136" t="s">
        <v>1603</v>
      </c>
      <c r="F136" t="s">
        <v>1488</v>
      </c>
      <c r="G136" t="s">
        <v>1489</v>
      </c>
      <c r="H136" t="s">
        <v>1400</v>
      </c>
      <c r="I136" s="5">
        <v>1000000</v>
      </c>
      <c r="J136" t="s">
        <v>37</v>
      </c>
      <c r="K136" t="s">
        <v>37</v>
      </c>
      <c r="L136" t="s">
        <v>37</v>
      </c>
      <c r="M136" t="b">
        <v>0</v>
      </c>
      <c r="N136" t="s">
        <v>31</v>
      </c>
      <c r="O136" t="s">
        <v>1385</v>
      </c>
    </row>
    <row r="137" spans="1:15" x14ac:dyDescent="0.35">
      <c r="A137" t="s">
        <v>1604</v>
      </c>
      <c r="B137" t="s">
        <v>1605</v>
      </c>
      <c r="C137" t="s">
        <v>1606</v>
      </c>
      <c r="D137" t="s">
        <v>331</v>
      </c>
      <c r="E137" t="s">
        <v>1603</v>
      </c>
      <c r="F137" t="s">
        <v>1488</v>
      </c>
      <c r="G137" t="s">
        <v>1489</v>
      </c>
      <c r="H137" t="s">
        <v>1400</v>
      </c>
      <c r="I137" s="5">
        <v>200000</v>
      </c>
      <c r="J137" t="s">
        <v>37</v>
      </c>
      <c r="K137" t="s">
        <v>37</v>
      </c>
      <c r="L137" t="s">
        <v>37</v>
      </c>
      <c r="M137" t="b">
        <v>0</v>
      </c>
      <c r="N137" t="s">
        <v>31</v>
      </c>
      <c r="O137" t="s">
        <v>1385</v>
      </c>
    </row>
    <row r="138" spans="1:15" x14ac:dyDescent="0.35">
      <c r="A138" t="s">
        <v>1607</v>
      </c>
      <c r="B138" t="s">
        <v>1608</v>
      </c>
      <c r="C138" t="s">
        <v>1609</v>
      </c>
      <c r="D138" t="s">
        <v>331</v>
      </c>
      <c r="E138" t="s">
        <v>1610</v>
      </c>
      <c r="F138" t="s">
        <v>1488</v>
      </c>
      <c r="G138" t="s">
        <v>1489</v>
      </c>
      <c r="H138" t="s">
        <v>1400</v>
      </c>
      <c r="I138" s="5">
        <v>750000</v>
      </c>
      <c r="J138" t="s">
        <v>37</v>
      </c>
      <c r="K138" t="s">
        <v>37</v>
      </c>
      <c r="L138" t="s">
        <v>37</v>
      </c>
      <c r="M138" t="b">
        <v>0</v>
      </c>
      <c r="N138" t="s">
        <v>31</v>
      </c>
      <c r="O138" t="s">
        <v>1385</v>
      </c>
    </row>
    <row r="139" spans="1:15" x14ac:dyDescent="0.35">
      <c r="A139" t="s">
        <v>1607</v>
      </c>
      <c r="B139" t="s">
        <v>1608</v>
      </c>
      <c r="C139" t="s">
        <v>1609</v>
      </c>
      <c r="D139" t="s">
        <v>331</v>
      </c>
      <c r="E139" t="s">
        <v>1610</v>
      </c>
      <c r="F139" t="s">
        <v>1488</v>
      </c>
      <c r="G139" t="s">
        <v>1489</v>
      </c>
      <c r="H139" t="s">
        <v>1400</v>
      </c>
      <c r="I139" s="5">
        <v>2415000</v>
      </c>
      <c r="J139" t="s">
        <v>37</v>
      </c>
      <c r="K139" t="s">
        <v>37</v>
      </c>
      <c r="L139" t="s">
        <v>37</v>
      </c>
      <c r="M139" t="b">
        <v>0</v>
      </c>
      <c r="N139" t="s">
        <v>31</v>
      </c>
      <c r="O139" t="s">
        <v>1385</v>
      </c>
    </row>
    <row r="140" spans="1:15" x14ac:dyDescent="0.35">
      <c r="A140" t="s">
        <v>1607</v>
      </c>
      <c r="B140" t="s">
        <v>1608</v>
      </c>
      <c r="C140" t="s">
        <v>1609</v>
      </c>
      <c r="D140" t="s">
        <v>331</v>
      </c>
      <c r="E140" t="s">
        <v>1610</v>
      </c>
      <c r="F140" t="s">
        <v>1488</v>
      </c>
      <c r="G140" t="s">
        <v>1489</v>
      </c>
      <c r="H140" t="s">
        <v>1400</v>
      </c>
      <c r="I140" s="5">
        <v>2300000</v>
      </c>
      <c r="J140" t="s">
        <v>37</v>
      </c>
      <c r="K140" t="s">
        <v>37</v>
      </c>
      <c r="L140" t="s">
        <v>37</v>
      </c>
      <c r="M140" t="b">
        <v>0</v>
      </c>
      <c r="N140" t="s">
        <v>31</v>
      </c>
      <c r="O140" t="s">
        <v>1385</v>
      </c>
    </row>
    <row r="141" spans="1:15" x14ac:dyDescent="0.35">
      <c r="A141" t="s">
        <v>1607</v>
      </c>
      <c r="B141" t="s">
        <v>1608</v>
      </c>
      <c r="C141" t="s">
        <v>1609</v>
      </c>
      <c r="D141" t="s">
        <v>331</v>
      </c>
      <c r="E141" t="s">
        <v>1610</v>
      </c>
      <c r="F141" t="s">
        <v>1488</v>
      </c>
      <c r="G141" t="s">
        <v>1489</v>
      </c>
      <c r="H141" t="s">
        <v>1400</v>
      </c>
      <c r="I141" s="5">
        <v>400000</v>
      </c>
      <c r="J141" t="s">
        <v>37</v>
      </c>
      <c r="K141" t="s">
        <v>37</v>
      </c>
      <c r="L141" t="s">
        <v>37</v>
      </c>
      <c r="M141" t="b">
        <v>0</v>
      </c>
      <c r="N141" t="s">
        <v>31</v>
      </c>
      <c r="O141" t="s">
        <v>1385</v>
      </c>
    </row>
    <row r="142" spans="1:15" x14ac:dyDescent="0.35">
      <c r="A142" t="s">
        <v>1611</v>
      </c>
      <c r="B142" t="s">
        <v>1612</v>
      </c>
      <c r="C142" t="s">
        <v>1613</v>
      </c>
      <c r="D142" t="s">
        <v>1171</v>
      </c>
      <c r="E142" t="s">
        <v>1614</v>
      </c>
      <c r="F142" t="s">
        <v>1488</v>
      </c>
      <c r="G142" t="s">
        <v>1509</v>
      </c>
      <c r="H142" t="s">
        <v>1405</v>
      </c>
      <c r="I142" s="5">
        <v>500000</v>
      </c>
      <c r="J142" t="s">
        <v>37</v>
      </c>
      <c r="K142" t="s">
        <v>37</v>
      </c>
      <c r="L142" t="s">
        <v>40</v>
      </c>
      <c r="M142" t="b">
        <v>1</v>
      </c>
      <c r="N142" t="s">
        <v>31</v>
      </c>
      <c r="O142" t="s">
        <v>1385</v>
      </c>
    </row>
    <row r="143" spans="1:15" x14ac:dyDescent="0.35">
      <c r="A143" t="s">
        <v>1615</v>
      </c>
      <c r="B143" t="s">
        <v>1616</v>
      </c>
      <c r="C143" t="s">
        <v>1617</v>
      </c>
      <c r="D143" t="s">
        <v>1459</v>
      </c>
      <c r="E143" t="s">
        <v>1534</v>
      </c>
      <c r="F143" t="s">
        <v>1488</v>
      </c>
      <c r="G143" t="s">
        <v>1489</v>
      </c>
      <c r="H143" t="s">
        <v>1400</v>
      </c>
      <c r="I143" s="5">
        <v>3485000</v>
      </c>
      <c r="J143" t="s">
        <v>37</v>
      </c>
      <c r="K143" t="s">
        <v>37</v>
      </c>
      <c r="L143" t="s">
        <v>37</v>
      </c>
      <c r="M143" t="b">
        <v>0</v>
      </c>
      <c r="N143" t="s">
        <v>31</v>
      </c>
      <c r="O143" t="s">
        <v>1385</v>
      </c>
    </row>
    <row r="144" spans="1:15" x14ac:dyDescent="0.35">
      <c r="A144" t="s">
        <v>1615</v>
      </c>
      <c r="B144" t="s">
        <v>1616</v>
      </c>
      <c r="C144" t="s">
        <v>1617</v>
      </c>
      <c r="D144" t="s">
        <v>1459</v>
      </c>
      <c r="E144" t="s">
        <v>1534</v>
      </c>
      <c r="F144" t="s">
        <v>1488</v>
      </c>
      <c r="G144" t="s">
        <v>1489</v>
      </c>
      <c r="H144" t="s">
        <v>1400</v>
      </c>
      <c r="I144" s="5">
        <v>3200000</v>
      </c>
      <c r="J144" t="s">
        <v>37</v>
      </c>
      <c r="K144" t="s">
        <v>37</v>
      </c>
      <c r="L144" t="s">
        <v>37</v>
      </c>
      <c r="M144" t="b">
        <v>0</v>
      </c>
      <c r="N144" t="s">
        <v>31</v>
      </c>
      <c r="O144" t="s">
        <v>1385</v>
      </c>
    </row>
    <row r="145" spans="1:15" x14ac:dyDescent="0.35">
      <c r="A145" t="s">
        <v>1618</v>
      </c>
      <c r="B145" t="s">
        <v>1619</v>
      </c>
      <c r="C145" t="s">
        <v>1620</v>
      </c>
      <c r="D145" t="s">
        <v>1459</v>
      </c>
      <c r="E145" t="s">
        <v>1534</v>
      </c>
      <c r="F145" t="s">
        <v>1488</v>
      </c>
      <c r="G145" t="s">
        <v>1489</v>
      </c>
      <c r="H145" t="s">
        <v>1400</v>
      </c>
      <c r="I145" s="5">
        <v>1380000</v>
      </c>
      <c r="J145" t="s">
        <v>37</v>
      </c>
      <c r="K145" t="s">
        <v>37</v>
      </c>
      <c r="L145" t="s">
        <v>37</v>
      </c>
      <c r="M145" t="b">
        <v>0</v>
      </c>
      <c r="N145" t="s">
        <v>31</v>
      </c>
      <c r="O145" t="s">
        <v>1385</v>
      </c>
    </row>
    <row r="146" spans="1:15" x14ac:dyDescent="0.35">
      <c r="A146" t="s">
        <v>1621</v>
      </c>
      <c r="B146" t="s">
        <v>1622</v>
      </c>
      <c r="C146" t="s">
        <v>1623</v>
      </c>
      <c r="D146" t="s">
        <v>1459</v>
      </c>
      <c r="E146" t="s">
        <v>1534</v>
      </c>
      <c r="F146" t="s">
        <v>1488</v>
      </c>
      <c r="G146" t="s">
        <v>1489</v>
      </c>
      <c r="H146" t="s">
        <v>1400</v>
      </c>
      <c r="I146" s="5">
        <v>1620000</v>
      </c>
      <c r="J146" t="s">
        <v>37</v>
      </c>
      <c r="K146" t="s">
        <v>37</v>
      </c>
      <c r="L146" t="s">
        <v>37</v>
      </c>
      <c r="M146" t="b">
        <v>0</v>
      </c>
      <c r="N146" t="s">
        <v>31</v>
      </c>
      <c r="O146" t="s">
        <v>1385</v>
      </c>
    </row>
    <row r="147" spans="1:15" x14ac:dyDescent="0.35">
      <c r="A147" t="s">
        <v>1621</v>
      </c>
      <c r="B147" t="s">
        <v>1622</v>
      </c>
      <c r="C147" t="s">
        <v>1623</v>
      </c>
      <c r="D147" t="s">
        <v>1459</v>
      </c>
      <c r="E147" t="s">
        <v>1534</v>
      </c>
      <c r="F147" t="s">
        <v>1488</v>
      </c>
      <c r="G147" t="s">
        <v>1489</v>
      </c>
      <c r="H147" t="s">
        <v>1400</v>
      </c>
      <c r="I147" s="5">
        <v>1000000</v>
      </c>
      <c r="J147" t="s">
        <v>37</v>
      </c>
      <c r="K147" t="s">
        <v>37</v>
      </c>
      <c r="L147" t="s">
        <v>37</v>
      </c>
      <c r="M147" t="b">
        <v>0</v>
      </c>
      <c r="N147" t="s">
        <v>31</v>
      </c>
      <c r="O147" t="s">
        <v>1385</v>
      </c>
    </row>
    <row r="148" spans="1:15" x14ac:dyDescent="0.35">
      <c r="A148" t="s">
        <v>1624</v>
      </c>
      <c r="B148" t="s">
        <v>1625</v>
      </c>
      <c r="C148" t="s">
        <v>1626</v>
      </c>
      <c r="D148" t="s">
        <v>1459</v>
      </c>
      <c r="E148" t="s">
        <v>1534</v>
      </c>
      <c r="F148" t="s">
        <v>1488</v>
      </c>
      <c r="G148" t="s">
        <v>1489</v>
      </c>
      <c r="H148" t="s">
        <v>1400</v>
      </c>
      <c r="I148" s="5">
        <v>1540000</v>
      </c>
      <c r="J148" t="s">
        <v>37</v>
      </c>
      <c r="K148" t="s">
        <v>37</v>
      </c>
      <c r="L148" t="s">
        <v>37</v>
      </c>
      <c r="M148" t="b">
        <v>0</v>
      </c>
      <c r="N148" t="s">
        <v>31</v>
      </c>
      <c r="O148" t="s">
        <v>1385</v>
      </c>
    </row>
    <row r="149" spans="1:15" x14ac:dyDescent="0.35">
      <c r="A149" t="s">
        <v>1624</v>
      </c>
      <c r="B149" t="s">
        <v>1625</v>
      </c>
      <c r="C149" t="s">
        <v>1626</v>
      </c>
      <c r="D149" t="s">
        <v>1459</v>
      </c>
      <c r="E149" t="s">
        <v>1534</v>
      </c>
      <c r="F149" t="s">
        <v>1488</v>
      </c>
      <c r="G149" t="s">
        <v>1489</v>
      </c>
      <c r="H149" t="s">
        <v>1400</v>
      </c>
      <c r="I149" s="5">
        <v>420000</v>
      </c>
      <c r="J149" t="s">
        <v>37</v>
      </c>
      <c r="K149" t="s">
        <v>37</v>
      </c>
      <c r="L149" t="s">
        <v>37</v>
      </c>
      <c r="M149" t="b">
        <v>0</v>
      </c>
      <c r="N149" t="s">
        <v>31</v>
      </c>
      <c r="O149" t="s">
        <v>1385</v>
      </c>
    </row>
    <row r="150" spans="1:15" x14ac:dyDescent="0.35">
      <c r="A150" t="s">
        <v>1627</v>
      </c>
      <c r="B150" t="s">
        <v>1628</v>
      </c>
      <c r="C150" t="s">
        <v>1629</v>
      </c>
      <c r="D150" t="s">
        <v>1459</v>
      </c>
      <c r="E150" t="s">
        <v>1534</v>
      </c>
      <c r="F150" t="s">
        <v>1488</v>
      </c>
      <c r="G150" t="s">
        <v>1489</v>
      </c>
      <c r="H150" t="s">
        <v>1400</v>
      </c>
      <c r="I150" s="5">
        <v>425000</v>
      </c>
      <c r="J150" t="s">
        <v>37</v>
      </c>
      <c r="K150" t="s">
        <v>37</v>
      </c>
      <c r="L150" t="s">
        <v>37</v>
      </c>
      <c r="M150" t="b">
        <v>0</v>
      </c>
      <c r="N150" t="s">
        <v>31</v>
      </c>
      <c r="O150" t="s">
        <v>1385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Exploded_Detail_Relevant</vt:lpstr>
      <vt:lpstr>Summary_Type_Municipality</vt:lpstr>
      <vt:lpstr>By_Municipality</vt:lpstr>
      <vt:lpstr>By_Type</vt:lpstr>
      <vt:lpstr>FHWA_Obligations_Detail</vt:lpstr>
      <vt:lpstr>AC_Authorizations_Detail</vt:lpstr>
      <vt:lpstr>FTA_Obligations_Detail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Smith</cp:lastModifiedBy>
  <dcterms:created xsi:type="dcterms:W3CDTF">2026-09-25T08:05:18Z</dcterms:created>
  <dcterms:modified xsi:type="dcterms:W3CDTF">2026-09-25T13:04:05Z</dcterms:modified>
</cp:coreProperties>
</file>