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xploded_Detail_Relevant" sheetId="2" state="visible" r:id="rId2"/>
    <sheet name="Summary_Type_Municipality" sheetId="3" state="visible" r:id="rId3"/>
    <sheet name="By_Municipality" sheetId="4" state="visible" r:id="rId4"/>
    <sheet name="By_Type" sheetId="5" state="visible" r:id="rId5"/>
    <sheet name="FHWA_Obligations_Detail" sheetId="6" state="visible" r:id="rId6"/>
    <sheet name="AC_Authorizations_Detail" sheetId="7" state="visible" r:id="rId7"/>
    <sheet name="FTA_Obligations_Detail" sheetId="8" state="visible" r:id="rId8"/>
  </sheets>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sz val="14"/>
    </font>
    <font>
      <sz val="11"/>
    </font>
    <font>
      <b val="1"/>
      <sz val="12"/>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xplodedDetail" displayName="ExplodedDetail" ref="A1:J491" headerRowCount="1">
  <autoFilter ref="A1:J491"/>
  <tableColumns count="10">
    <tableColumn id="1" name="Fiscal Year"/>
    <tableColumn id="2" name="Table"/>
    <tableColumn id="3" name="TIP ID"/>
    <tableColumn id="4" name="Project Title"/>
    <tableColumn id="5" name="Project Type"/>
    <tableColumn id="6" name="Municipality"/>
    <tableColumn id="7" name="Amount"/>
    <tableColumn id="8" name="Includes Bike/Ped Elements"/>
    <tableColumn id="9" name="Includes ADA Elements"/>
    <tableColumn id="10" name="Includes Safety Elements"/>
  </tableColumns>
  <tableStyleInfo name="TableStyleMedium2" showFirstColumn="0" showRowStripes="1"/>
</table>
</file>

<file path=xl/tables/table2.xml><?xml version="1.0" encoding="utf-8"?>
<table xmlns="http://schemas.openxmlformats.org/spreadsheetml/2006/main" id="2" name="SummaryTypeMuni" displayName="SummaryTypeMuni" ref="A1:F259" headerRowCount="1">
  <autoFilter ref="A1:F259"/>
  <tableColumns count="6">
    <tableColumn id="1" name="Fiscal Year"/>
    <tableColumn id="2" name="Table"/>
    <tableColumn id="3" name="Project Type"/>
    <tableColumn id="4" name="Municipality"/>
    <tableColumn id="5" name="Obligated_Amount_Sum"/>
    <tableColumn id="6" name="Project_Count"/>
  </tableColumns>
  <tableStyleInfo name="TableStyleMedium2" showFirstColumn="0" showRowStripes="1"/>
</table>
</file>

<file path=xl/tables/table3.xml><?xml version="1.0" encoding="utf-8"?>
<table xmlns="http://schemas.openxmlformats.org/spreadsheetml/2006/main" id="3" name="ByMuni" displayName="ByMuni" ref="A1:D99" headerRowCount="1">
  <autoFilter ref="A1:D99"/>
  <tableColumns count="4">
    <tableColumn id="1" name="Fiscal Year"/>
    <tableColumn id="2" name="Municipality"/>
    <tableColumn id="3" name="Obligated_Amount_Sum"/>
    <tableColumn id="4" name="Project_Count"/>
  </tableColumns>
  <tableStyleInfo name="TableStyleMedium2" showFirstColumn="0" showRowStripes="1"/>
</table>
</file>

<file path=xl/tables/table4.xml><?xml version="1.0" encoding="utf-8"?>
<table xmlns="http://schemas.openxmlformats.org/spreadsheetml/2006/main" id="4" name="ByType" displayName="ByType" ref="A1:E33" headerRowCount="1">
  <autoFilter ref="A1:E33"/>
  <tableColumns count="5">
    <tableColumn id="1" name="Fiscal Year"/>
    <tableColumn id="2" name="Table"/>
    <tableColumn id="3" name="Project Type"/>
    <tableColumn id="4" name="Obligated_Amount_Sum"/>
    <tableColumn id="5" name="Project_Count"/>
  </tableColumns>
  <tableStyleInfo name="TableStyleMedium2" showFirstColumn="0" showRowStripes="1"/>
</table>
</file>

<file path=xl/tables/table5.xml><?xml version="1.0" encoding="utf-8"?>
<table xmlns="http://schemas.openxmlformats.org/spreadsheetml/2006/main" id="5" name="FHWADetail" displayName="FHWADetail" ref="A1:R189" headerRowCount="1">
  <autoFilter ref="A1:R189"/>
  <tableColumns count="18">
    <tableColumn id="1" name="TIP ID"/>
    <tableColumn id="2" name="Project Title"/>
    <tableColumn id="3" name="Project Description"/>
    <tableColumn id="4" name="Project Type"/>
    <tableColumn id="5" name="Project Scope (Work Types)"/>
    <tableColumn id="6" name="Programming Agency"/>
    <tableColumn id="7" name="Location: County"/>
    <tableColumn id="8" name="Location: Municipality"/>
    <tableColumn id="9" name="Federal Project"/>
    <tableColumn id="10" name="State Job"/>
    <tableColumn id="11" name="Federal Program Code"/>
    <tableColumn id="12" name="Obligated Amount ($)"/>
    <tableColumn id="13" name="Includes Bike/Ped Elements"/>
    <tableColumn id="14" name="Includes ADA Elements"/>
    <tableColumn id="15" name="Includes Safety Elements"/>
    <tableColumn id="16" name="Street Design Relevant"/>
    <tableColumn id="17" name="Fiscal Year"/>
    <tableColumn id="18" name="Table"/>
  </tableColumns>
  <tableStyleInfo name="TableStyleMedium2" showFirstColumn="0" showRowStripes="1"/>
</table>
</file>

<file path=xl/tables/table6.xml><?xml version="1.0" encoding="utf-8"?>
<table xmlns="http://schemas.openxmlformats.org/spreadsheetml/2006/main" id="6" name="ACDetail" displayName="ACDetail" ref="A1:Q121" headerRowCount="1">
  <autoFilter ref="A1:Q121"/>
  <tableColumns count="17">
    <tableColumn id="1" name="TIP ID"/>
    <tableColumn id="2" name="Project Title"/>
    <tableColumn id="3" name="Project Description"/>
    <tableColumn id="4" name="Project Type"/>
    <tableColumn id="5" name="Project Scope (Work Types)"/>
    <tableColumn id="6" name="Programming Agency"/>
    <tableColumn id="7" name="Location: County"/>
    <tableColumn id="8" name="Location: Municipality"/>
    <tableColumn id="9" name="Federal Project(s)"/>
    <tableColumn id="10" name="Programmed Fund Source(s)"/>
    <tableColumn id="11" name="AC Authorization Amount ($)"/>
    <tableColumn id="12" name="Includes Bike/Ped Elements"/>
    <tableColumn id="13" name="Includes ADA Elements"/>
    <tableColumn id="14" name="Includes Safety Elements"/>
    <tableColumn id="15" name="Street Design Relevant"/>
    <tableColumn id="16" name="Fiscal Year"/>
    <tableColumn id="17" name="Table"/>
  </tableColumns>
  <tableStyleInfo name="TableStyleMedium2" showFirstColumn="0" showRowStripes="1"/>
</table>
</file>

<file path=xl/tables/table7.xml><?xml version="1.0" encoding="utf-8"?>
<table xmlns="http://schemas.openxmlformats.org/spreadsheetml/2006/main" id="7" name="FTADetail" displayName="FTADetail" ref="A1:O150" headerRowCount="1">
  <autoFilter ref="A1:O150"/>
  <tableColumns count="15">
    <tableColumn id="1" name="TIP ID"/>
    <tableColumn id="2" name="Project Title"/>
    <tableColumn id="3" name="Project Description"/>
    <tableColumn id="4" name="Project Type"/>
    <tableColumn id="5" name="Project Scope (Work Types)"/>
    <tableColumn id="6" name="Programming Agency"/>
    <tableColumn id="7" name="FTA Project #"/>
    <tableColumn id="8" name="Federal Fund"/>
    <tableColumn id="9" name="Obligated Amount ($)"/>
    <tableColumn id="10" name="Includes Bike/Ped Elements"/>
    <tableColumn id="11" name="Includes ADA Elements"/>
    <tableColumn id="12" name="Includes Safety Elements"/>
    <tableColumn id="13" name="Street Design Relevant"/>
    <tableColumn id="14" name="Fiscal Year"/>
    <tableColumn id="15" name="Table"/>
  </tableColumns>
  <tableStyleInfo name="TableStyleMedium2" showFir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ht="16" customHeight="1">
      <c r="A1" s="1" t="inlineStr">
        <is>
          <t>Cook County Transportation Obligations — FFY2025</t>
        </is>
      </c>
    </row>
    <row r="2" ht="16" customHeight="1">
      <c r="A2" s="2" t="inlineStr"/>
    </row>
    <row r="3" ht="16" customHeight="1">
      <c r="A3" s="3" t="inlineStr">
        <is>
          <t>Source</t>
        </is>
      </c>
    </row>
    <row r="4" ht="30" customHeight="1">
      <c r="A4" s="2" t="inlineStr">
        <is>
          <t>CMAP FFY 2025 Annual Obligation Report (Northeastern Illinois / CMAP region), https://cmap.illinois.gov/wp-content/uploads/FFY2025_Obligations_NE_Illinois_Report.pdf</t>
        </is>
      </c>
    </row>
    <row r="5" ht="30" customHeight="1">
      <c r="A5" s="2" t="inlineStr">
        <is>
          <t>Covers federal fiscal year October 1, 2024 - September 30, 2025. As of this workbook's creation, this is the only obligations report processed; add future years' reports by appending rows to the Exploded_Detail_Relevant and *_Detail tabs (a Fiscal Year column is already present on every tab for that purpose), then extend each summary tab's SUMIFS/COUNTIFS ranges and add new key rows for any new Fiscal Year x Table x Type x Municipality combinations.</t>
        </is>
      </c>
    </row>
    <row r="6" ht="16" customHeight="1">
      <c r="A6" s="2" t="inlineStr"/>
    </row>
    <row r="7" ht="16" customHeight="1">
      <c r="A7" s="3" t="inlineStr">
        <is>
          <t>Purpose</t>
        </is>
      </c>
    </row>
    <row r="8" ht="30" customHeight="1">
      <c r="A8" s="2" t="inlineStr">
        <is>
          <t>Built to support Cook County pedestrian-crash research (crosswalk-distances-cc project): a dataset of street/roadway capital investment "facilities" (signal, intersection, roadway, bike/ped, safety, and bridge projects) by Cook County municipality and project type, as a candidate explanatory factor for pedestrian-motor vehicle crash distributions.</t>
        </is>
      </c>
    </row>
    <row r="9" ht="16" customHeight="1">
      <c r="A9" s="2" t="inlineStr"/>
    </row>
    <row r="10" ht="16" customHeight="1">
      <c r="A10" s="3" t="inlineStr">
        <is>
          <t>Tabs</t>
        </is>
      </c>
    </row>
    <row r="11" ht="30" customHeight="1">
      <c r="A11" s="2" t="inlineStr">
        <is>
          <t>Summary_Type_Municipality — Fiscal Year x Table x Project Type x Municipality, STREET-DESIGN-RELEVANT projects only, Cook County only. SUMIFS/COUNTIFS formulas over Exploded_Detail_Relevant.</t>
        </is>
      </c>
    </row>
    <row r="12" ht="30" customHeight="1">
      <c r="A12" s="2" t="inlineStr">
        <is>
          <t>By_Municipality — same filter, rolled up to Fiscal Year x Municipality only. Formulas over Exploded_Detail_Relevant.</t>
        </is>
      </c>
    </row>
    <row r="13" ht="30" customHeight="1">
      <c r="A13" s="2" t="inlineStr">
        <is>
          <t>By_Type — same filter, rolled up to Fiscal Year x Table x Project Type only. Formulas over Exploded_Detail_Relevant.</t>
        </is>
      </c>
    </row>
    <row r="14" ht="30" customHeight="1">
      <c r="A14" s="2" t="inlineStr">
        <is>
          <t>Exploded_Detail_Relevant — one row per (project-phase record x municipality), for STREET-DESIGN-RELEVANT, Cook-County projects only. This is the source data every summary-tab formula reads from; edit or extend it (and the three summary tabs' ranges) rather than editing summary totals directly.</t>
        </is>
      </c>
    </row>
    <row r="15" ht="30" customHeight="1">
      <c r="A15" s="2" t="inlineStr">
        <is>
          <t>FHWA_Obligations_Detail — every FHWA obligation record touching Cook County (unfiltered by relevance), one row per project-phase as reported in the source PDF (NOT exploded by municipality).</t>
        </is>
      </c>
    </row>
    <row r="16" ht="30" customHeight="1">
      <c r="A16" s="2" t="inlineStr">
        <is>
          <t>AC_Authorizations_Detail — every FFY2025 Advance Construction authorization touching Cook County (unfiltered by relevance). AC authorizations are a distinct funding mechanism from FHWA obligations (see "AC vs. Obligations" below) -- do not sum together with FHWA_Obligations_Detail.</t>
        </is>
      </c>
    </row>
    <row r="17" ht="30" customHeight="1">
      <c r="A17" s="2" t="inlineStr">
        <is>
          <t>FTA_Obligations_Detail — every FTA (transit) obligation in the report. The source PDF does not include a county/municipality field for FTA records, so these could not be filtered to or attributed to Cook County municipalities; included for reference/completeness only, excluded from Exploded_Detail_Relevant and all summary tabs.</t>
        </is>
      </c>
    </row>
    <row r="18" ht="16" customHeight="1">
      <c r="A18" s="2" t="inlineStr"/>
    </row>
    <row r="19" ht="16" customHeight="1">
      <c r="A19" s="3" t="inlineStr">
        <is>
          <t>Methodology / caveats</t>
        </is>
      </c>
    </row>
    <row r="20" ht="30" customHeight="1">
      <c r="A20" s="2" t="inlineStr">
        <is>
          <t>Street Design Relevant flag (computed once, in Python, when Exploded_Detail_Relevant/the *_Detail tabs' "Street Design Relevant" column were built): TRUE if Project Type is one of Road Maintenance, Bridge Repair/Rehab/Replace, Road Modernization, Road Expansion, Bicycle &amp; Pedestrian, Intersection/Interchange Improvements, Bridge Routine Maintenance, Signal Systems, Rail-Highway Grade Separation, Safety, Safe Routes to Schools, Road Signals &amp; Signs, New/Expanded Interchange, Systems Improvements, or Intelligent Transportation Systems; OR the source report itself flags "Includes Bike/Ped Elements", "Includes ADA Elements", or "Includes Safety Elements" as Yes. Excluded as not-core: Emissions Reduction, Transit Station/Stop Improvements, Freight Movement, Transportation Enhancements, Guideway Improvements (unless separately flagged Bike/Ped, ADA, or Safety). This is a judgment call, not an authoritative classification -- the *_Detail tabs keep the flag as a column on every row (relevant or not), so it can be redefined and Exploded_Detail_Relevant rebuilt from there.</t>
        </is>
      </c>
    </row>
    <row r="21" ht="30" customHeight="1">
      <c r="A21" s="2" t="inlineStr">
        <is>
          <t>Cook County filter: kept if "Cook" appears anywhere in the source's Location: County field (a project can list multiple counties for a multi-jurisdiction corridor).</t>
        </is>
      </c>
    </row>
    <row r="22" ht="30" customHeight="1">
      <c r="A22" s="2" t="inlineStr">
        <is>
          <t>Municipality parsing: the source's Location: Municipality field is a comma-separated list (a project can touch multiple municipalities); Exploded_Detail_Relevant explodes this into one row per municipality per project. For a multi-municipality project, the FULL obligated amount is attributed to EACH listed municipality (the source doesn't provide a per-municipality split) -- so every summary tab's dollar totals double-count these projects. Project_Count in the summary tabs is a row (line-item) count, not a distinct-project count, for the same reason -- a project spanning 3 municipalities contributes 3 to the combined Project_Count total.</t>
        </is>
      </c>
    </row>
    <row r="23" ht="30" customHeight="1">
      <c r="A23" s="2" t="inlineStr">
        <is>
          <t>Municipality validation: each exploded municipality name is checked against this project's own Cook County municipality list (data/boundaries/cc_municipalities.shp) to drop municipalities in a multi-county project's OTHER county (e.g., a corridor also listing Naperville or Waukegan). This is a simple name-list match; it does not correctly split municipalities that themselves straddle the Cook County line (e.g., Buffalo Grove, Oak Brook) -- those are dropped entirely from the Cook County figures here. "Countywide" and "Unincorporated" are kept as their own municipality-like buckets.</t>
        </is>
      </c>
    </row>
    <row r="24" ht="30" customHeight="1">
      <c r="A24" s="2" t="inlineStr">
        <is>
          <t>AC vs. Obligations: per the source report, "AC authorizations that were converted to obligations are included in the FFY 2025 FHWA Obligations section" -- so a project can legitimately appear in both the FHWA_Obligations_Detail and AC_Authorizations_Detail tabs (and both rows in Exploded_Detail_Relevant) without double-counting, AS LONG AS the two amount columns are not summed together across Table types for the same project.</t>
        </is>
      </c>
    </row>
    <row r="25" ht="30" customHeight="1">
      <c r="A25" s="2" t="inlineStr">
        <is>
          <t>Amounts are as obligated/authorized in FFY2025 for a specific project phase (e.g., design, ROW, construction) -- not necessarily a project's total cost, and a single project can have multiple obligation line items (visible as repeated TIP IDs in the detail tabs).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1"/>
  <sheetViews>
    <sheetView workbookViewId="0">
      <pane ySplit="1" topLeftCell="A2" activePane="bottomLeft" state="frozen"/>
      <selection pane="bottomLeft" activeCell="A1" sqref="A1"/>
    </sheetView>
  </sheetViews>
  <sheetFormatPr baseColWidth="8" defaultRowHeight="15"/>
  <cols>
    <col width="13" customWidth="1" min="1" max="1"/>
    <col width="18" customWidth="1" min="2" max="2"/>
    <col width="12" customWidth="1" min="3" max="3"/>
    <col width="55" customWidth="1" min="4" max="4"/>
    <col width="39" customWidth="1" min="5" max="5"/>
    <col width="23" customWidth="1" min="6" max="6"/>
    <col width="12" customWidth="1" min="7" max="7"/>
    <col width="28" customWidth="1" min="8" max="8"/>
    <col width="23" customWidth="1" min="9" max="9"/>
    <col width="26" customWidth="1" min="10" max="10"/>
  </cols>
  <sheetData>
    <row r="1">
      <c r="A1" s="4" t="inlineStr">
        <is>
          <t>Fiscal Year</t>
        </is>
      </c>
      <c r="B1" s="4" t="inlineStr">
        <is>
          <t>Table</t>
        </is>
      </c>
      <c r="C1" s="4" t="inlineStr">
        <is>
          <t>TIP ID</t>
        </is>
      </c>
      <c r="D1" s="4" t="inlineStr">
        <is>
          <t>Project Title</t>
        </is>
      </c>
      <c r="E1" s="4" t="inlineStr">
        <is>
          <t>Project Type</t>
        </is>
      </c>
      <c r="F1" s="4" t="inlineStr">
        <is>
          <t>Municipality</t>
        </is>
      </c>
      <c r="G1" s="4" t="inlineStr">
        <is>
          <t>Amount</t>
        </is>
      </c>
      <c r="H1" s="4" t="inlineStr">
        <is>
          <t>Includes Bike/Ped Elements</t>
        </is>
      </c>
      <c r="I1" s="4" t="inlineStr">
        <is>
          <t>Includes ADA Elements</t>
        </is>
      </c>
      <c r="J1" s="4" t="inlineStr">
        <is>
          <t>Includes Safety Elements</t>
        </is>
      </c>
    </row>
    <row r="2">
      <c r="A2" t="inlineStr">
        <is>
          <t>FFY2025</t>
        </is>
      </c>
      <c r="B2" t="inlineStr">
        <is>
          <t>AC Authorization</t>
        </is>
      </c>
      <c r="C2" t="inlineStr">
        <is>
          <t>06-23-0018</t>
        </is>
      </c>
      <c r="D2" t="inlineStr">
        <is>
          <t>Ill 50 Cicero Ave - US 12/20 (95th St) to 123rd Pl</t>
        </is>
      </c>
      <c r="E2" t="inlineStr">
        <is>
          <t>Road Maintenance</t>
        </is>
      </c>
      <c r="F2" t="inlineStr">
        <is>
          <t>Alsip</t>
        </is>
      </c>
      <c r="G2" s="5" t="n">
        <v>8240000</v>
      </c>
      <c r="H2" t="inlineStr">
        <is>
          <t>No</t>
        </is>
      </c>
      <c r="I2" t="inlineStr">
        <is>
          <t>No</t>
        </is>
      </c>
      <c r="J2" t="inlineStr">
        <is>
          <t>No</t>
        </is>
      </c>
    </row>
    <row r="3">
      <c r="A3" t="inlineStr">
        <is>
          <t>FFY2025</t>
        </is>
      </c>
      <c r="B3" t="inlineStr">
        <is>
          <t>AC Authorization</t>
        </is>
      </c>
      <c r="C3" t="inlineStr">
        <is>
          <t>06-24-0041</t>
        </is>
      </c>
      <c r="D3" t="inlineStr">
        <is>
          <t>Pulaski Rd/Crawford Ave - 103rd St to 123rd St</t>
        </is>
      </c>
      <c r="E3" t="inlineStr">
        <is>
          <t>Road Maintenance</t>
        </is>
      </c>
      <c r="F3" t="inlineStr">
        <is>
          <t>Alsip</t>
        </is>
      </c>
      <c r="G3" s="5" t="n">
        <v>4160000</v>
      </c>
      <c r="H3" t="inlineStr">
        <is>
          <t>Yes</t>
        </is>
      </c>
      <c r="I3" t="inlineStr">
        <is>
          <t>Yes</t>
        </is>
      </c>
      <c r="J3" t="inlineStr">
        <is>
          <t>No</t>
        </is>
      </c>
    </row>
    <row r="4">
      <c r="A4" t="inlineStr">
        <is>
          <t>FFY2025</t>
        </is>
      </c>
      <c r="B4" t="inlineStr">
        <is>
          <t>AC Authorization</t>
        </is>
      </c>
      <c r="C4" t="inlineStr">
        <is>
          <t>03-25-0005</t>
        </is>
      </c>
      <c r="D4" t="inlineStr">
        <is>
          <t>Arlington Heights ComEd RIght-of-Way Multi- Use Trail</t>
        </is>
      </c>
      <c r="E4" t="inlineStr">
        <is>
          <t>Bicycle &amp; Pedestrian</t>
        </is>
      </c>
      <c r="F4" t="inlineStr">
        <is>
          <t>Arlington Heights</t>
        </is>
      </c>
      <c r="G4" s="5" t="n">
        <v>480000</v>
      </c>
      <c r="H4" t="inlineStr">
        <is>
          <t>Yes</t>
        </is>
      </c>
      <c r="I4" t="inlineStr">
        <is>
          <t>Yes</t>
        </is>
      </c>
      <c r="J4" t="inlineStr">
        <is>
          <t>No</t>
        </is>
      </c>
    </row>
    <row r="5">
      <c r="A5" t="inlineStr">
        <is>
          <t>FFY2025</t>
        </is>
      </c>
      <c r="B5" t="inlineStr">
        <is>
          <t>FHWA Obligation</t>
        </is>
      </c>
      <c r="C5" t="inlineStr">
        <is>
          <t>03-25-0005</t>
        </is>
      </c>
      <c r="D5" t="inlineStr">
        <is>
          <t>Arlington Heights ComEd RIght-of-Way Multi- Use Trail</t>
        </is>
      </c>
      <c r="E5" t="inlineStr">
        <is>
          <t>Bicycle &amp; Pedestrian</t>
        </is>
      </c>
      <c r="F5" t="inlineStr">
        <is>
          <t>Arlington Heights</t>
        </is>
      </c>
      <c r="G5" s="5" t="n">
        <v>480000</v>
      </c>
      <c r="H5" t="inlineStr">
        <is>
          <t>Yes</t>
        </is>
      </c>
      <c r="I5" t="inlineStr">
        <is>
          <t>Yes</t>
        </is>
      </c>
      <c r="J5" t="inlineStr">
        <is>
          <t>No</t>
        </is>
      </c>
    </row>
    <row r="6">
      <c r="A6" t="inlineStr">
        <is>
          <t>FFY2025</t>
        </is>
      </c>
      <c r="B6" t="inlineStr">
        <is>
          <t>AC Authorization</t>
        </is>
      </c>
      <c r="C6" t="inlineStr">
        <is>
          <t>03-19-0002</t>
        </is>
      </c>
      <c r="D6" t="inlineStr">
        <is>
          <t>Ill 53 - Lake-Cook Rd to Ill 62 (Algonquin Rd) and S of US 12 (Rand Rd) to Ill 72 (Higgins Rd), At I-90 (Jane Addams Memorial Tollway), Ill 58 (Golf Rd) &amp; Woodfield Rd</t>
        </is>
      </c>
      <c r="E6" t="inlineStr">
        <is>
          <t>Bridge Repair, Rehab, or Replace</t>
        </is>
      </c>
      <c r="F6" t="inlineStr">
        <is>
          <t>Arlington Heights</t>
        </is>
      </c>
      <c r="G6" s="5" t="n">
        <v>6875000</v>
      </c>
      <c r="H6" t="inlineStr">
        <is>
          <t>Yes</t>
        </is>
      </c>
      <c r="I6" t="inlineStr">
        <is>
          <t>Yes</t>
        </is>
      </c>
      <c r="J6" t="inlineStr">
        <is>
          <t>Yes</t>
        </is>
      </c>
    </row>
    <row r="7">
      <c r="A7" t="inlineStr">
        <is>
          <t>FFY2025</t>
        </is>
      </c>
      <c r="B7" t="inlineStr">
        <is>
          <t>FHWA Obligation</t>
        </is>
      </c>
      <c r="C7" t="inlineStr">
        <is>
          <t>03-19-0002</t>
        </is>
      </c>
      <c r="D7" t="inlineStr">
        <is>
          <t>Ill 53 - Lake-Cook Rd to Ill 62 (Algonquin Rd) and S of US 12 (Rand Rd) to Ill 72 (Higgins Rd), At I-90 (Jane Addams Memorial Tollway), Ill 58 (Golf Rd) &amp; Woodfield Rd</t>
        </is>
      </c>
      <c r="E7" t="inlineStr">
        <is>
          <t>Bridge Repair, Rehab, or Replace</t>
        </is>
      </c>
      <c r="F7" t="inlineStr">
        <is>
          <t>Arlington Heights</t>
        </is>
      </c>
      <c r="G7" s="5" t="n">
        <v>9696318</v>
      </c>
      <c r="H7" t="inlineStr">
        <is>
          <t>Yes</t>
        </is>
      </c>
      <c r="I7" t="inlineStr">
        <is>
          <t>Yes</t>
        </is>
      </c>
      <c r="J7" t="inlineStr">
        <is>
          <t>Yes</t>
        </is>
      </c>
    </row>
    <row r="8">
      <c r="A8" t="inlineStr">
        <is>
          <t>FFY2025</t>
        </is>
      </c>
      <c r="B8" t="inlineStr">
        <is>
          <t>FHWA Obligation</t>
        </is>
      </c>
      <c r="C8" t="inlineStr">
        <is>
          <t>03-19-0002</t>
        </is>
      </c>
      <c r="D8" t="inlineStr">
        <is>
          <t>Ill 53 - Lake-Cook Rd to Ill 62 (Algonquin Rd) and S of US 12 (Rand Rd) to Ill 72 (Higgins Rd), At I-90 (Jane Addams Memorial Tollway), Ill 58 (Golf Rd) &amp; Woodfield Rd</t>
        </is>
      </c>
      <c r="E8" t="inlineStr">
        <is>
          <t>Bridge Repair, Rehab, or Replace</t>
        </is>
      </c>
      <c r="F8" t="inlineStr">
        <is>
          <t>Arlington Heights</t>
        </is>
      </c>
      <c r="G8" s="5" t="n">
        <v>34631474</v>
      </c>
      <c r="H8" t="inlineStr">
        <is>
          <t>Yes</t>
        </is>
      </c>
      <c r="I8" t="inlineStr">
        <is>
          <t>Yes</t>
        </is>
      </c>
      <c r="J8" t="inlineStr">
        <is>
          <t>Yes</t>
        </is>
      </c>
    </row>
    <row r="9">
      <c r="A9" t="inlineStr">
        <is>
          <t>FFY2025</t>
        </is>
      </c>
      <c r="B9" t="inlineStr">
        <is>
          <t>FHWA Obligation</t>
        </is>
      </c>
      <c r="C9" t="inlineStr">
        <is>
          <t>03-19-0002</t>
        </is>
      </c>
      <c r="D9" t="inlineStr">
        <is>
          <t>Ill 53 - Lake-Cook Rd to Ill 62 (Algonquin Rd) and S of US 12 (Rand Rd) to Ill 72 (Higgins Rd), At I-90 (Jane Addams Memorial Tollway), Ill 58 (Golf Rd) &amp; Woodfield Rd</t>
        </is>
      </c>
      <c r="E9" t="inlineStr">
        <is>
          <t>Bridge Repair, Rehab, or Replace</t>
        </is>
      </c>
      <c r="F9" t="inlineStr">
        <is>
          <t>Arlington Heights</t>
        </is>
      </c>
      <c r="G9" s="5" t="n">
        <v>16253</v>
      </c>
      <c r="H9" t="inlineStr">
        <is>
          <t>Yes</t>
        </is>
      </c>
      <c r="I9" t="inlineStr">
        <is>
          <t>Yes</t>
        </is>
      </c>
      <c r="J9" t="inlineStr">
        <is>
          <t>Yes</t>
        </is>
      </c>
    </row>
    <row r="10">
      <c r="A10" t="inlineStr">
        <is>
          <t>FFY2025</t>
        </is>
      </c>
      <c r="B10" t="inlineStr">
        <is>
          <t>FHWA Obligation</t>
        </is>
      </c>
      <c r="C10" t="inlineStr">
        <is>
          <t>03-19-0002</t>
        </is>
      </c>
      <c r="D10" t="inlineStr">
        <is>
          <t>Ill 53 - Lake-Cook Rd to Ill 62 (Algonquin Rd) and S of US 12 (Rand Rd) to Ill 72 (Higgins Rd), At I-90 (Jane Addams Memorial Tollway), Ill 58 (Golf Rd) &amp; Woodfield Rd</t>
        </is>
      </c>
      <c r="E10" t="inlineStr">
        <is>
          <t>Bridge Repair, Rehab, or Replace</t>
        </is>
      </c>
      <c r="F10" t="inlineStr">
        <is>
          <t>Arlington Heights</t>
        </is>
      </c>
      <c r="G10" s="5" t="n">
        <v>86904481</v>
      </c>
      <c r="H10" t="inlineStr">
        <is>
          <t>Yes</t>
        </is>
      </c>
      <c r="I10" t="inlineStr">
        <is>
          <t>Yes</t>
        </is>
      </c>
      <c r="J10" t="inlineStr">
        <is>
          <t>Yes</t>
        </is>
      </c>
    </row>
    <row r="11">
      <c r="A11" t="inlineStr">
        <is>
          <t>FFY2025</t>
        </is>
      </c>
      <c r="B11" t="inlineStr">
        <is>
          <t>AC Authorization</t>
        </is>
      </c>
      <c r="C11" t="inlineStr">
        <is>
          <t>03-06-0006</t>
        </is>
      </c>
      <c r="D11" t="inlineStr">
        <is>
          <t>IL 62 Algonquin Rd at New Wilke Rd</t>
        </is>
      </c>
      <c r="E11" t="inlineStr">
        <is>
          <t>Intersection/Interchange Improvements</t>
        </is>
      </c>
      <c r="F11" t="inlineStr">
        <is>
          <t>Arlington Heights</t>
        </is>
      </c>
      <c r="G11" s="5" t="n">
        <v>2956000</v>
      </c>
      <c r="H11" t="inlineStr">
        <is>
          <t>Yes</t>
        </is>
      </c>
      <c r="I11" t="inlineStr">
        <is>
          <t>Yes</t>
        </is>
      </c>
      <c r="J11" t="inlineStr">
        <is>
          <t>No</t>
        </is>
      </c>
    </row>
    <row r="12">
      <c r="A12" t="inlineStr">
        <is>
          <t>FFY2025</t>
        </is>
      </c>
      <c r="B12" t="inlineStr">
        <is>
          <t>AC Authorization</t>
        </is>
      </c>
      <c r="C12" t="inlineStr">
        <is>
          <t>03-24-0004</t>
        </is>
      </c>
      <c r="D12" t="inlineStr">
        <is>
          <t>Various Routes at Various Locations</t>
        </is>
      </c>
      <c r="E12" t="inlineStr">
        <is>
          <t>Intersection/Interchange Improvements</t>
        </is>
      </c>
      <c r="F12" t="inlineStr">
        <is>
          <t>Arlington Heights</t>
        </is>
      </c>
      <c r="G12" s="5" t="n">
        <v>2475000</v>
      </c>
      <c r="H12" t="inlineStr">
        <is>
          <t>No</t>
        </is>
      </c>
      <c r="I12" t="inlineStr">
        <is>
          <t>No</t>
        </is>
      </c>
      <c r="J12" t="inlineStr">
        <is>
          <t>No</t>
        </is>
      </c>
    </row>
    <row r="13">
      <c r="A13" t="inlineStr">
        <is>
          <t>FFY2025</t>
        </is>
      </c>
      <c r="B13" t="inlineStr">
        <is>
          <t>FHWA Obligation</t>
        </is>
      </c>
      <c r="C13" t="inlineStr">
        <is>
          <t>03-06-0006</t>
        </is>
      </c>
      <c r="D13" t="inlineStr">
        <is>
          <t>IL 62 Algonquin Rd at New Wilke Rd</t>
        </is>
      </c>
      <c r="E13" t="inlineStr">
        <is>
          <t>Intersection/Interchange Improvements</t>
        </is>
      </c>
      <c r="F13" t="inlineStr">
        <is>
          <t>Arlington Heights</t>
        </is>
      </c>
      <c r="G13" s="5" t="n">
        <v>152000</v>
      </c>
      <c r="H13" t="inlineStr">
        <is>
          <t>Yes</t>
        </is>
      </c>
      <c r="I13" t="inlineStr">
        <is>
          <t>Yes</t>
        </is>
      </c>
      <c r="J13" t="inlineStr">
        <is>
          <t>No</t>
        </is>
      </c>
    </row>
    <row r="14">
      <c r="A14" t="inlineStr">
        <is>
          <t>FFY2025</t>
        </is>
      </c>
      <c r="B14" t="inlineStr">
        <is>
          <t>FHWA Obligation</t>
        </is>
      </c>
      <c r="C14" t="inlineStr">
        <is>
          <t>03-06-0006</t>
        </is>
      </c>
      <c r="D14" t="inlineStr">
        <is>
          <t>IL 62 Algonquin Rd at New Wilke Rd</t>
        </is>
      </c>
      <c r="E14" t="inlineStr">
        <is>
          <t>Intersection/Interchange Improvements</t>
        </is>
      </c>
      <c r="F14" t="inlineStr">
        <is>
          <t>Arlington Heights</t>
        </is>
      </c>
      <c r="G14" s="5" t="n">
        <v>2956000</v>
      </c>
      <c r="H14" t="inlineStr">
        <is>
          <t>Yes</t>
        </is>
      </c>
      <c r="I14" t="inlineStr">
        <is>
          <t>Yes</t>
        </is>
      </c>
      <c r="J14" t="inlineStr">
        <is>
          <t>No</t>
        </is>
      </c>
    </row>
    <row r="15">
      <c r="A15" t="inlineStr">
        <is>
          <t>FFY2025</t>
        </is>
      </c>
      <c r="B15" t="inlineStr">
        <is>
          <t>FHWA Obligation</t>
        </is>
      </c>
      <c r="C15" t="inlineStr">
        <is>
          <t>03-23-0041</t>
        </is>
      </c>
      <c r="D15" t="inlineStr">
        <is>
          <t>Various - Various Locations (Trombone Replacement)</t>
        </is>
      </c>
      <c r="E15" t="inlineStr">
        <is>
          <t>Intersection/Interchange Improvements</t>
        </is>
      </c>
      <c r="F15" t="inlineStr">
        <is>
          <t>Arlington Heights</t>
        </is>
      </c>
      <c r="G15" s="5" t="n">
        <v>217590</v>
      </c>
      <c r="H15" t="inlineStr">
        <is>
          <t>No</t>
        </is>
      </c>
      <c r="I15" t="inlineStr">
        <is>
          <t>No</t>
        </is>
      </c>
      <c r="J15" t="inlineStr">
        <is>
          <t>No</t>
        </is>
      </c>
    </row>
    <row r="16">
      <c r="A16" t="inlineStr">
        <is>
          <t>FFY2025</t>
        </is>
      </c>
      <c r="B16" t="inlineStr">
        <is>
          <t>FHWA Obligation</t>
        </is>
      </c>
      <c r="C16" t="inlineStr">
        <is>
          <t>03-23-0041</t>
        </is>
      </c>
      <c r="D16" t="inlineStr">
        <is>
          <t>Various - Various Locations (Trombone Replacement)</t>
        </is>
      </c>
      <c r="E16" t="inlineStr">
        <is>
          <t>Intersection/Interchange Improvements</t>
        </is>
      </c>
      <c r="F16" t="inlineStr">
        <is>
          <t>Arlington Heights</t>
        </is>
      </c>
      <c r="G16" s="5" t="n">
        <v>691256</v>
      </c>
      <c r="H16" t="inlineStr">
        <is>
          <t>No</t>
        </is>
      </c>
      <c r="I16" t="inlineStr">
        <is>
          <t>No</t>
        </is>
      </c>
      <c r="J16" t="inlineStr">
        <is>
          <t>No</t>
        </is>
      </c>
    </row>
    <row r="17">
      <c r="A17" t="inlineStr">
        <is>
          <t>FFY2025</t>
        </is>
      </c>
      <c r="B17" t="inlineStr">
        <is>
          <t>AC Authorization</t>
        </is>
      </c>
      <c r="C17" t="inlineStr">
        <is>
          <t>03-25-0018</t>
        </is>
      </c>
      <c r="D17" t="inlineStr">
        <is>
          <t>Ill 68 Dundee Rd - E of Kennicott Ave to Northgate Pkwy</t>
        </is>
      </c>
      <c r="E17" t="inlineStr">
        <is>
          <t>Road Maintenance</t>
        </is>
      </c>
      <c r="F17" t="inlineStr">
        <is>
          <t>Arlington Heights</t>
        </is>
      </c>
      <c r="G17" s="5" t="n">
        <v>4800000</v>
      </c>
      <c r="H17" t="inlineStr">
        <is>
          <t>Yes</t>
        </is>
      </c>
      <c r="I17" t="inlineStr">
        <is>
          <t>Yes</t>
        </is>
      </c>
      <c r="J17" t="inlineStr">
        <is>
          <t>Yes</t>
        </is>
      </c>
    </row>
    <row r="18">
      <c r="A18" t="inlineStr">
        <is>
          <t>FFY2025</t>
        </is>
      </c>
      <c r="B18" t="inlineStr">
        <is>
          <t>AC Authorization</t>
        </is>
      </c>
      <c r="C18" t="inlineStr">
        <is>
          <t>03-25-0017</t>
        </is>
      </c>
      <c r="D18" t="inlineStr">
        <is>
          <t>Pedestrian Grade Separation at Main Street</t>
        </is>
      </c>
      <c r="E18" t="inlineStr">
        <is>
          <t>Rail-Highway Grade Separation</t>
        </is>
      </c>
      <c r="F18" t="inlineStr">
        <is>
          <t>Barrington</t>
        </is>
      </c>
      <c r="G18" s="5" t="n">
        <v>500000</v>
      </c>
      <c r="H18" t="inlineStr">
        <is>
          <t>Yes</t>
        </is>
      </c>
      <c r="I18" t="inlineStr">
        <is>
          <t>Yes</t>
        </is>
      </c>
      <c r="J18" t="inlineStr">
        <is>
          <t>Yes</t>
        </is>
      </c>
    </row>
    <row r="19">
      <c r="A19" t="inlineStr">
        <is>
          <t>FFY2025</t>
        </is>
      </c>
      <c r="B19" t="inlineStr">
        <is>
          <t>FHWA Obligation</t>
        </is>
      </c>
      <c r="C19" t="inlineStr">
        <is>
          <t>03-25-0017</t>
        </is>
      </c>
      <c r="D19" t="inlineStr">
        <is>
          <t>Pedestrian Grade Separation at Main Street</t>
        </is>
      </c>
      <c r="E19" t="inlineStr">
        <is>
          <t>Rail-Highway Grade Separation</t>
        </is>
      </c>
      <c r="F19" t="inlineStr">
        <is>
          <t>Barrington</t>
        </is>
      </c>
      <c r="G19" s="5" t="n">
        <v>500000</v>
      </c>
      <c r="H19" t="inlineStr">
        <is>
          <t>Yes</t>
        </is>
      </c>
      <c r="I19" t="inlineStr">
        <is>
          <t>Yes</t>
        </is>
      </c>
      <c r="J19" t="inlineStr">
        <is>
          <t>Yes</t>
        </is>
      </c>
    </row>
    <row r="20">
      <c r="A20" t="inlineStr">
        <is>
          <t>FFY2025</t>
        </is>
      </c>
      <c r="B20" t="inlineStr">
        <is>
          <t>AC Authorization</t>
        </is>
      </c>
      <c r="C20" t="inlineStr">
        <is>
          <t>03-25-0020</t>
        </is>
      </c>
      <c r="D20" t="inlineStr">
        <is>
          <t>South Street &amp; Prairie Avenue SRTS</t>
        </is>
      </c>
      <c r="E20" t="inlineStr">
        <is>
          <t>Safe Routes to Schools</t>
        </is>
      </c>
      <c r="F20" t="inlineStr">
        <is>
          <t>Barrington</t>
        </is>
      </c>
      <c r="G20" s="5" t="n">
        <v>250000</v>
      </c>
      <c r="H20" t="inlineStr">
        <is>
          <t>Yes</t>
        </is>
      </c>
      <c r="I20" t="inlineStr">
        <is>
          <t>Yes</t>
        </is>
      </c>
      <c r="J20" t="inlineStr">
        <is>
          <t>Yes</t>
        </is>
      </c>
    </row>
    <row r="21">
      <c r="A21" t="inlineStr">
        <is>
          <t>FFY2025</t>
        </is>
      </c>
      <c r="B21" t="inlineStr">
        <is>
          <t>AC Authorization</t>
        </is>
      </c>
      <c r="C21" t="inlineStr">
        <is>
          <t>11-25-0005</t>
        </is>
      </c>
      <c r="D21" t="inlineStr">
        <is>
          <t>Ill 68 Dundee Rd - Kane Co Line to Ill 62 (Algonquin Rd)</t>
        </is>
      </c>
      <c r="E21" t="inlineStr">
        <is>
          <t>Road Maintenance</t>
        </is>
      </c>
      <c r="F21" t="inlineStr">
        <is>
          <t>Barrington Hills</t>
        </is>
      </c>
      <c r="G21" s="5" t="n">
        <v>1280000</v>
      </c>
      <c r="H21" t="inlineStr">
        <is>
          <t>No</t>
        </is>
      </c>
      <c r="I21" t="inlineStr">
        <is>
          <t>No</t>
        </is>
      </c>
      <c r="J21" t="inlineStr">
        <is>
          <t>No</t>
        </is>
      </c>
    </row>
    <row r="22">
      <c r="A22" t="inlineStr">
        <is>
          <t>FFY2025</t>
        </is>
      </c>
      <c r="B22" t="inlineStr">
        <is>
          <t>AC Authorization</t>
        </is>
      </c>
      <c r="C22" t="inlineStr">
        <is>
          <t>01-05-0012</t>
        </is>
      </c>
      <c r="D22" t="inlineStr">
        <is>
          <t>CREATE East-West Corridor from Argo Interlocking to CP509</t>
        </is>
      </c>
      <c r="E22" t="inlineStr">
        <is>
          <t>Freight Movement</t>
        </is>
      </c>
      <c r="F22" t="inlineStr">
        <is>
          <t>Bedford Park</t>
        </is>
      </c>
      <c r="G22" s="5" t="n">
        <v>939469</v>
      </c>
      <c r="H22" t="inlineStr">
        <is>
          <t>Yes</t>
        </is>
      </c>
      <c r="I22" t="inlineStr">
        <is>
          <t>Yes</t>
        </is>
      </c>
      <c r="J22" t="inlineStr">
        <is>
          <t>Yes</t>
        </is>
      </c>
    </row>
    <row r="23">
      <c r="A23" t="inlineStr">
        <is>
          <t>FFY2025</t>
        </is>
      </c>
      <c r="B23" t="inlineStr">
        <is>
          <t>AC Authorization</t>
        </is>
      </c>
      <c r="C23" t="inlineStr">
        <is>
          <t>01-05-0012</t>
        </is>
      </c>
      <c r="D23" t="inlineStr">
        <is>
          <t>CREATE East-West Corridor from Argo Interlocking to CP509</t>
        </is>
      </c>
      <c r="E23" t="inlineStr">
        <is>
          <t>Freight Movement</t>
        </is>
      </c>
      <c r="F23" t="inlineStr">
        <is>
          <t>Bedford Park</t>
        </is>
      </c>
      <c r="G23" s="5" t="n">
        <v>8841353</v>
      </c>
      <c r="H23" t="inlineStr">
        <is>
          <t>Yes</t>
        </is>
      </c>
      <c r="I23" t="inlineStr">
        <is>
          <t>Yes</t>
        </is>
      </c>
      <c r="J23" t="inlineStr">
        <is>
          <t>Yes</t>
        </is>
      </c>
    </row>
    <row r="24">
      <c r="A24" t="inlineStr">
        <is>
          <t>FFY2025</t>
        </is>
      </c>
      <c r="B24" t="inlineStr">
        <is>
          <t>AC Authorization</t>
        </is>
      </c>
      <c r="C24" t="inlineStr">
        <is>
          <t>01-05-0012</t>
        </is>
      </c>
      <c r="D24" t="inlineStr">
        <is>
          <t>CREATE East-West Corridor from Argo Interlocking to CP509</t>
        </is>
      </c>
      <c r="E24" t="inlineStr">
        <is>
          <t>Freight Movement</t>
        </is>
      </c>
      <c r="F24" t="inlineStr">
        <is>
          <t>Bedford Park</t>
        </is>
      </c>
      <c r="G24" s="5" t="n">
        <v>439469</v>
      </c>
      <c r="H24" t="inlineStr">
        <is>
          <t>Yes</t>
        </is>
      </c>
      <c r="I24" t="inlineStr">
        <is>
          <t>Yes</t>
        </is>
      </c>
      <c r="J24" t="inlineStr">
        <is>
          <t>Yes</t>
        </is>
      </c>
    </row>
    <row r="25">
      <c r="A25" t="inlineStr">
        <is>
          <t>FFY2025</t>
        </is>
      </c>
      <c r="B25" t="inlineStr">
        <is>
          <t>FHWA Obligation</t>
        </is>
      </c>
      <c r="C25" t="inlineStr">
        <is>
          <t>04-00-0023</t>
        </is>
      </c>
      <c r="D25" t="inlineStr">
        <is>
          <t>I-290 Eisenhower Expy from US 12/45/20 Mannheim Rd to Racine Ave - RSP 30</t>
        </is>
      </c>
      <c r="E25" t="inlineStr">
        <is>
          <t>Road Expansion</t>
        </is>
      </c>
      <c r="F25" t="inlineStr">
        <is>
          <t>Bellwood</t>
        </is>
      </c>
      <c r="G25" s="5" t="n">
        <v>284512</v>
      </c>
      <c r="H25" t="inlineStr">
        <is>
          <t>No</t>
        </is>
      </c>
      <c r="I25" t="inlineStr">
        <is>
          <t>No</t>
        </is>
      </c>
      <c r="J25" t="inlineStr">
        <is>
          <t>Yes</t>
        </is>
      </c>
    </row>
    <row r="26">
      <c r="A26" t="inlineStr">
        <is>
          <t>FFY2025</t>
        </is>
      </c>
      <c r="B26" t="inlineStr">
        <is>
          <t>FHWA Obligation</t>
        </is>
      </c>
      <c r="C26" t="inlineStr">
        <is>
          <t>04-00-0023</t>
        </is>
      </c>
      <c r="D26" t="inlineStr">
        <is>
          <t>I-290 Eisenhower Expy from US 12/45/20 Mannheim Rd to Racine Ave - RSP 30</t>
        </is>
      </c>
      <c r="E26" t="inlineStr">
        <is>
          <t>Road Expansion</t>
        </is>
      </c>
      <c r="F26" t="inlineStr">
        <is>
          <t>Bellwood</t>
        </is>
      </c>
      <c r="G26" s="5" t="n">
        <v>1085043</v>
      </c>
      <c r="H26" t="inlineStr">
        <is>
          <t>No</t>
        </is>
      </c>
      <c r="I26" t="inlineStr">
        <is>
          <t>No</t>
        </is>
      </c>
      <c r="J26" t="inlineStr">
        <is>
          <t>Yes</t>
        </is>
      </c>
    </row>
    <row r="27">
      <c r="A27" t="inlineStr">
        <is>
          <t>FFY2025</t>
        </is>
      </c>
      <c r="B27" t="inlineStr">
        <is>
          <t>FHWA Obligation</t>
        </is>
      </c>
      <c r="C27" t="inlineStr">
        <is>
          <t>04-24-0006</t>
        </is>
      </c>
      <c r="D27" t="inlineStr">
        <is>
          <t>Berkeley Pace Bus Access Improvements</t>
        </is>
      </c>
      <c r="E27" t="inlineStr">
        <is>
          <t>Bicycle &amp; Pedestrian</t>
        </is>
      </c>
      <c r="F27" t="inlineStr">
        <is>
          <t>Berkeley</t>
        </is>
      </c>
      <c r="G27" s="5" t="n">
        <v>200000</v>
      </c>
      <c r="H27" t="inlineStr">
        <is>
          <t>Yes</t>
        </is>
      </c>
      <c r="I27" t="inlineStr">
        <is>
          <t>No</t>
        </is>
      </c>
      <c r="J27" t="inlineStr">
        <is>
          <t>No</t>
        </is>
      </c>
    </row>
    <row r="28">
      <c r="A28" t="inlineStr">
        <is>
          <t>FFY2025</t>
        </is>
      </c>
      <c r="B28" t="inlineStr">
        <is>
          <t>FHWA Obligation</t>
        </is>
      </c>
      <c r="C28" t="inlineStr">
        <is>
          <t>04-24-0006</t>
        </is>
      </c>
      <c r="D28" t="inlineStr">
        <is>
          <t>Berkeley Pace Bus Access Improvements</t>
        </is>
      </c>
      <c r="E28" t="inlineStr">
        <is>
          <t>Bicycle &amp; Pedestrian</t>
        </is>
      </c>
      <c r="F28" t="inlineStr">
        <is>
          <t>Berkeley</t>
        </is>
      </c>
      <c r="G28" s="5" t="n">
        <v>1227348</v>
      </c>
      <c r="H28" t="inlineStr">
        <is>
          <t>Yes</t>
        </is>
      </c>
      <c r="I28" t="inlineStr">
        <is>
          <t>No</t>
        </is>
      </c>
      <c r="J28" t="inlineStr">
        <is>
          <t>No</t>
        </is>
      </c>
    </row>
    <row r="29">
      <c r="A29" t="inlineStr">
        <is>
          <t>FFY2025</t>
        </is>
      </c>
      <c r="B29" t="inlineStr">
        <is>
          <t>FHWA Obligation</t>
        </is>
      </c>
      <c r="C29" t="inlineStr">
        <is>
          <t>04-24-0006</t>
        </is>
      </c>
      <c r="D29" t="inlineStr">
        <is>
          <t>Berkeley Pace Bus Access Improvements</t>
        </is>
      </c>
      <c r="E29" t="inlineStr">
        <is>
          <t>Bicycle &amp; Pedestrian</t>
        </is>
      </c>
      <c r="F29" t="inlineStr">
        <is>
          <t>Berkeley</t>
        </is>
      </c>
      <c r="G29" s="5" t="n">
        <v>50000</v>
      </c>
      <c r="H29" t="inlineStr">
        <is>
          <t>Yes</t>
        </is>
      </c>
      <c r="I29" t="inlineStr">
        <is>
          <t>No</t>
        </is>
      </c>
      <c r="J29" t="inlineStr">
        <is>
          <t>No</t>
        </is>
      </c>
    </row>
    <row r="30">
      <c r="A30" t="inlineStr">
        <is>
          <t>FFY2025</t>
        </is>
      </c>
      <c r="B30" t="inlineStr">
        <is>
          <t>FHWA Obligation</t>
        </is>
      </c>
      <c r="C30" t="inlineStr">
        <is>
          <t>05-16-0001</t>
        </is>
      </c>
      <c r="D30" t="inlineStr">
        <is>
          <t>16th St from IL 43 Harlem Av to Lombard Av</t>
        </is>
      </c>
      <c r="E30" t="inlineStr">
        <is>
          <t>Intersection/Interchange Improvements</t>
        </is>
      </c>
      <c r="F30" t="inlineStr">
        <is>
          <t>Berwyn</t>
        </is>
      </c>
      <c r="G30" s="5" t="n">
        <v>335821</v>
      </c>
      <c r="H30" t="inlineStr">
        <is>
          <t>Yes</t>
        </is>
      </c>
      <c r="I30" t="inlineStr">
        <is>
          <t>Yes</t>
        </is>
      </c>
      <c r="J30" t="inlineStr">
        <is>
          <t>No</t>
        </is>
      </c>
    </row>
    <row r="31">
      <c r="A31" t="inlineStr">
        <is>
          <t>FFY2025</t>
        </is>
      </c>
      <c r="B31" t="inlineStr">
        <is>
          <t>FHWA Obligation</t>
        </is>
      </c>
      <c r="C31" t="inlineStr">
        <is>
          <t>05-21-0002</t>
        </is>
      </c>
      <c r="D31" t="inlineStr">
        <is>
          <t>26th St @ Riverside Dr</t>
        </is>
      </c>
      <c r="E31" t="inlineStr">
        <is>
          <t>Intersection/Interchange Improvements</t>
        </is>
      </c>
      <c r="F31" t="inlineStr">
        <is>
          <t>Berwyn</t>
        </is>
      </c>
      <c r="G31" s="5" t="n">
        <v>1968382</v>
      </c>
      <c r="H31" t="inlineStr">
        <is>
          <t>No</t>
        </is>
      </c>
      <c r="I31" t="inlineStr">
        <is>
          <t>No</t>
        </is>
      </c>
      <c r="J31" t="inlineStr">
        <is>
          <t>No</t>
        </is>
      </c>
    </row>
    <row r="32">
      <c r="A32" t="inlineStr">
        <is>
          <t>FFY2025</t>
        </is>
      </c>
      <c r="B32" t="inlineStr">
        <is>
          <t>AC Authorization</t>
        </is>
      </c>
      <c r="C32" t="inlineStr">
        <is>
          <t>05-16-0007</t>
        </is>
      </c>
      <c r="D32" t="inlineStr">
        <is>
          <t>IL 56 from IL 59 to IL 50; Cermak Rd./22nd St., Renaissance Blvd (West of) to IL 50 (Cicero Ave.)</t>
        </is>
      </c>
      <c r="E32" t="inlineStr">
        <is>
          <t>Road Maintenance</t>
        </is>
      </c>
      <c r="F32" t="inlineStr">
        <is>
          <t>Berwyn</t>
        </is>
      </c>
      <c r="G32" s="5" t="n">
        <v>2913880</v>
      </c>
      <c r="H32" t="inlineStr">
        <is>
          <t>No</t>
        </is>
      </c>
      <c r="I32" t="inlineStr">
        <is>
          <t>No</t>
        </is>
      </c>
      <c r="J32" t="inlineStr">
        <is>
          <t>No</t>
        </is>
      </c>
    </row>
    <row r="33">
      <c r="A33" t="inlineStr">
        <is>
          <t>FFY2025</t>
        </is>
      </c>
      <c r="B33" t="inlineStr">
        <is>
          <t>AC Authorization</t>
        </is>
      </c>
      <c r="C33" t="inlineStr">
        <is>
          <t>05-25-0008</t>
        </is>
      </c>
      <c r="D33" t="inlineStr">
        <is>
          <t>Pershing Rd - US 34 (Ogden Ave) to W of Central Ave</t>
        </is>
      </c>
      <c r="E33" t="inlineStr">
        <is>
          <t>Road Maintenance</t>
        </is>
      </c>
      <c r="F33" t="inlineStr">
        <is>
          <t>Berwyn</t>
        </is>
      </c>
      <c r="G33" s="5" t="n">
        <v>5184000</v>
      </c>
      <c r="H33" t="inlineStr">
        <is>
          <t>No</t>
        </is>
      </c>
      <c r="I33" t="inlineStr">
        <is>
          <t>No</t>
        </is>
      </c>
      <c r="J33" t="inlineStr">
        <is>
          <t>No</t>
        </is>
      </c>
    </row>
    <row r="34">
      <c r="A34" t="inlineStr">
        <is>
          <t>FFY2025</t>
        </is>
      </c>
      <c r="B34" t="inlineStr">
        <is>
          <t>FHWA Obligation</t>
        </is>
      </c>
      <c r="C34" t="inlineStr">
        <is>
          <t>05-16-0007</t>
        </is>
      </c>
      <c r="D34" t="inlineStr">
        <is>
          <t>IL 56 from IL 59 to IL 50; Cermak Rd./22nd St., Renaissance Blvd (West of) to IL 50 (Cicero Ave.)</t>
        </is>
      </c>
      <c r="E34" t="inlineStr">
        <is>
          <t>Road Maintenance</t>
        </is>
      </c>
      <c r="F34" t="inlineStr">
        <is>
          <t>Berwyn</t>
        </is>
      </c>
      <c r="G34" s="5" t="n">
        <v>116074</v>
      </c>
      <c r="H34" t="inlineStr">
        <is>
          <t>No</t>
        </is>
      </c>
      <c r="I34" t="inlineStr">
        <is>
          <t>No</t>
        </is>
      </c>
      <c r="J34" t="inlineStr">
        <is>
          <t>No</t>
        </is>
      </c>
    </row>
    <row r="35">
      <c r="A35" t="inlineStr">
        <is>
          <t>FFY2025</t>
        </is>
      </c>
      <c r="B35" t="inlineStr">
        <is>
          <t>FHWA Obligation</t>
        </is>
      </c>
      <c r="C35" t="inlineStr">
        <is>
          <t>05-16-0007</t>
        </is>
      </c>
      <c r="D35" t="inlineStr">
        <is>
          <t>IL 56 from IL 59 to IL 50; Cermak Rd./22nd St., Renaissance Blvd (West of) to IL 50 (Cicero Ave.)</t>
        </is>
      </c>
      <c r="E35" t="inlineStr">
        <is>
          <t>Road Maintenance</t>
        </is>
      </c>
      <c r="F35" t="inlineStr">
        <is>
          <t>Berwyn</t>
        </is>
      </c>
      <c r="G35" s="5" t="n">
        <v>16038095</v>
      </c>
      <c r="H35" t="inlineStr">
        <is>
          <t>No</t>
        </is>
      </c>
      <c r="I35" t="inlineStr">
        <is>
          <t>No</t>
        </is>
      </c>
      <c r="J35" t="inlineStr">
        <is>
          <t>No</t>
        </is>
      </c>
    </row>
    <row r="36">
      <c r="A36" t="inlineStr">
        <is>
          <t>FFY2025</t>
        </is>
      </c>
      <c r="B36" t="inlineStr">
        <is>
          <t>AC Authorization</t>
        </is>
      </c>
      <c r="C36" t="inlineStr">
        <is>
          <t>05-20-0014</t>
        </is>
      </c>
      <c r="D36" t="inlineStr">
        <is>
          <t>34th Street Road Modernization and Stormwater Management Improvements Phase I Design</t>
        </is>
      </c>
      <c r="E36" t="inlineStr">
        <is>
          <t>Road Modernization</t>
        </is>
      </c>
      <c r="F36" t="inlineStr">
        <is>
          <t>Berwyn</t>
        </is>
      </c>
      <c r="G36" s="5" t="n">
        <v>254520</v>
      </c>
      <c r="H36" t="inlineStr">
        <is>
          <t>Yes</t>
        </is>
      </c>
      <c r="I36" t="inlineStr">
        <is>
          <t>Yes</t>
        </is>
      </c>
      <c r="J36" t="inlineStr">
        <is>
          <t>Yes</t>
        </is>
      </c>
    </row>
    <row r="37">
      <c r="A37" t="inlineStr">
        <is>
          <t>FFY2025</t>
        </is>
      </c>
      <c r="B37" t="inlineStr">
        <is>
          <t>AC Authorization</t>
        </is>
      </c>
      <c r="C37" t="inlineStr">
        <is>
          <t>07-23-0004</t>
        </is>
      </c>
      <c r="D37" t="inlineStr">
        <is>
          <t>Natalie Creek Trail Project</t>
        </is>
      </c>
      <c r="E37" t="inlineStr">
        <is>
          <t>Bicycle &amp; Pedestrian</t>
        </is>
      </c>
      <c r="F37" t="inlineStr">
        <is>
          <t>Blue Island</t>
        </is>
      </c>
      <c r="G37" s="5" t="n">
        <v>766440</v>
      </c>
      <c r="H37" t="inlineStr">
        <is>
          <t>Yes</t>
        </is>
      </c>
      <c r="I37" t="inlineStr">
        <is>
          <t>Yes</t>
        </is>
      </c>
      <c r="J37" t="inlineStr">
        <is>
          <t>No</t>
        </is>
      </c>
    </row>
    <row r="38">
      <c r="A38" t="inlineStr">
        <is>
          <t>FFY2025</t>
        </is>
      </c>
      <c r="B38" t="inlineStr">
        <is>
          <t>AC Authorization</t>
        </is>
      </c>
      <c r="C38" t="inlineStr">
        <is>
          <t>06-24-0044</t>
        </is>
      </c>
      <c r="D38" t="inlineStr">
        <is>
          <t>Western Ave - S of Broadway St to I-57</t>
        </is>
      </c>
      <c r="E38" t="inlineStr">
        <is>
          <t>Road Maintenance</t>
        </is>
      </c>
      <c r="F38" t="inlineStr">
        <is>
          <t>Blue Island</t>
        </is>
      </c>
      <c r="G38" s="5" t="n">
        <v>105383</v>
      </c>
      <c r="H38" t="inlineStr">
        <is>
          <t>No</t>
        </is>
      </c>
      <c r="I38" t="inlineStr">
        <is>
          <t>No</t>
        </is>
      </c>
      <c r="J38" t="inlineStr">
        <is>
          <t>No</t>
        </is>
      </c>
    </row>
    <row r="39">
      <c r="A39" t="inlineStr">
        <is>
          <t>FFY2025</t>
        </is>
      </c>
      <c r="B39" t="inlineStr">
        <is>
          <t>FHWA Obligation</t>
        </is>
      </c>
      <c r="C39" t="inlineStr">
        <is>
          <t>06-24-0044</t>
        </is>
      </c>
      <c r="D39" t="inlineStr">
        <is>
          <t>Western Ave - S of Broadway St to I-57</t>
        </is>
      </c>
      <c r="E39" t="inlineStr">
        <is>
          <t>Road Maintenance</t>
        </is>
      </c>
      <c r="F39" t="inlineStr">
        <is>
          <t>Blue Island</t>
        </is>
      </c>
      <c r="G39" s="5" t="n">
        <v>219072</v>
      </c>
      <c r="H39" t="inlineStr">
        <is>
          <t>No</t>
        </is>
      </c>
      <c r="I39" t="inlineStr">
        <is>
          <t>No</t>
        </is>
      </c>
      <c r="J39" t="inlineStr">
        <is>
          <t>No</t>
        </is>
      </c>
    </row>
    <row r="40">
      <c r="A40" t="inlineStr">
        <is>
          <t>FFY2025</t>
        </is>
      </c>
      <c r="B40" t="inlineStr">
        <is>
          <t>FHWA Obligation</t>
        </is>
      </c>
      <c r="C40" t="inlineStr">
        <is>
          <t>06-24-0044</t>
        </is>
      </c>
      <c r="D40" t="inlineStr">
        <is>
          <t>Western Ave - S of Broadway St to I-57</t>
        </is>
      </c>
      <c r="E40" t="inlineStr">
        <is>
          <t>Road Maintenance</t>
        </is>
      </c>
      <c r="F40" t="inlineStr">
        <is>
          <t>Blue Island</t>
        </is>
      </c>
      <c r="G40" s="5" t="n">
        <v>635546</v>
      </c>
      <c r="H40" t="inlineStr">
        <is>
          <t>No</t>
        </is>
      </c>
      <c r="I40" t="inlineStr">
        <is>
          <t>No</t>
        </is>
      </c>
      <c r="J40" t="inlineStr">
        <is>
          <t>No</t>
        </is>
      </c>
    </row>
    <row r="41">
      <c r="A41" t="inlineStr">
        <is>
          <t>FFY2025</t>
        </is>
      </c>
      <c r="B41" t="inlineStr">
        <is>
          <t>FHWA Obligation</t>
        </is>
      </c>
      <c r="C41" t="inlineStr">
        <is>
          <t>06-21-0009</t>
        </is>
      </c>
      <c r="D41" t="inlineStr">
        <is>
          <t>79th St - 88th Ave to IL 50 (Cicero Ave)</t>
        </is>
      </c>
      <c r="E41" t="inlineStr">
        <is>
          <t>Signal Systems</t>
        </is>
      </c>
      <c r="F41" t="inlineStr">
        <is>
          <t>Bridgeview</t>
        </is>
      </c>
      <c r="G41" s="5" t="n">
        <v>1968382</v>
      </c>
      <c r="H41" t="inlineStr">
        <is>
          <t>No</t>
        </is>
      </c>
      <c r="I41" t="inlineStr">
        <is>
          <t>No</t>
        </is>
      </c>
      <c r="J41" t="inlineStr">
        <is>
          <t>No</t>
        </is>
      </c>
    </row>
    <row r="42">
      <c r="A42" t="inlineStr">
        <is>
          <t>FFY2025</t>
        </is>
      </c>
      <c r="B42" t="inlineStr">
        <is>
          <t>FHWA Obligation</t>
        </is>
      </c>
      <c r="C42" t="inlineStr">
        <is>
          <t>04-19-0010</t>
        </is>
      </c>
      <c r="D42" t="inlineStr">
        <is>
          <t>25th Avenue Shared Use Path</t>
        </is>
      </c>
      <c r="E42" t="inlineStr">
        <is>
          <t>Bicycle &amp; Pedestrian</t>
        </is>
      </c>
      <c r="F42" t="inlineStr">
        <is>
          <t>Broadview</t>
        </is>
      </c>
      <c r="G42" s="5" t="n">
        <v>234884</v>
      </c>
      <c r="H42" t="inlineStr">
        <is>
          <t>Yes</t>
        </is>
      </c>
      <c r="I42" t="inlineStr">
        <is>
          <t>No</t>
        </is>
      </c>
      <c r="J42" t="inlineStr">
        <is>
          <t>Yes</t>
        </is>
      </c>
    </row>
    <row r="43">
      <c r="A43" t="inlineStr">
        <is>
          <t>FFY2025</t>
        </is>
      </c>
      <c r="B43" t="inlineStr">
        <is>
          <t>AC Authorization</t>
        </is>
      </c>
      <c r="C43" t="inlineStr">
        <is>
          <t>04-22-0038</t>
        </is>
      </c>
      <c r="D43" t="inlineStr">
        <is>
          <t>21st Street Bridge at Addison Creek Replacement</t>
        </is>
      </c>
      <c r="E43" t="inlineStr">
        <is>
          <t>Bridge Repair, Rehab, or Replace</t>
        </is>
      </c>
      <c r="F43" t="inlineStr">
        <is>
          <t>Broadview</t>
        </is>
      </c>
      <c r="G43" s="5" t="n">
        <v>1555000</v>
      </c>
      <c r="H43" t="inlineStr">
        <is>
          <t>No</t>
        </is>
      </c>
      <c r="I43" t="inlineStr">
        <is>
          <t>No</t>
        </is>
      </c>
      <c r="J43" t="inlineStr">
        <is>
          <t>No</t>
        </is>
      </c>
    </row>
    <row r="44">
      <c r="A44" t="inlineStr">
        <is>
          <t>FFY2025</t>
        </is>
      </c>
      <c r="B44" t="inlineStr">
        <is>
          <t>AC Authorization</t>
        </is>
      </c>
      <c r="C44" t="inlineStr">
        <is>
          <t>04-22-0038</t>
        </is>
      </c>
      <c r="D44" t="inlineStr">
        <is>
          <t>21st Street Bridge at Addison Creek Replacement</t>
        </is>
      </c>
      <c r="E44" t="inlineStr">
        <is>
          <t>Bridge Repair, Rehab, or Replace</t>
        </is>
      </c>
      <c r="F44" t="inlineStr">
        <is>
          <t>Broadview</t>
        </is>
      </c>
      <c r="G44" s="5" t="n">
        <v>1456200</v>
      </c>
      <c r="H44" t="inlineStr">
        <is>
          <t>No</t>
        </is>
      </c>
      <c r="I44" t="inlineStr">
        <is>
          <t>No</t>
        </is>
      </c>
      <c r="J44" t="inlineStr">
        <is>
          <t>No</t>
        </is>
      </c>
    </row>
    <row r="45">
      <c r="A45" t="inlineStr">
        <is>
          <t>FFY2025</t>
        </is>
      </c>
      <c r="B45" t="inlineStr">
        <is>
          <t>FHWA Obligation</t>
        </is>
      </c>
      <c r="C45" t="inlineStr">
        <is>
          <t>04-22-0038</t>
        </is>
      </c>
      <c r="D45" t="inlineStr">
        <is>
          <t>21st Street Bridge at Addison Creek Replacement</t>
        </is>
      </c>
      <c r="E45" t="inlineStr">
        <is>
          <t>Bridge Repair, Rehab, or Replace</t>
        </is>
      </c>
      <c r="F45" t="inlineStr">
        <is>
          <t>Broadview</t>
        </is>
      </c>
      <c r="G45" s="5" t="n">
        <v>136000</v>
      </c>
      <c r="H45" t="inlineStr">
        <is>
          <t>No</t>
        </is>
      </c>
      <c r="I45" t="inlineStr">
        <is>
          <t>No</t>
        </is>
      </c>
      <c r="J45" t="inlineStr">
        <is>
          <t>No</t>
        </is>
      </c>
    </row>
    <row r="46">
      <c r="A46" t="inlineStr">
        <is>
          <t>FFY2025</t>
        </is>
      </c>
      <c r="B46" t="inlineStr">
        <is>
          <t>FHWA Obligation</t>
        </is>
      </c>
      <c r="C46" t="inlineStr">
        <is>
          <t>04-00-0023</t>
        </is>
      </c>
      <c r="D46" t="inlineStr">
        <is>
          <t>I-290 Eisenhower Expy from US 12/45/20 Mannheim Rd to Racine Ave - RSP 30</t>
        </is>
      </c>
      <c r="E46" t="inlineStr">
        <is>
          <t>Road Expansion</t>
        </is>
      </c>
      <c r="F46" t="inlineStr">
        <is>
          <t>Broadview</t>
        </is>
      </c>
      <c r="G46" s="5" t="n">
        <v>284512</v>
      </c>
      <c r="H46" t="inlineStr">
        <is>
          <t>No</t>
        </is>
      </c>
      <c r="I46" t="inlineStr">
        <is>
          <t>No</t>
        </is>
      </c>
      <c r="J46" t="inlineStr">
        <is>
          <t>Yes</t>
        </is>
      </c>
    </row>
    <row r="47">
      <c r="A47" t="inlineStr">
        <is>
          <t>FFY2025</t>
        </is>
      </c>
      <c r="B47" t="inlineStr">
        <is>
          <t>FHWA Obligation</t>
        </is>
      </c>
      <c r="C47" t="inlineStr">
        <is>
          <t>04-00-0023</t>
        </is>
      </c>
      <c r="D47" t="inlineStr">
        <is>
          <t>I-290 Eisenhower Expy from US 12/45/20 Mannheim Rd to Racine Ave - RSP 30</t>
        </is>
      </c>
      <c r="E47" t="inlineStr">
        <is>
          <t>Road Expansion</t>
        </is>
      </c>
      <c r="F47" t="inlineStr">
        <is>
          <t>Broadview</t>
        </is>
      </c>
      <c r="G47" s="5" t="n">
        <v>1085043</v>
      </c>
      <c r="H47" t="inlineStr">
        <is>
          <t>No</t>
        </is>
      </c>
      <c r="I47" t="inlineStr">
        <is>
          <t>No</t>
        </is>
      </c>
      <c r="J47" t="inlineStr">
        <is>
          <t>Yes</t>
        </is>
      </c>
    </row>
    <row r="48">
      <c r="A48" t="inlineStr">
        <is>
          <t>FFY2025</t>
        </is>
      </c>
      <c r="B48" t="inlineStr">
        <is>
          <t>AC Authorization</t>
        </is>
      </c>
      <c r="C48" t="inlineStr">
        <is>
          <t>04-24-0021</t>
        </is>
      </c>
      <c r="D48" t="inlineStr">
        <is>
          <t>17th Ave - Madison St to 23rd St</t>
        </is>
      </c>
      <c r="E48" t="inlineStr">
        <is>
          <t>Road Maintenance</t>
        </is>
      </c>
      <c r="F48" t="inlineStr">
        <is>
          <t>Broadview</t>
        </is>
      </c>
      <c r="G48" s="5" t="n">
        <v>2400000</v>
      </c>
      <c r="H48" t="inlineStr">
        <is>
          <t>Yes</t>
        </is>
      </c>
      <c r="I48" t="inlineStr">
        <is>
          <t>Yes</t>
        </is>
      </c>
      <c r="J48" t="inlineStr">
        <is>
          <t>No</t>
        </is>
      </c>
    </row>
    <row r="49">
      <c r="A49" t="inlineStr">
        <is>
          <t>FFY2025</t>
        </is>
      </c>
      <c r="B49" t="inlineStr">
        <is>
          <t>AC Authorization</t>
        </is>
      </c>
      <c r="C49" t="inlineStr">
        <is>
          <t>05-16-0007</t>
        </is>
      </c>
      <c r="D49" t="inlineStr">
        <is>
          <t>IL 56 from IL 59 to IL 50; Cermak Rd./22nd St., Renaissance Blvd (West of) to IL 50 (Cicero Ave.)</t>
        </is>
      </c>
      <c r="E49" t="inlineStr">
        <is>
          <t>Road Maintenance</t>
        </is>
      </c>
      <c r="F49" t="inlineStr">
        <is>
          <t>Broadview</t>
        </is>
      </c>
      <c r="G49" s="5" t="n">
        <v>2913880</v>
      </c>
      <c r="H49" t="inlineStr">
        <is>
          <t>No</t>
        </is>
      </c>
      <c r="I49" t="inlineStr">
        <is>
          <t>No</t>
        </is>
      </c>
      <c r="J49" t="inlineStr">
        <is>
          <t>No</t>
        </is>
      </c>
    </row>
    <row r="50">
      <c r="A50" t="inlineStr">
        <is>
          <t>FFY2025</t>
        </is>
      </c>
      <c r="B50" t="inlineStr">
        <is>
          <t>FHWA Obligation</t>
        </is>
      </c>
      <c r="C50" t="inlineStr">
        <is>
          <t>05-16-0007</t>
        </is>
      </c>
      <c r="D50" t="inlineStr">
        <is>
          <t>IL 56 from IL 59 to IL 50; Cermak Rd./22nd St., Renaissance Blvd (West of) to IL 50 (Cicero Ave.)</t>
        </is>
      </c>
      <c r="E50" t="inlineStr">
        <is>
          <t>Road Maintenance</t>
        </is>
      </c>
      <c r="F50" t="inlineStr">
        <is>
          <t>Broadview</t>
        </is>
      </c>
      <c r="G50" s="5" t="n">
        <v>116074</v>
      </c>
      <c r="H50" t="inlineStr">
        <is>
          <t>No</t>
        </is>
      </c>
      <c r="I50" t="inlineStr">
        <is>
          <t>No</t>
        </is>
      </c>
      <c r="J50" t="inlineStr">
        <is>
          <t>No</t>
        </is>
      </c>
    </row>
    <row r="51">
      <c r="A51" t="inlineStr">
        <is>
          <t>FFY2025</t>
        </is>
      </c>
      <c r="B51" t="inlineStr">
        <is>
          <t>FHWA Obligation</t>
        </is>
      </c>
      <c r="C51" t="inlineStr">
        <is>
          <t>05-16-0007</t>
        </is>
      </c>
      <c r="D51" t="inlineStr">
        <is>
          <t>IL 56 from IL 59 to IL 50; Cermak Rd./22nd St., Renaissance Blvd (West of) to IL 50 (Cicero Ave.)</t>
        </is>
      </c>
      <c r="E51" t="inlineStr">
        <is>
          <t>Road Maintenance</t>
        </is>
      </c>
      <c r="F51" t="inlineStr">
        <is>
          <t>Broadview</t>
        </is>
      </c>
      <c r="G51" s="5" t="n">
        <v>16038095</v>
      </c>
      <c r="H51" t="inlineStr">
        <is>
          <t>No</t>
        </is>
      </c>
      <c r="I51" t="inlineStr">
        <is>
          <t>No</t>
        </is>
      </c>
      <c r="J51" t="inlineStr">
        <is>
          <t>No</t>
        </is>
      </c>
    </row>
    <row r="52">
      <c r="A52" t="inlineStr">
        <is>
          <t>FFY2025</t>
        </is>
      </c>
      <c r="B52" t="inlineStr">
        <is>
          <t>FHWA Obligation</t>
        </is>
      </c>
      <c r="C52" t="inlineStr">
        <is>
          <t>04-21-0010</t>
        </is>
      </c>
      <c r="D52" t="inlineStr">
        <is>
          <t>17th Ave - 14th St to I-290 (Eisenhower Expwy)</t>
        </is>
      </c>
      <c r="E52" t="inlineStr">
        <is>
          <t>Signal Systems</t>
        </is>
      </c>
      <c r="F52" t="inlineStr">
        <is>
          <t>Broadview</t>
        </is>
      </c>
      <c r="G52" s="5" t="n">
        <v>1968382</v>
      </c>
      <c r="H52" t="inlineStr">
        <is>
          <t>No</t>
        </is>
      </c>
      <c r="I52" t="inlineStr">
        <is>
          <t>No</t>
        </is>
      </c>
      <c r="J52" t="inlineStr">
        <is>
          <t>No</t>
        </is>
      </c>
    </row>
    <row r="53">
      <c r="A53" t="inlineStr">
        <is>
          <t>FFY2025</t>
        </is>
      </c>
      <c r="B53" t="inlineStr">
        <is>
          <t>AC Authorization</t>
        </is>
      </c>
      <c r="C53" t="inlineStr">
        <is>
          <t>05-25-0009</t>
        </is>
      </c>
      <c r="D53" t="inlineStr">
        <is>
          <t>Maple Avenue Resurfacing Project (LAFO)</t>
        </is>
      </c>
      <c r="E53" t="inlineStr">
        <is>
          <t>Road Maintenance</t>
        </is>
      </c>
      <c r="F53" t="inlineStr">
        <is>
          <t>Brookfield</t>
        </is>
      </c>
      <c r="G53" s="5" t="n">
        <v>2236931</v>
      </c>
      <c r="H53" t="inlineStr">
        <is>
          <t>Yes</t>
        </is>
      </c>
      <c r="I53" t="inlineStr">
        <is>
          <t>Yes</t>
        </is>
      </c>
      <c r="J53" t="inlineStr">
        <is>
          <t>Yes</t>
        </is>
      </c>
    </row>
    <row r="54">
      <c r="A54" t="inlineStr">
        <is>
          <t>FFY2025</t>
        </is>
      </c>
      <c r="B54" t="inlineStr">
        <is>
          <t>FHWA Obligation</t>
        </is>
      </c>
      <c r="C54" t="inlineStr">
        <is>
          <t>05-22-0012</t>
        </is>
      </c>
      <c r="D54" t="inlineStr">
        <is>
          <t>LAFO resurfacing: Brookfield, Woodside, Parkview, Golf, and Grand</t>
        </is>
      </c>
      <c r="E54" t="inlineStr">
        <is>
          <t>Road Maintenance</t>
        </is>
      </c>
      <c r="F54" t="inlineStr">
        <is>
          <t>Brookfield</t>
        </is>
      </c>
      <c r="G54" s="5" t="n">
        <v>4062640</v>
      </c>
      <c r="H54" t="inlineStr">
        <is>
          <t>Yes</t>
        </is>
      </c>
      <c r="I54" t="inlineStr">
        <is>
          <t>Yes</t>
        </is>
      </c>
      <c r="J54" t="inlineStr">
        <is>
          <t>Yes</t>
        </is>
      </c>
    </row>
    <row r="55">
      <c r="A55" t="inlineStr">
        <is>
          <t>FFY2025</t>
        </is>
      </c>
      <c r="B55" t="inlineStr">
        <is>
          <t>AC Authorization</t>
        </is>
      </c>
      <c r="C55" t="inlineStr">
        <is>
          <t>01-18-0022</t>
        </is>
      </c>
      <c r="D55" t="inlineStr">
        <is>
          <t>I-94 Bishop Ford Expwy - W of Martin Luther King Dr to US 6 (159th St)</t>
        </is>
      </c>
      <c r="E55" t="inlineStr">
        <is>
          <t>Bridge Routine Maintenance</t>
        </is>
      </c>
      <c r="F55" t="inlineStr">
        <is>
          <t>Calumet City</t>
        </is>
      </c>
      <c r="G55" s="5" t="n">
        <v>45000000</v>
      </c>
      <c r="H55" t="inlineStr">
        <is>
          <t>No</t>
        </is>
      </c>
      <c r="I55" t="inlineStr">
        <is>
          <t>No</t>
        </is>
      </c>
      <c r="J55" t="inlineStr">
        <is>
          <t>Yes</t>
        </is>
      </c>
    </row>
    <row r="56">
      <c r="A56" t="inlineStr">
        <is>
          <t>FFY2025</t>
        </is>
      </c>
      <c r="B56" t="inlineStr">
        <is>
          <t>AC Authorization</t>
        </is>
      </c>
      <c r="C56" t="inlineStr">
        <is>
          <t>01-18-0022</t>
        </is>
      </c>
      <c r="D56" t="inlineStr">
        <is>
          <t>I-94 Bishop Ford Expwy - W of Martin Luther King Dr to US 6 (159th St)</t>
        </is>
      </c>
      <c r="E56" t="inlineStr">
        <is>
          <t>Bridge Routine Maintenance</t>
        </is>
      </c>
      <c r="F56" t="inlineStr">
        <is>
          <t>Calumet City</t>
        </is>
      </c>
      <c r="G56" s="5" t="n">
        <v>5850000</v>
      </c>
      <c r="H56" t="inlineStr">
        <is>
          <t>No</t>
        </is>
      </c>
      <c r="I56" t="inlineStr">
        <is>
          <t>No</t>
        </is>
      </c>
      <c r="J56" t="inlineStr">
        <is>
          <t>Yes</t>
        </is>
      </c>
    </row>
    <row r="57">
      <c r="A57" t="inlineStr">
        <is>
          <t>FFY2025</t>
        </is>
      </c>
      <c r="B57" t="inlineStr">
        <is>
          <t>FHWA Obligation</t>
        </is>
      </c>
      <c r="C57" t="inlineStr">
        <is>
          <t>01-18-0022</t>
        </is>
      </c>
      <c r="D57" t="inlineStr">
        <is>
          <t>I-94 Bishop Ford Expwy - W of Martin Luther King Dr to US 6 (159th St)</t>
        </is>
      </c>
      <c r="E57" t="inlineStr">
        <is>
          <t>Bridge Routine Maintenance</t>
        </is>
      </c>
      <c r="F57" t="inlineStr">
        <is>
          <t>Calumet City</t>
        </is>
      </c>
      <c r="G57" s="5" t="n">
        <v>28262658</v>
      </c>
      <c r="H57" t="inlineStr">
        <is>
          <t>No</t>
        </is>
      </c>
      <c r="I57" t="inlineStr">
        <is>
          <t>No</t>
        </is>
      </c>
      <c r="J57" t="inlineStr">
        <is>
          <t>Yes</t>
        </is>
      </c>
    </row>
    <row r="58">
      <c r="A58" t="inlineStr">
        <is>
          <t>FFY2025</t>
        </is>
      </c>
      <c r="B58" t="inlineStr">
        <is>
          <t>FHWA Obligation</t>
        </is>
      </c>
      <c r="C58" t="inlineStr">
        <is>
          <t>01-18-0022</t>
        </is>
      </c>
      <c r="D58" t="inlineStr">
        <is>
          <t>I-94 Bishop Ford Expwy - W of Martin Luther King Dr to US 6 (159th St)</t>
        </is>
      </c>
      <c r="E58" t="inlineStr">
        <is>
          <t>Bridge Routine Maintenance</t>
        </is>
      </c>
      <c r="F58" t="inlineStr">
        <is>
          <t>Calumet City</t>
        </is>
      </c>
      <c r="G58" s="5" t="n">
        <v>28800</v>
      </c>
      <c r="H58" t="inlineStr">
        <is>
          <t>No</t>
        </is>
      </c>
      <c r="I58" t="inlineStr">
        <is>
          <t>No</t>
        </is>
      </c>
      <c r="J58" t="inlineStr">
        <is>
          <t>Yes</t>
        </is>
      </c>
    </row>
    <row r="59">
      <c r="A59" t="inlineStr">
        <is>
          <t>FFY2025</t>
        </is>
      </c>
      <c r="B59" t="inlineStr">
        <is>
          <t>FHWA Obligation</t>
        </is>
      </c>
      <c r="C59" t="inlineStr">
        <is>
          <t>01-18-0022</t>
        </is>
      </c>
      <c r="D59" t="inlineStr">
        <is>
          <t>I-94 Bishop Ford Expwy - W of Martin Luther King Dr to US 6 (159th St)</t>
        </is>
      </c>
      <c r="E59" t="inlineStr">
        <is>
          <t>Bridge Routine Maintenance</t>
        </is>
      </c>
      <c r="F59" t="inlineStr">
        <is>
          <t>Calumet City</t>
        </is>
      </c>
      <c r="G59" s="5" t="n">
        <v>34466</v>
      </c>
      <c r="H59" t="inlineStr">
        <is>
          <t>No</t>
        </is>
      </c>
      <c r="I59" t="inlineStr">
        <is>
          <t>No</t>
        </is>
      </c>
      <c r="J59" t="inlineStr">
        <is>
          <t>Yes</t>
        </is>
      </c>
    </row>
    <row r="60">
      <c r="A60" t="inlineStr">
        <is>
          <t>FFY2025</t>
        </is>
      </c>
      <c r="B60" t="inlineStr">
        <is>
          <t>FHWA Obligation</t>
        </is>
      </c>
      <c r="C60" t="inlineStr">
        <is>
          <t>01-18-0022</t>
        </is>
      </c>
      <c r="D60" t="inlineStr">
        <is>
          <t>I-94 Bishop Ford Expwy - W of Martin Luther King Dr to US 6 (159th St)</t>
        </is>
      </c>
      <c r="E60" t="inlineStr">
        <is>
          <t>Bridge Routine Maintenance</t>
        </is>
      </c>
      <c r="F60" t="inlineStr">
        <is>
          <t>Calumet City</t>
        </is>
      </c>
      <c r="G60" s="5" t="n">
        <v>58500</v>
      </c>
      <c r="H60" t="inlineStr">
        <is>
          <t>No</t>
        </is>
      </c>
      <c r="I60" t="inlineStr">
        <is>
          <t>No</t>
        </is>
      </c>
      <c r="J60" t="inlineStr">
        <is>
          <t>Yes</t>
        </is>
      </c>
    </row>
    <row r="61">
      <c r="A61" t="inlineStr">
        <is>
          <t>FFY2025</t>
        </is>
      </c>
      <c r="B61" t="inlineStr">
        <is>
          <t>FHWA Obligation</t>
        </is>
      </c>
      <c r="C61" t="inlineStr">
        <is>
          <t>07-23-0028</t>
        </is>
      </c>
      <c r="D61" t="inlineStr">
        <is>
          <t>I-57 - Under Metra RR N of 127th St &amp; Bike Path N of 107th St</t>
        </is>
      </c>
      <c r="E61" t="inlineStr">
        <is>
          <t>Bridge Routine Maintenance</t>
        </is>
      </c>
      <c r="F61" t="inlineStr">
        <is>
          <t>Calumet Park</t>
        </is>
      </c>
      <c r="G61" s="5" t="n">
        <v>1468466</v>
      </c>
      <c r="H61" t="inlineStr">
        <is>
          <t>No</t>
        </is>
      </c>
      <c r="I61" t="inlineStr">
        <is>
          <t>No</t>
        </is>
      </c>
      <c r="J61" t="inlineStr">
        <is>
          <t>Yes</t>
        </is>
      </c>
    </row>
    <row r="62">
      <c r="A62" t="inlineStr">
        <is>
          <t>FFY2025</t>
        </is>
      </c>
      <c r="B62" t="inlineStr">
        <is>
          <t>FHWA Obligation</t>
        </is>
      </c>
      <c r="C62" t="inlineStr">
        <is>
          <t>01-25-0028</t>
        </is>
      </c>
      <c r="D62" t="inlineStr">
        <is>
          <t>Lincoln Park ADA Accessibility Improvements</t>
        </is>
      </c>
      <c r="E62" t="inlineStr">
        <is>
          <t>Bicycle &amp; Pedestrian</t>
        </is>
      </c>
      <c r="F62" t="inlineStr">
        <is>
          <t>Chicago</t>
        </is>
      </c>
      <c r="G62" s="5" t="n">
        <v>1000000</v>
      </c>
      <c r="H62" t="inlineStr">
        <is>
          <t>Yes</t>
        </is>
      </c>
      <c r="I62" t="inlineStr">
        <is>
          <t>Yes</t>
        </is>
      </c>
      <c r="J62" t="inlineStr">
        <is>
          <t>No</t>
        </is>
      </c>
    </row>
    <row r="63">
      <c r="A63" t="inlineStr">
        <is>
          <t>FFY2025</t>
        </is>
      </c>
      <c r="B63" t="inlineStr">
        <is>
          <t>FHWA Obligation</t>
        </is>
      </c>
      <c r="C63" t="inlineStr">
        <is>
          <t>01-94-0092</t>
        </is>
      </c>
      <c r="D63" t="inlineStr">
        <is>
          <t>Chicago Streets for Cycling</t>
        </is>
      </c>
      <c r="E63" t="inlineStr">
        <is>
          <t>Bicycle &amp; Pedestrian</t>
        </is>
      </c>
      <c r="F63" t="inlineStr">
        <is>
          <t>Chicago</t>
        </is>
      </c>
      <c r="G63" s="5" t="n">
        <v>864706</v>
      </c>
      <c r="H63" t="inlineStr">
        <is>
          <t>Yes</t>
        </is>
      </c>
      <c r="I63" t="inlineStr">
        <is>
          <t>No</t>
        </is>
      </c>
      <c r="J63" t="inlineStr">
        <is>
          <t>Yes</t>
        </is>
      </c>
    </row>
    <row r="64">
      <c r="A64" t="inlineStr">
        <is>
          <t>FFY2025</t>
        </is>
      </c>
      <c r="B64" t="inlineStr">
        <is>
          <t>FHWA Obligation</t>
        </is>
      </c>
      <c r="C64" t="inlineStr">
        <is>
          <t>01-94-0092</t>
        </is>
      </c>
      <c r="D64" t="inlineStr">
        <is>
          <t>Chicago Streets for Cycling</t>
        </is>
      </c>
      <c r="E64" t="inlineStr">
        <is>
          <t>Bicycle &amp; Pedestrian</t>
        </is>
      </c>
      <c r="F64" t="inlineStr">
        <is>
          <t>Chicago</t>
        </is>
      </c>
      <c r="G64" s="5" t="n">
        <v>196543</v>
      </c>
      <c r="H64" t="inlineStr">
        <is>
          <t>Yes</t>
        </is>
      </c>
      <c r="I64" t="inlineStr">
        <is>
          <t>No</t>
        </is>
      </c>
      <c r="J64" t="inlineStr">
        <is>
          <t>Yes</t>
        </is>
      </c>
    </row>
    <row r="65">
      <c r="A65" t="inlineStr">
        <is>
          <t>FFY2025</t>
        </is>
      </c>
      <c r="B65" t="inlineStr">
        <is>
          <t>FHWA Obligation</t>
        </is>
      </c>
      <c r="C65" t="inlineStr">
        <is>
          <t>04-17-0011</t>
        </is>
      </c>
      <c r="D65" t="inlineStr">
        <is>
          <t>Des Plaines River Trail from Touhy to North Avenue</t>
        </is>
      </c>
      <c r="E65" t="inlineStr">
        <is>
          <t>Bicycle &amp; Pedestrian</t>
        </is>
      </c>
      <c r="F65" t="inlineStr">
        <is>
          <t>Chicago</t>
        </is>
      </c>
      <c r="G65" s="5" t="n">
        <v>2524900</v>
      </c>
      <c r="H65" t="inlineStr">
        <is>
          <t>Yes</t>
        </is>
      </c>
      <c r="I65" t="inlineStr">
        <is>
          <t>No</t>
        </is>
      </c>
      <c r="J65" t="inlineStr">
        <is>
          <t>No</t>
        </is>
      </c>
    </row>
    <row r="66">
      <c r="A66" t="inlineStr">
        <is>
          <t>FFY2025</t>
        </is>
      </c>
      <c r="B66" t="inlineStr">
        <is>
          <t>FHWA Obligation</t>
        </is>
      </c>
      <c r="C66" t="inlineStr">
        <is>
          <t>04-17-0011</t>
        </is>
      </c>
      <c r="D66" t="inlineStr">
        <is>
          <t>Des Plaines River Trail from Touhy to North Avenue</t>
        </is>
      </c>
      <c r="E66" t="inlineStr">
        <is>
          <t>Bicycle &amp; Pedestrian</t>
        </is>
      </c>
      <c r="F66" t="inlineStr">
        <is>
          <t>Chicago</t>
        </is>
      </c>
      <c r="G66" s="5" t="n">
        <v>257400</v>
      </c>
      <c r="H66" t="inlineStr">
        <is>
          <t>Yes</t>
        </is>
      </c>
      <c r="I66" t="inlineStr">
        <is>
          <t>No</t>
        </is>
      </c>
      <c r="J66" t="inlineStr">
        <is>
          <t>No</t>
        </is>
      </c>
    </row>
    <row r="67">
      <c r="A67" t="inlineStr">
        <is>
          <t>FFY2025</t>
        </is>
      </c>
      <c r="B67" t="inlineStr">
        <is>
          <t>FHWA Obligation</t>
        </is>
      </c>
      <c r="C67" t="inlineStr">
        <is>
          <t>04-17-0011</t>
        </is>
      </c>
      <c r="D67" t="inlineStr">
        <is>
          <t>Des Plaines River Trail from Touhy to North Avenue</t>
        </is>
      </c>
      <c r="E67" t="inlineStr">
        <is>
          <t>Bicycle &amp; Pedestrian</t>
        </is>
      </c>
      <c r="F67" t="inlineStr">
        <is>
          <t>Chicago</t>
        </is>
      </c>
      <c r="G67" s="5" t="n">
        <v>163300</v>
      </c>
      <c r="H67" t="inlineStr">
        <is>
          <t>Yes</t>
        </is>
      </c>
      <c r="I67" t="inlineStr">
        <is>
          <t>No</t>
        </is>
      </c>
      <c r="J67" t="inlineStr">
        <is>
          <t>No</t>
        </is>
      </c>
    </row>
    <row r="68">
      <c r="A68" t="inlineStr">
        <is>
          <t>FFY2025</t>
        </is>
      </c>
      <c r="B68" t="inlineStr">
        <is>
          <t>AC Authorization</t>
        </is>
      </c>
      <c r="C68" t="inlineStr">
        <is>
          <t>01-09-0031</t>
        </is>
      </c>
      <c r="D68" t="inlineStr">
        <is>
          <t>I-94 I-90 Kennedy Expy from I-94 Edens Expy to Hubbard St</t>
        </is>
      </c>
      <c r="E68" t="inlineStr">
        <is>
          <t>Bridge Repair, Rehab, or Replace</t>
        </is>
      </c>
      <c r="F68" t="inlineStr">
        <is>
          <t>Chicago</t>
        </is>
      </c>
      <c r="G68" s="5" t="n">
        <v>456329</v>
      </c>
      <c r="H68" t="inlineStr">
        <is>
          <t>No</t>
        </is>
      </c>
      <c r="I68" t="inlineStr">
        <is>
          <t>No</t>
        </is>
      </c>
      <c r="J68" t="inlineStr">
        <is>
          <t>Yes</t>
        </is>
      </c>
    </row>
    <row r="69">
      <c r="A69" t="inlineStr">
        <is>
          <t>FFY2025</t>
        </is>
      </c>
      <c r="B69" t="inlineStr">
        <is>
          <t>AC Authorization</t>
        </is>
      </c>
      <c r="C69" t="inlineStr">
        <is>
          <t>01-22-0005</t>
        </is>
      </c>
      <c r="D69" t="inlineStr">
        <is>
          <t>I-290 Eisenhower Expwy - At Keeler Ave</t>
        </is>
      </c>
      <c r="E69" t="inlineStr">
        <is>
          <t>Bridge Repair, Rehab, or Replace</t>
        </is>
      </c>
      <c r="F69" t="inlineStr">
        <is>
          <t>Chicago</t>
        </is>
      </c>
      <c r="G69" s="5" t="n">
        <v>18000000</v>
      </c>
      <c r="H69" t="inlineStr">
        <is>
          <t>No</t>
        </is>
      </c>
      <c r="I69" t="inlineStr">
        <is>
          <t>No</t>
        </is>
      </c>
      <c r="J69" t="inlineStr">
        <is>
          <t>Yes</t>
        </is>
      </c>
    </row>
    <row r="70">
      <c r="A70" t="inlineStr">
        <is>
          <t>FFY2025</t>
        </is>
      </c>
      <c r="B70" t="inlineStr">
        <is>
          <t>AC Authorization</t>
        </is>
      </c>
      <c r="C70" t="inlineStr">
        <is>
          <t>01-22-0005</t>
        </is>
      </c>
      <c r="D70" t="inlineStr">
        <is>
          <t>I-290 Eisenhower Expwy - At Keeler Ave</t>
        </is>
      </c>
      <c r="E70" t="inlineStr">
        <is>
          <t>Bridge Repair, Rehab, or Replace</t>
        </is>
      </c>
      <c r="F70" t="inlineStr">
        <is>
          <t>Chicago</t>
        </is>
      </c>
      <c r="G70" s="5" t="n">
        <v>2101000</v>
      </c>
      <c r="H70" t="inlineStr">
        <is>
          <t>No</t>
        </is>
      </c>
      <c r="I70" t="inlineStr">
        <is>
          <t>No</t>
        </is>
      </c>
      <c r="J70" t="inlineStr">
        <is>
          <t>Yes</t>
        </is>
      </c>
    </row>
    <row r="71">
      <c r="A71" t="inlineStr">
        <is>
          <t>FFY2025</t>
        </is>
      </c>
      <c r="B71" t="inlineStr">
        <is>
          <t>AC Authorization</t>
        </is>
      </c>
      <c r="C71" t="inlineStr">
        <is>
          <t>01-24-0014</t>
        </is>
      </c>
      <c r="D71" t="inlineStr">
        <is>
          <t>Ill 1 Halsted St at Little Calumet River</t>
        </is>
      </c>
      <c r="E71" t="inlineStr">
        <is>
          <t>Bridge Repair, Rehab, or Replace</t>
        </is>
      </c>
      <c r="F71" t="inlineStr">
        <is>
          <t>Chicago</t>
        </is>
      </c>
      <c r="G71" s="5" t="n">
        <v>3600000</v>
      </c>
      <c r="H71" t="inlineStr">
        <is>
          <t>No</t>
        </is>
      </c>
      <c r="I71" t="inlineStr">
        <is>
          <t>No</t>
        </is>
      </c>
      <c r="J71" t="inlineStr">
        <is>
          <t>No</t>
        </is>
      </c>
    </row>
    <row r="72">
      <c r="A72" t="inlineStr">
        <is>
          <t>FFY2025</t>
        </is>
      </c>
      <c r="B72" t="inlineStr">
        <is>
          <t>AC Authorization</t>
        </is>
      </c>
      <c r="C72" t="inlineStr">
        <is>
          <t>01-24-0014</t>
        </is>
      </c>
      <c r="D72" t="inlineStr">
        <is>
          <t>Ill 1 Halsted St at Little Calumet River</t>
        </is>
      </c>
      <c r="E72" t="inlineStr">
        <is>
          <t>Bridge Repair, Rehab, or Replace</t>
        </is>
      </c>
      <c r="F72" t="inlineStr">
        <is>
          <t>Chicago</t>
        </is>
      </c>
      <c r="G72" s="5" t="n">
        <v>400000</v>
      </c>
      <c r="H72" t="inlineStr">
        <is>
          <t>No</t>
        </is>
      </c>
      <c r="I72" t="inlineStr">
        <is>
          <t>No</t>
        </is>
      </c>
      <c r="J72" t="inlineStr">
        <is>
          <t>No</t>
        </is>
      </c>
    </row>
    <row r="73">
      <c r="A73" t="inlineStr">
        <is>
          <t>FFY2025</t>
        </is>
      </c>
      <c r="B73" t="inlineStr">
        <is>
          <t>AC Authorization</t>
        </is>
      </c>
      <c r="C73" t="inlineStr">
        <is>
          <t>02-18-0003</t>
        </is>
      </c>
      <c r="D73" t="inlineStr">
        <is>
          <t>I-94 Edens Expwy at Devon Ave</t>
        </is>
      </c>
      <c r="E73" t="inlineStr">
        <is>
          <t>Bridge Repair, Rehab, or Replace</t>
        </is>
      </c>
      <c r="F73" t="inlineStr">
        <is>
          <t>Chicago</t>
        </is>
      </c>
      <c r="G73" s="5" t="n">
        <v>14211000</v>
      </c>
      <c r="H73" t="inlineStr">
        <is>
          <t>No</t>
        </is>
      </c>
      <c r="I73" t="inlineStr">
        <is>
          <t>No</t>
        </is>
      </c>
      <c r="J73" t="inlineStr">
        <is>
          <t>No</t>
        </is>
      </c>
    </row>
    <row r="74">
      <c r="A74" t="inlineStr">
        <is>
          <t>FFY2025</t>
        </is>
      </c>
      <c r="B74" t="inlineStr">
        <is>
          <t>AC Authorization</t>
        </is>
      </c>
      <c r="C74" t="inlineStr">
        <is>
          <t>02-18-0003</t>
        </is>
      </c>
      <c r="D74" t="inlineStr">
        <is>
          <t>I-94 Edens Expwy at Devon Ave</t>
        </is>
      </c>
      <c r="E74" t="inlineStr">
        <is>
          <t>Bridge Repair, Rehab, or Replace</t>
        </is>
      </c>
      <c r="F74" t="inlineStr">
        <is>
          <t>Chicago</t>
        </is>
      </c>
      <c r="G74" s="5" t="n">
        <v>2027000</v>
      </c>
      <c r="H74" t="inlineStr">
        <is>
          <t>No</t>
        </is>
      </c>
      <c r="I74" t="inlineStr">
        <is>
          <t>No</t>
        </is>
      </c>
      <c r="J74" t="inlineStr">
        <is>
          <t>No</t>
        </is>
      </c>
    </row>
    <row r="75">
      <c r="A75" t="inlineStr">
        <is>
          <t>FFY2025</t>
        </is>
      </c>
      <c r="B75" t="inlineStr">
        <is>
          <t>FHWA Obligation</t>
        </is>
      </c>
      <c r="C75" t="inlineStr">
        <is>
          <t>01-09-0031</t>
        </is>
      </c>
      <c r="D75" t="inlineStr">
        <is>
          <t>I-94 I-90 Kennedy Expy from I-94 Edens Expy to Hubbard St</t>
        </is>
      </c>
      <c r="E75" t="inlineStr">
        <is>
          <t>Bridge Repair, Rehab, or Replace</t>
        </is>
      </c>
      <c r="F75" t="inlineStr">
        <is>
          <t>Chicago</t>
        </is>
      </c>
      <c r="G75" s="5" t="n">
        <v>15765919</v>
      </c>
      <c r="H75" t="inlineStr">
        <is>
          <t>No</t>
        </is>
      </c>
      <c r="I75" t="inlineStr">
        <is>
          <t>No</t>
        </is>
      </c>
      <c r="J75" t="inlineStr">
        <is>
          <t>Yes</t>
        </is>
      </c>
    </row>
    <row r="76">
      <c r="A76" t="inlineStr">
        <is>
          <t>FFY2025</t>
        </is>
      </c>
      <c r="B76" t="inlineStr">
        <is>
          <t>FHWA Obligation</t>
        </is>
      </c>
      <c r="C76" t="inlineStr">
        <is>
          <t>01-12-0012</t>
        </is>
      </c>
      <c r="D76" t="inlineStr">
        <is>
          <t>Canal Street from Madison Street to Taylor Street (Canal St Viaducts)</t>
        </is>
      </c>
      <c r="E76" t="inlineStr">
        <is>
          <t>Bridge Repair, Rehab, or Replace</t>
        </is>
      </c>
      <c r="F76" t="inlineStr">
        <is>
          <t>Chicago</t>
        </is>
      </c>
      <c r="G76" s="5" t="n">
        <v>9480000</v>
      </c>
      <c r="H76" t="inlineStr">
        <is>
          <t>Yes</t>
        </is>
      </c>
      <c r="I76" t="inlineStr">
        <is>
          <t>Yes</t>
        </is>
      </c>
      <c r="J76" t="inlineStr">
        <is>
          <t>Yes</t>
        </is>
      </c>
    </row>
    <row r="77">
      <c r="A77" t="inlineStr">
        <is>
          <t>FFY2025</t>
        </is>
      </c>
      <c r="B77" t="inlineStr">
        <is>
          <t>FHWA Obligation</t>
        </is>
      </c>
      <c r="C77" t="inlineStr">
        <is>
          <t>01-18-0007</t>
        </is>
      </c>
      <c r="D77" t="inlineStr">
        <is>
          <t>Congress Pkwy - At Old Post Office</t>
        </is>
      </c>
      <c r="E77" t="inlineStr">
        <is>
          <t>Bridge Repair, Rehab, or Replace</t>
        </is>
      </c>
      <c r="F77" t="inlineStr">
        <is>
          <t>Chicago</t>
        </is>
      </c>
      <c r="G77" s="5" t="n">
        <v>13140</v>
      </c>
      <c r="H77" t="inlineStr">
        <is>
          <t>No</t>
        </is>
      </c>
      <c r="I77" t="inlineStr">
        <is>
          <t>No</t>
        </is>
      </c>
      <c r="J77" t="inlineStr">
        <is>
          <t>No</t>
        </is>
      </c>
    </row>
    <row r="78">
      <c r="A78" t="inlineStr">
        <is>
          <t>FFY2025</t>
        </is>
      </c>
      <c r="B78" t="inlineStr">
        <is>
          <t>FHWA Obligation</t>
        </is>
      </c>
      <c r="C78" t="inlineStr">
        <is>
          <t>01-21-0032</t>
        </is>
      </c>
      <c r="D78" t="inlineStr">
        <is>
          <t>I-290 Eisenhower Expwy - At Leavitt St</t>
        </is>
      </c>
      <c r="E78" t="inlineStr">
        <is>
          <t>Bridge Repair, Rehab, or Replace</t>
        </is>
      </c>
      <c r="F78" t="inlineStr">
        <is>
          <t>Chicago</t>
        </is>
      </c>
      <c r="G78" s="5" t="n">
        <v>14197643</v>
      </c>
      <c r="H78" t="inlineStr">
        <is>
          <t>Yes</t>
        </is>
      </c>
      <c r="I78" t="inlineStr">
        <is>
          <t>Yes</t>
        </is>
      </c>
      <c r="J78" t="inlineStr">
        <is>
          <t>Yes</t>
        </is>
      </c>
    </row>
    <row r="79">
      <c r="A79" t="inlineStr">
        <is>
          <t>FFY2025</t>
        </is>
      </c>
      <c r="B79" t="inlineStr">
        <is>
          <t>AC Authorization</t>
        </is>
      </c>
      <c r="C79" t="inlineStr">
        <is>
          <t>01-18-0022</t>
        </is>
      </c>
      <c r="D79" t="inlineStr">
        <is>
          <t>I-94 Bishop Ford Expwy - W of Martin Luther King Dr to US 6 (159th St)</t>
        </is>
      </c>
      <c r="E79" t="inlineStr">
        <is>
          <t>Bridge Routine Maintenance</t>
        </is>
      </c>
      <c r="F79" t="inlineStr">
        <is>
          <t>Chicago</t>
        </is>
      </c>
      <c r="G79" s="5" t="n">
        <v>45000000</v>
      </c>
      <c r="H79" t="inlineStr">
        <is>
          <t>No</t>
        </is>
      </c>
      <c r="I79" t="inlineStr">
        <is>
          <t>No</t>
        </is>
      </c>
      <c r="J79" t="inlineStr">
        <is>
          <t>Yes</t>
        </is>
      </c>
    </row>
    <row r="80">
      <c r="A80" t="inlineStr">
        <is>
          <t>FFY2025</t>
        </is>
      </c>
      <c r="B80" t="inlineStr">
        <is>
          <t>AC Authorization</t>
        </is>
      </c>
      <c r="C80" t="inlineStr">
        <is>
          <t>01-18-0022</t>
        </is>
      </c>
      <c r="D80" t="inlineStr">
        <is>
          <t>I-94 Bishop Ford Expwy - W of Martin Luther King Dr to US 6 (159th St)</t>
        </is>
      </c>
      <c r="E80" t="inlineStr">
        <is>
          <t>Bridge Routine Maintenance</t>
        </is>
      </c>
      <c r="F80" t="inlineStr">
        <is>
          <t>Chicago</t>
        </is>
      </c>
      <c r="G80" s="5" t="n">
        <v>5850000</v>
      </c>
      <c r="H80" t="inlineStr">
        <is>
          <t>No</t>
        </is>
      </c>
      <c r="I80" t="inlineStr">
        <is>
          <t>No</t>
        </is>
      </c>
      <c r="J80" t="inlineStr">
        <is>
          <t>Yes</t>
        </is>
      </c>
    </row>
    <row r="81">
      <c r="A81" t="inlineStr">
        <is>
          <t>FFY2025</t>
        </is>
      </c>
      <c r="B81" t="inlineStr">
        <is>
          <t>AC Authorization</t>
        </is>
      </c>
      <c r="C81" t="inlineStr">
        <is>
          <t>01-25-0020</t>
        </is>
      </c>
      <c r="D81" t="inlineStr">
        <is>
          <t>Foster Ave - Over North Shore Chanel</t>
        </is>
      </c>
      <c r="E81" t="inlineStr">
        <is>
          <t>Bridge Routine Maintenance</t>
        </is>
      </c>
      <c r="F81" t="inlineStr">
        <is>
          <t>Chicago</t>
        </is>
      </c>
      <c r="G81" s="5" t="n">
        <v>960000</v>
      </c>
      <c r="H81" t="inlineStr">
        <is>
          <t>No</t>
        </is>
      </c>
      <c r="I81" t="inlineStr">
        <is>
          <t>No</t>
        </is>
      </c>
      <c r="J81" t="inlineStr">
        <is>
          <t>No</t>
        </is>
      </c>
    </row>
    <row r="82">
      <c r="A82" t="inlineStr">
        <is>
          <t>FFY2025</t>
        </is>
      </c>
      <c r="B82" t="inlineStr">
        <is>
          <t>FHWA Obligation</t>
        </is>
      </c>
      <c r="C82" t="inlineStr">
        <is>
          <t>01-18-0022</t>
        </is>
      </c>
      <c r="D82" t="inlineStr">
        <is>
          <t>I-94 Bishop Ford Expwy - W of Martin Luther King Dr to US 6 (159th St)</t>
        </is>
      </c>
      <c r="E82" t="inlineStr">
        <is>
          <t>Bridge Routine Maintenance</t>
        </is>
      </c>
      <c r="F82" t="inlineStr">
        <is>
          <t>Chicago</t>
        </is>
      </c>
      <c r="G82" s="5" t="n">
        <v>28262658</v>
      </c>
      <c r="H82" t="inlineStr">
        <is>
          <t>No</t>
        </is>
      </c>
      <c r="I82" t="inlineStr">
        <is>
          <t>No</t>
        </is>
      </c>
      <c r="J82" t="inlineStr">
        <is>
          <t>Yes</t>
        </is>
      </c>
    </row>
    <row r="83">
      <c r="A83" t="inlineStr">
        <is>
          <t>FFY2025</t>
        </is>
      </c>
      <c r="B83" t="inlineStr">
        <is>
          <t>FHWA Obligation</t>
        </is>
      </c>
      <c r="C83" t="inlineStr">
        <is>
          <t>01-18-0022</t>
        </is>
      </c>
      <c r="D83" t="inlineStr">
        <is>
          <t>I-94 Bishop Ford Expwy - W of Martin Luther King Dr to US 6 (159th St)</t>
        </is>
      </c>
      <c r="E83" t="inlineStr">
        <is>
          <t>Bridge Routine Maintenance</t>
        </is>
      </c>
      <c r="F83" t="inlineStr">
        <is>
          <t>Chicago</t>
        </is>
      </c>
      <c r="G83" s="5" t="n">
        <v>28800</v>
      </c>
      <c r="H83" t="inlineStr">
        <is>
          <t>No</t>
        </is>
      </c>
      <c r="I83" t="inlineStr">
        <is>
          <t>No</t>
        </is>
      </c>
      <c r="J83" t="inlineStr">
        <is>
          <t>Yes</t>
        </is>
      </c>
    </row>
    <row r="84">
      <c r="A84" t="inlineStr">
        <is>
          <t>FFY2025</t>
        </is>
      </c>
      <c r="B84" t="inlineStr">
        <is>
          <t>FHWA Obligation</t>
        </is>
      </c>
      <c r="C84" t="inlineStr">
        <is>
          <t>01-18-0022</t>
        </is>
      </c>
      <c r="D84" t="inlineStr">
        <is>
          <t>I-94 Bishop Ford Expwy - W of Martin Luther King Dr to US 6 (159th St)</t>
        </is>
      </c>
      <c r="E84" t="inlineStr">
        <is>
          <t>Bridge Routine Maintenance</t>
        </is>
      </c>
      <c r="F84" t="inlineStr">
        <is>
          <t>Chicago</t>
        </is>
      </c>
      <c r="G84" s="5" t="n">
        <v>34466</v>
      </c>
      <c r="H84" t="inlineStr">
        <is>
          <t>No</t>
        </is>
      </c>
      <c r="I84" t="inlineStr">
        <is>
          <t>No</t>
        </is>
      </c>
      <c r="J84" t="inlineStr">
        <is>
          <t>Yes</t>
        </is>
      </c>
    </row>
    <row r="85">
      <c r="A85" t="inlineStr">
        <is>
          <t>FFY2025</t>
        </is>
      </c>
      <c r="B85" t="inlineStr">
        <is>
          <t>FHWA Obligation</t>
        </is>
      </c>
      <c r="C85" t="inlineStr">
        <is>
          <t>01-18-0022</t>
        </is>
      </c>
      <c r="D85" t="inlineStr">
        <is>
          <t>I-94 Bishop Ford Expwy - W of Martin Luther King Dr to US 6 (159th St)</t>
        </is>
      </c>
      <c r="E85" t="inlineStr">
        <is>
          <t>Bridge Routine Maintenance</t>
        </is>
      </c>
      <c r="F85" t="inlineStr">
        <is>
          <t>Chicago</t>
        </is>
      </c>
      <c r="G85" s="5" t="n">
        <v>58500</v>
      </c>
      <c r="H85" t="inlineStr">
        <is>
          <t>No</t>
        </is>
      </c>
      <c r="I85" t="inlineStr">
        <is>
          <t>No</t>
        </is>
      </c>
      <c r="J85" t="inlineStr">
        <is>
          <t>Yes</t>
        </is>
      </c>
    </row>
    <row r="86">
      <c r="A86" t="inlineStr">
        <is>
          <t>FFY2025</t>
        </is>
      </c>
      <c r="B86" t="inlineStr">
        <is>
          <t>FHWA Obligation</t>
        </is>
      </c>
      <c r="C86" t="inlineStr">
        <is>
          <t>01-22-0026</t>
        </is>
      </c>
      <c r="D86" t="inlineStr">
        <is>
          <t>Devon Ave - At N Branch Chicago River</t>
        </is>
      </c>
      <c r="E86" t="inlineStr">
        <is>
          <t>Bridge Routine Maintenance</t>
        </is>
      </c>
      <c r="F86" t="inlineStr">
        <is>
          <t>Chicago</t>
        </is>
      </c>
      <c r="G86" s="5" t="n">
        <v>588210</v>
      </c>
      <c r="H86" t="inlineStr">
        <is>
          <t>No</t>
        </is>
      </c>
      <c r="I86" t="inlineStr">
        <is>
          <t>No</t>
        </is>
      </c>
      <c r="J86" t="inlineStr">
        <is>
          <t>No</t>
        </is>
      </c>
    </row>
    <row r="87">
      <c r="A87" t="inlineStr">
        <is>
          <t>FFY2025</t>
        </is>
      </c>
      <c r="B87" t="inlineStr">
        <is>
          <t>FHWA Obligation</t>
        </is>
      </c>
      <c r="C87" t="inlineStr">
        <is>
          <t>01-22-0027</t>
        </is>
      </c>
      <c r="D87" t="inlineStr">
        <is>
          <t>Lawrence Ave - At Des Plaines River</t>
        </is>
      </c>
      <c r="E87" t="inlineStr">
        <is>
          <t>Bridge Routine Maintenance</t>
        </is>
      </c>
      <c r="F87" t="inlineStr">
        <is>
          <t>Chicago</t>
        </is>
      </c>
      <c r="G87" s="5" t="n">
        <v>907501</v>
      </c>
      <c r="H87" t="inlineStr">
        <is>
          <t>No</t>
        </is>
      </c>
      <c r="I87" t="inlineStr">
        <is>
          <t>No</t>
        </is>
      </c>
      <c r="J87" t="inlineStr">
        <is>
          <t>No</t>
        </is>
      </c>
    </row>
    <row r="88">
      <c r="A88" t="inlineStr">
        <is>
          <t>FFY2025</t>
        </is>
      </c>
      <c r="B88" t="inlineStr">
        <is>
          <t>FHWA Obligation</t>
        </is>
      </c>
      <c r="C88" t="inlineStr">
        <is>
          <t>01-22-0028</t>
        </is>
      </c>
      <c r="D88" t="inlineStr">
        <is>
          <t>Addison St - At I-90/94 (Kennedy Expwy)</t>
        </is>
      </c>
      <c r="E88" t="inlineStr">
        <is>
          <t>Bridge Routine Maintenance</t>
        </is>
      </c>
      <c r="F88" t="inlineStr">
        <is>
          <t>Chicago</t>
        </is>
      </c>
      <c r="G88" s="5" t="n">
        <v>1242900</v>
      </c>
      <c r="H88" t="inlineStr">
        <is>
          <t>No</t>
        </is>
      </c>
      <c r="I88" t="inlineStr">
        <is>
          <t>No</t>
        </is>
      </c>
      <c r="J88" t="inlineStr">
        <is>
          <t>No</t>
        </is>
      </c>
    </row>
    <row r="89">
      <c r="A89" t="inlineStr">
        <is>
          <t>FFY2025</t>
        </is>
      </c>
      <c r="B89" t="inlineStr">
        <is>
          <t>FHWA Obligation</t>
        </is>
      </c>
      <c r="C89" t="inlineStr">
        <is>
          <t>01-22-0031</t>
        </is>
      </c>
      <c r="D89" t="inlineStr">
        <is>
          <t>Michigan Ave - At I-55 (Stevenson Expwy)</t>
        </is>
      </c>
      <c r="E89" t="inlineStr">
        <is>
          <t>Bridge Routine Maintenance</t>
        </is>
      </c>
      <c r="F89" t="inlineStr">
        <is>
          <t>Chicago</t>
        </is>
      </c>
      <c r="G89" s="5" t="n">
        <v>867252</v>
      </c>
      <c r="H89" t="inlineStr">
        <is>
          <t>No</t>
        </is>
      </c>
      <c r="I89" t="inlineStr">
        <is>
          <t>No</t>
        </is>
      </c>
      <c r="J89" t="inlineStr">
        <is>
          <t>No</t>
        </is>
      </c>
    </row>
    <row r="90">
      <c r="A90" t="inlineStr">
        <is>
          <t>FFY2025</t>
        </is>
      </c>
      <c r="B90" t="inlineStr">
        <is>
          <t>FHWA Obligation</t>
        </is>
      </c>
      <c r="C90" t="inlineStr">
        <is>
          <t>04-25-0001</t>
        </is>
      </c>
      <c r="D90" t="inlineStr">
        <is>
          <t>I-80 Under Maple Ave/187th St, I-94 EB to I- 55 SB At Archer Ave/ BNSF &amp; ICC RR</t>
        </is>
      </c>
      <c r="E90" t="inlineStr">
        <is>
          <t>Bridge Routine Maintenance</t>
        </is>
      </c>
      <c r="F90" t="inlineStr">
        <is>
          <t>Chicago</t>
        </is>
      </c>
      <c r="G90" s="5" t="n">
        <v>659700</v>
      </c>
      <c r="H90" t="inlineStr">
        <is>
          <t>No</t>
        </is>
      </c>
      <c r="I90" t="inlineStr">
        <is>
          <t>No</t>
        </is>
      </c>
      <c r="J90" t="inlineStr">
        <is>
          <t>No</t>
        </is>
      </c>
    </row>
    <row r="91">
      <c r="A91" t="inlineStr">
        <is>
          <t>FFY2025</t>
        </is>
      </c>
      <c r="B91" t="inlineStr">
        <is>
          <t>AC Authorization</t>
        </is>
      </c>
      <c r="C91" t="inlineStr">
        <is>
          <t>01-05-0012</t>
        </is>
      </c>
      <c r="D91" t="inlineStr">
        <is>
          <t>CREATE East-West Corridor from Argo Interlocking to CP509</t>
        </is>
      </c>
      <c r="E91" t="inlineStr">
        <is>
          <t>Freight Movement</t>
        </is>
      </c>
      <c r="F91" t="inlineStr">
        <is>
          <t>Chicago</t>
        </is>
      </c>
      <c r="G91" s="5" t="n">
        <v>939469</v>
      </c>
      <c r="H91" t="inlineStr">
        <is>
          <t>Yes</t>
        </is>
      </c>
      <c r="I91" t="inlineStr">
        <is>
          <t>Yes</t>
        </is>
      </c>
      <c r="J91" t="inlineStr">
        <is>
          <t>Yes</t>
        </is>
      </c>
    </row>
    <row r="92">
      <c r="A92" t="inlineStr">
        <is>
          <t>FFY2025</t>
        </is>
      </c>
      <c r="B92" t="inlineStr">
        <is>
          <t>AC Authorization</t>
        </is>
      </c>
      <c r="C92" t="inlineStr">
        <is>
          <t>01-05-0012</t>
        </is>
      </c>
      <c r="D92" t="inlineStr">
        <is>
          <t>CREATE East-West Corridor from Argo Interlocking to CP509</t>
        </is>
      </c>
      <c r="E92" t="inlineStr">
        <is>
          <t>Freight Movement</t>
        </is>
      </c>
      <c r="F92" t="inlineStr">
        <is>
          <t>Chicago</t>
        </is>
      </c>
      <c r="G92" s="5" t="n">
        <v>8841353</v>
      </c>
      <c r="H92" t="inlineStr">
        <is>
          <t>Yes</t>
        </is>
      </c>
      <c r="I92" t="inlineStr">
        <is>
          <t>Yes</t>
        </is>
      </c>
      <c r="J92" t="inlineStr">
        <is>
          <t>Yes</t>
        </is>
      </c>
    </row>
    <row r="93">
      <c r="A93" t="inlineStr">
        <is>
          <t>FFY2025</t>
        </is>
      </c>
      <c r="B93" t="inlineStr">
        <is>
          <t>AC Authorization</t>
        </is>
      </c>
      <c r="C93" t="inlineStr">
        <is>
          <t>01-05-0012</t>
        </is>
      </c>
      <c r="D93" t="inlineStr">
        <is>
          <t>CREATE East-West Corridor from Argo Interlocking to CP509</t>
        </is>
      </c>
      <c r="E93" t="inlineStr">
        <is>
          <t>Freight Movement</t>
        </is>
      </c>
      <c r="F93" t="inlineStr">
        <is>
          <t>Chicago</t>
        </is>
      </c>
      <c r="G93" s="5" t="n">
        <v>439469</v>
      </c>
      <c r="H93" t="inlineStr">
        <is>
          <t>Yes</t>
        </is>
      </c>
      <c r="I93" t="inlineStr">
        <is>
          <t>Yes</t>
        </is>
      </c>
      <c r="J93" t="inlineStr">
        <is>
          <t>Yes</t>
        </is>
      </c>
    </row>
    <row r="94">
      <c r="A94" t="inlineStr">
        <is>
          <t>FFY2025</t>
        </is>
      </c>
      <c r="B94" t="inlineStr">
        <is>
          <t>AC Authorization</t>
        </is>
      </c>
      <c r="C94" t="inlineStr">
        <is>
          <t>01-07-0001</t>
        </is>
      </c>
      <c r="D94" t="inlineStr">
        <is>
          <t>Southwest Service Improvements / 0186 Major - CREATE 75th Street Corridor Improvement Project - RSP 67</t>
        </is>
      </c>
      <c r="E94" t="inlineStr">
        <is>
          <t>Freight Movement</t>
        </is>
      </c>
      <c r="F94" t="inlineStr">
        <is>
          <t>Chicago</t>
        </is>
      </c>
      <c r="G94" s="5" t="n">
        <v>746066</v>
      </c>
      <c r="H94" t="inlineStr">
        <is>
          <t>Yes</t>
        </is>
      </c>
      <c r="I94" t="inlineStr">
        <is>
          <t>Yes</t>
        </is>
      </c>
      <c r="J94" t="inlineStr">
        <is>
          <t>Yes</t>
        </is>
      </c>
    </row>
    <row r="95">
      <c r="A95" t="inlineStr">
        <is>
          <t>FFY2025</t>
        </is>
      </c>
      <c r="B95" t="inlineStr">
        <is>
          <t>AC Authorization</t>
        </is>
      </c>
      <c r="C95" t="inlineStr">
        <is>
          <t>01-07-0001</t>
        </is>
      </c>
      <c r="D95" t="inlineStr">
        <is>
          <t>Southwest Service Improvements / 0186 Major - CREATE 75th Street Corridor Improvement Project - RSP 67</t>
        </is>
      </c>
      <c r="E95" t="inlineStr">
        <is>
          <t>Freight Movement</t>
        </is>
      </c>
      <c r="F95" t="inlineStr">
        <is>
          <t>Chicago</t>
        </is>
      </c>
      <c r="G95" s="5" t="n">
        <v>3033934</v>
      </c>
      <c r="H95" t="inlineStr">
        <is>
          <t>Yes</t>
        </is>
      </c>
      <c r="I95" t="inlineStr">
        <is>
          <t>Yes</t>
        </is>
      </c>
      <c r="J95" t="inlineStr">
        <is>
          <t>Yes</t>
        </is>
      </c>
    </row>
    <row r="96">
      <c r="A96" t="inlineStr">
        <is>
          <t>FFY2025</t>
        </is>
      </c>
      <c r="B96" t="inlineStr">
        <is>
          <t>FHWA Obligation</t>
        </is>
      </c>
      <c r="C96" t="inlineStr">
        <is>
          <t>01-05-0011</t>
        </is>
      </c>
      <c r="D96" t="inlineStr">
        <is>
          <t>CREATE Western Avenue Corridor from Kedzie Interlocking to Thornton Junction</t>
        </is>
      </c>
      <c r="E96" t="inlineStr">
        <is>
          <t>Freight Movement</t>
        </is>
      </c>
      <c r="F96" t="inlineStr">
        <is>
          <t>Chicago</t>
        </is>
      </c>
      <c r="G96" s="5" t="n">
        <v>958001</v>
      </c>
      <c r="H96" t="inlineStr">
        <is>
          <t>Yes</t>
        </is>
      </c>
      <c r="I96" t="inlineStr">
        <is>
          <t>Yes</t>
        </is>
      </c>
      <c r="J96" t="inlineStr">
        <is>
          <t>Yes</t>
        </is>
      </c>
    </row>
    <row r="97">
      <c r="A97" t="inlineStr">
        <is>
          <t>FFY2025</t>
        </is>
      </c>
      <c r="B97" t="inlineStr">
        <is>
          <t>FHWA Obligation</t>
        </is>
      </c>
      <c r="C97" t="inlineStr">
        <is>
          <t>01-05-0011</t>
        </is>
      </c>
      <c r="D97" t="inlineStr">
        <is>
          <t>CREATE Western Avenue Corridor from Kedzie Interlocking to Thornton Junction</t>
        </is>
      </c>
      <c r="E97" t="inlineStr">
        <is>
          <t>Freight Movement</t>
        </is>
      </c>
      <c r="F97" t="inlineStr">
        <is>
          <t>Chicago</t>
        </is>
      </c>
      <c r="G97" s="5" t="n">
        <v>70000000</v>
      </c>
      <c r="H97" t="inlineStr">
        <is>
          <t>Yes</t>
        </is>
      </c>
      <c r="I97" t="inlineStr">
        <is>
          <t>Yes</t>
        </is>
      </c>
      <c r="J97" t="inlineStr">
        <is>
          <t>Yes</t>
        </is>
      </c>
    </row>
    <row r="98">
      <c r="A98" t="inlineStr">
        <is>
          <t>FFY2025</t>
        </is>
      </c>
      <c r="B98" t="inlineStr">
        <is>
          <t>FHWA Obligation</t>
        </is>
      </c>
      <c r="C98" t="inlineStr">
        <is>
          <t>01-16-0023</t>
        </is>
      </c>
      <c r="D98" t="inlineStr">
        <is>
          <t>US 41(Skokie Hwy.)/I-94 (Edens Expy.), IL 173 to I-90 (Kennedy Expy.)/I-94 (Edens Expy.)</t>
        </is>
      </c>
      <c r="E98" t="inlineStr">
        <is>
          <t>Intelligent Transportation Systems</t>
        </is>
      </c>
      <c r="F98" t="inlineStr">
        <is>
          <t>Chicago</t>
        </is>
      </c>
      <c r="G98" s="5" t="n">
        <v>145648</v>
      </c>
      <c r="H98" t="inlineStr">
        <is>
          <t>No</t>
        </is>
      </c>
      <c r="I98" t="inlineStr">
        <is>
          <t>No</t>
        </is>
      </c>
      <c r="J98" t="inlineStr">
        <is>
          <t>Yes</t>
        </is>
      </c>
    </row>
    <row r="99">
      <c r="A99" t="inlineStr">
        <is>
          <t>FFY2025</t>
        </is>
      </c>
      <c r="B99" t="inlineStr">
        <is>
          <t>FHWA Obligation</t>
        </is>
      </c>
      <c r="C99" t="inlineStr">
        <is>
          <t>01-16-0023</t>
        </is>
      </c>
      <c r="D99" t="inlineStr">
        <is>
          <t>US 41(Skokie Hwy.)/I-94 (Edens Expy.), IL 173 to I-90 (Kennedy Expy.)/I-94 (Edens Expy.)</t>
        </is>
      </c>
      <c r="E99" t="inlineStr">
        <is>
          <t>Intelligent Transportation Systems</t>
        </is>
      </c>
      <c r="F99" t="inlineStr">
        <is>
          <t>Chicago</t>
        </is>
      </c>
      <c r="G99" s="5" t="n">
        <v>1956539</v>
      </c>
      <c r="H99" t="inlineStr">
        <is>
          <t>No</t>
        </is>
      </c>
      <c r="I99" t="inlineStr">
        <is>
          <t>No</t>
        </is>
      </c>
      <c r="J99" t="inlineStr">
        <is>
          <t>Yes</t>
        </is>
      </c>
    </row>
    <row r="100">
      <c r="A100" t="inlineStr">
        <is>
          <t>FFY2025</t>
        </is>
      </c>
      <c r="B100" t="inlineStr">
        <is>
          <t>FHWA Obligation</t>
        </is>
      </c>
      <c r="C100" t="inlineStr">
        <is>
          <t>01-13-0012</t>
        </is>
      </c>
      <c r="D100" t="inlineStr">
        <is>
          <t>US 12 US 20 at Stony Island Ave - RSP 112</t>
        </is>
      </c>
      <c r="E100" t="inlineStr">
        <is>
          <t>Intersection/Interchange Improvements</t>
        </is>
      </c>
      <c r="F100" t="inlineStr">
        <is>
          <t>Chicago</t>
        </is>
      </c>
      <c r="G100" s="5" t="n">
        <v>2227441</v>
      </c>
      <c r="H100" t="inlineStr">
        <is>
          <t>No</t>
        </is>
      </c>
      <c r="I100" t="inlineStr">
        <is>
          <t>No</t>
        </is>
      </c>
      <c r="J100" t="inlineStr">
        <is>
          <t>Yes</t>
        </is>
      </c>
    </row>
    <row r="101">
      <c r="A101" t="inlineStr">
        <is>
          <t>FFY2025</t>
        </is>
      </c>
      <c r="B101" t="inlineStr">
        <is>
          <t>AC Authorization</t>
        </is>
      </c>
      <c r="C101" t="inlineStr">
        <is>
          <t>01-06-0052</t>
        </is>
      </c>
      <c r="D101" t="inlineStr">
        <is>
          <t>IL 43 (Harlem Avenue) at 65th Street / BRC RR - RSP 109</t>
        </is>
      </c>
      <c r="E101" t="inlineStr">
        <is>
          <t>Rail-Highway Grade Separation</t>
        </is>
      </c>
      <c r="F101" t="inlineStr">
        <is>
          <t>Chicago</t>
        </is>
      </c>
      <c r="G101" s="5" t="n">
        <v>742000</v>
      </c>
      <c r="H101" t="inlineStr">
        <is>
          <t>Yes</t>
        </is>
      </c>
      <c r="I101" t="inlineStr">
        <is>
          <t>Yes</t>
        </is>
      </c>
      <c r="J101" t="inlineStr">
        <is>
          <t>Yes</t>
        </is>
      </c>
    </row>
    <row r="102">
      <c r="A102" t="inlineStr">
        <is>
          <t>FFY2025</t>
        </is>
      </c>
      <c r="B102" t="inlineStr">
        <is>
          <t>AC Authorization</t>
        </is>
      </c>
      <c r="C102" t="inlineStr">
        <is>
          <t>01-06-0055</t>
        </is>
      </c>
      <c r="D102" t="inlineStr">
        <is>
          <t>Columbus Av at BRC RR (GS-11)</t>
        </is>
      </c>
      <c r="E102" t="inlineStr">
        <is>
          <t>Rail-Highway Grade Separation</t>
        </is>
      </c>
      <c r="F102" t="inlineStr">
        <is>
          <t>Chicago</t>
        </is>
      </c>
      <c r="G102" s="5" t="n">
        <v>10000000</v>
      </c>
      <c r="H102" t="inlineStr">
        <is>
          <t>No</t>
        </is>
      </c>
      <c r="I102" t="inlineStr">
        <is>
          <t>No</t>
        </is>
      </c>
      <c r="J102" t="inlineStr">
        <is>
          <t>No</t>
        </is>
      </c>
    </row>
    <row r="103">
      <c r="A103" t="inlineStr">
        <is>
          <t>FFY2025</t>
        </is>
      </c>
      <c r="B103" t="inlineStr">
        <is>
          <t>FHWA Obligation</t>
        </is>
      </c>
      <c r="C103" t="inlineStr">
        <is>
          <t>01-06-0055</t>
        </is>
      </c>
      <c r="D103" t="inlineStr">
        <is>
          <t>Columbus Av at BRC RR (GS-11)</t>
        </is>
      </c>
      <c r="E103" t="inlineStr">
        <is>
          <t>Rail-Highway Grade Separation</t>
        </is>
      </c>
      <c r="F103" t="inlineStr">
        <is>
          <t>Chicago</t>
        </is>
      </c>
      <c r="G103" s="5" t="n">
        <v>10189</v>
      </c>
      <c r="H103" t="inlineStr">
        <is>
          <t>No</t>
        </is>
      </c>
      <c r="I103" t="inlineStr">
        <is>
          <t>No</t>
        </is>
      </c>
      <c r="J103" t="inlineStr">
        <is>
          <t>No</t>
        </is>
      </c>
    </row>
    <row r="104">
      <c r="A104" t="inlineStr">
        <is>
          <t>FFY2025</t>
        </is>
      </c>
      <c r="B104" t="inlineStr">
        <is>
          <t>FHWA Obligation</t>
        </is>
      </c>
      <c r="C104" t="inlineStr">
        <is>
          <t>01-06-0055</t>
        </is>
      </c>
      <c r="D104" t="inlineStr">
        <is>
          <t>Columbus Av at BRC RR (GS-11)</t>
        </is>
      </c>
      <c r="E104" t="inlineStr">
        <is>
          <t>Rail-Highway Grade Separation</t>
        </is>
      </c>
      <c r="F104" t="inlineStr">
        <is>
          <t>Chicago</t>
        </is>
      </c>
      <c r="G104" s="5" t="n">
        <v>43400000</v>
      </c>
      <c r="H104" t="inlineStr">
        <is>
          <t>No</t>
        </is>
      </c>
      <c r="I104" t="inlineStr">
        <is>
          <t>No</t>
        </is>
      </c>
      <c r="J104" t="inlineStr">
        <is>
          <t>No</t>
        </is>
      </c>
    </row>
    <row r="105">
      <c r="A105" t="inlineStr">
        <is>
          <t>FFY2025</t>
        </is>
      </c>
      <c r="B105" t="inlineStr">
        <is>
          <t>FHWA Obligation</t>
        </is>
      </c>
      <c r="C105" t="inlineStr">
        <is>
          <t>04-00-0023</t>
        </is>
      </c>
      <c r="D105" t="inlineStr">
        <is>
          <t>I-290 Eisenhower Expy from US 12/45/20 Mannheim Rd to Racine Ave - RSP 30</t>
        </is>
      </c>
      <c r="E105" t="inlineStr">
        <is>
          <t>Road Expansion</t>
        </is>
      </c>
      <c r="F105" t="inlineStr">
        <is>
          <t>Chicago</t>
        </is>
      </c>
      <c r="G105" s="5" t="n">
        <v>284512</v>
      </c>
      <c r="H105" t="inlineStr">
        <is>
          <t>No</t>
        </is>
      </c>
      <c r="I105" t="inlineStr">
        <is>
          <t>No</t>
        </is>
      </c>
      <c r="J105" t="inlineStr">
        <is>
          <t>Yes</t>
        </is>
      </c>
    </row>
    <row r="106">
      <c r="A106" t="inlineStr">
        <is>
          <t>FFY2025</t>
        </is>
      </c>
      <c r="B106" t="inlineStr">
        <is>
          <t>FHWA Obligation</t>
        </is>
      </c>
      <c r="C106" t="inlineStr">
        <is>
          <t>04-00-0023</t>
        </is>
      </c>
      <c r="D106" t="inlineStr">
        <is>
          <t>I-290 Eisenhower Expy from US 12/45/20 Mannheim Rd to Racine Ave - RSP 30</t>
        </is>
      </c>
      <c r="E106" t="inlineStr">
        <is>
          <t>Road Expansion</t>
        </is>
      </c>
      <c r="F106" t="inlineStr">
        <is>
          <t>Chicago</t>
        </is>
      </c>
      <c r="G106" s="5" t="n">
        <v>1085043</v>
      </c>
      <c r="H106" t="inlineStr">
        <is>
          <t>No</t>
        </is>
      </c>
      <c r="I106" t="inlineStr">
        <is>
          <t>No</t>
        </is>
      </c>
      <c r="J106" t="inlineStr">
        <is>
          <t>Yes</t>
        </is>
      </c>
    </row>
    <row r="107">
      <c r="A107" t="inlineStr">
        <is>
          <t>FFY2025</t>
        </is>
      </c>
      <c r="B107" t="inlineStr">
        <is>
          <t>AC Authorization</t>
        </is>
      </c>
      <c r="C107" t="inlineStr">
        <is>
          <t>01-20-0033</t>
        </is>
      </c>
      <c r="D107" t="inlineStr">
        <is>
          <t>Lincoln Ave - Indiana Ave to Ill 83 (Sibley Blvd)</t>
        </is>
      </c>
      <c r="E107" t="inlineStr">
        <is>
          <t>Road Maintenance</t>
        </is>
      </c>
      <c r="F107" t="inlineStr">
        <is>
          <t>Chicago</t>
        </is>
      </c>
      <c r="G107" s="5" t="n">
        <v>2000000</v>
      </c>
      <c r="H107" t="inlineStr">
        <is>
          <t>Yes</t>
        </is>
      </c>
      <c r="I107" t="inlineStr">
        <is>
          <t>Yes</t>
        </is>
      </c>
      <c r="J107" t="inlineStr">
        <is>
          <t>No</t>
        </is>
      </c>
    </row>
    <row r="108">
      <c r="A108" t="inlineStr">
        <is>
          <t>FFY2025</t>
        </is>
      </c>
      <c r="B108" t="inlineStr">
        <is>
          <t>AC Authorization</t>
        </is>
      </c>
      <c r="C108" t="inlineStr">
        <is>
          <t>01-23-0027</t>
        </is>
      </c>
      <c r="D108" t="inlineStr">
        <is>
          <t>Ill 171 Archer Ave - S of Ogden Ave to W of Harlem Ave</t>
        </is>
      </c>
      <c r="E108" t="inlineStr">
        <is>
          <t>Road Maintenance</t>
        </is>
      </c>
      <c r="F108" t="inlineStr">
        <is>
          <t>Chicago</t>
        </is>
      </c>
      <c r="G108" s="5" t="n">
        <v>2361381</v>
      </c>
      <c r="H108" t="inlineStr">
        <is>
          <t>No</t>
        </is>
      </c>
      <c r="I108" t="inlineStr">
        <is>
          <t>No</t>
        </is>
      </c>
      <c r="J108" t="inlineStr">
        <is>
          <t>No</t>
        </is>
      </c>
    </row>
    <row r="109">
      <c r="A109" t="inlineStr">
        <is>
          <t>FFY2025</t>
        </is>
      </c>
      <c r="B109" t="inlineStr">
        <is>
          <t>AC Authorization</t>
        </is>
      </c>
      <c r="C109" t="inlineStr">
        <is>
          <t>05-16-0007</t>
        </is>
      </c>
      <c r="D109" t="inlineStr">
        <is>
          <t>IL 56 from IL 59 to IL 50; Cermak Rd./22nd St., Renaissance Blvd (West of) to IL 50 (Cicero Ave.)</t>
        </is>
      </c>
      <c r="E109" t="inlineStr">
        <is>
          <t>Road Maintenance</t>
        </is>
      </c>
      <c r="F109" t="inlineStr">
        <is>
          <t>Chicago</t>
        </is>
      </c>
      <c r="G109" s="5" t="n">
        <v>2913880</v>
      </c>
      <c r="H109" t="inlineStr">
        <is>
          <t>No</t>
        </is>
      </c>
      <c r="I109" t="inlineStr">
        <is>
          <t>No</t>
        </is>
      </c>
      <c r="J109" t="inlineStr">
        <is>
          <t>No</t>
        </is>
      </c>
    </row>
    <row r="110">
      <c r="A110" t="inlineStr">
        <is>
          <t>FFY2025</t>
        </is>
      </c>
      <c r="B110" t="inlineStr">
        <is>
          <t>AC Authorization</t>
        </is>
      </c>
      <c r="C110" t="inlineStr">
        <is>
          <t>06-24-0041</t>
        </is>
      </c>
      <c r="D110" t="inlineStr">
        <is>
          <t>Pulaski Rd/Crawford Ave - 103rd St to 123rd St</t>
        </is>
      </c>
      <c r="E110" t="inlineStr">
        <is>
          <t>Road Maintenance</t>
        </is>
      </c>
      <c r="F110" t="inlineStr">
        <is>
          <t>Chicago</t>
        </is>
      </c>
      <c r="G110" s="5" t="n">
        <v>4160000</v>
      </c>
      <c r="H110" t="inlineStr">
        <is>
          <t>Yes</t>
        </is>
      </c>
      <c r="I110" t="inlineStr">
        <is>
          <t>Yes</t>
        </is>
      </c>
      <c r="J110" t="inlineStr">
        <is>
          <t>No</t>
        </is>
      </c>
    </row>
    <row r="111">
      <c r="A111" t="inlineStr">
        <is>
          <t>FFY2025</t>
        </is>
      </c>
      <c r="B111" t="inlineStr">
        <is>
          <t>FHWA Obligation</t>
        </is>
      </c>
      <c r="C111" t="inlineStr">
        <is>
          <t>01-20-0018</t>
        </is>
      </c>
      <c r="D111" t="inlineStr">
        <is>
          <t>Addison St - Ill 171 (Cumberland Ave) to Forest Preserve Dr</t>
        </is>
      </c>
      <c r="E111" t="inlineStr">
        <is>
          <t>Road Maintenance</t>
        </is>
      </c>
      <c r="F111" t="inlineStr">
        <is>
          <t>Chicago</t>
        </is>
      </c>
      <c r="G111" s="5" t="n">
        <v>572000</v>
      </c>
      <c r="H111" t="inlineStr">
        <is>
          <t>Yes</t>
        </is>
      </c>
      <c r="I111" t="inlineStr">
        <is>
          <t>Yes</t>
        </is>
      </c>
      <c r="J111" t="inlineStr">
        <is>
          <t>No</t>
        </is>
      </c>
    </row>
    <row r="112">
      <c r="A112" t="inlineStr">
        <is>
          <t>FFY2025</t>
        </is>
      </c>
      <c r="B112" t="inlineStr">
        <is>
          <t>FHWA Obligation</t>
        </is>
      </c>
      <c r="C112" t="inlineStr">
        <is>
          <t>01-23-0027</t>
        </is>
      </c>
      <c r="D112" t="inlineStr">
        <is>
          <t>Ill 171 Archer Ave - S of Ogden Ave to W of Harlem Ave</t>
        </is>
      </c>
      <c r="E112" t="inlineStr">
        <is>
          <t>Road Maintenance</t>
        </is>
      </c>
      <c r="F112" t="inlineStr">
        <is>
          <t>Chicago</t>
        </is>
      </c>
      <c r="G112" s="5" t="n">
        <v>2400000</v>
      </c>
      <c r="H112" t="inlineStr">
        <is>
          <t>No</t>
        </is>
      </c>
      <c r="I112" t="inlineStr">
        <is>
          <t>No</t>
        </is>
      </c>
      <c r="J112" t="inlineStr">
        <is>
          <t>No</t>
        </is>
      </c>
    </row>
    <row r="113">
      <c r="A113" t="inlineStr">
        <is>
          <t>FFY2025</t>
        </is>
      </c>
      <c r="B113" t="inlineStr">
        <is>
          <t>FHWA Obligation</t>
        </is>
      </c>
      <c r="C113" t="inlineStr">
        <is>
          <t>05-16-0007</t>
        </is>
      </c>
      <c r="D113" t="inlineStr">
        <is>
          <t>IL 56 from IL 59 to IL 50; Cermak Rd./22nd St., Renaissance Blvd (West of) to IL 50 (Cicero Ave.)</t>
        </is>
      </c>
      <c r="E113" t="inlineStr">
        <is>
          <t>Road Maintenance</t>
        </is>
      </c>
      <c r="F113" t="inlineStr">
        <is>
          <t>Chicago</t>
        </is>
      </c>
      <c r="G113" s="5" t="n">
        <v>116074</v>
      </c>
      <c r="H113" t="inlineStr">
        <is>
          <t>No</t>
        </is>
      </c>
      <c r="I113" t="inlineStr">
        <is>
          <t>No</t>
        </is>
      </c>
      <c r="J113" t="inlineStr">
        <is>
          <t>No</t>
        </is>
      </c>
    </row>
    <row r="114">
      <c r="A114" t="inlineStr">
        <is>
          <t>FFY2025</t>
        </is>
      </c>
      <c r="B114" t="inlineStr">
        <is>
          <t>FHWA Obligation</t>
        </is>
      </c>
      <c r="C114" t="inlineStr">
        <is>
          <t>05-16-0007</t>
        </is>
      </c>
      <c r="D114" t="inlineStr">
        <is>
          <t>IL 56 from IL 59 to IL 50; Cermak Rd./22nd St., Renaissance Blvd (West of) to IL 50 (Cicero Ave.)</t>
        </is>
      </c>
      <c r="E114" t="inlineStr">
        <is>
          <t>Road Maintenance</t>
        </is>
      </c>
      <c r="F114" t="inlineStr">
        <is>
          <t>Chicago</t>
        </is>
      </c>
      <c r="G114" s="5" t="n">
        <v>16038095</v>
      </c>
      <c r="H114" t="inlineStr">
        <is>
          <t>No</t>
        </is>
      </c>
      <c r="I114" t="inlineStr">
        <is>
          <t>No</t>
        </is>
      </c>
      <c r="J114" t="inlineStr">
        <is>
          <t>No</t>
        </is>
      </c>
    </row>
    <row r="115">
      <c r="A115" t="inlineStr">
        <is>
          <t>FFY2025</t>
        </is>
      </c>
      <c r="B115" t="inlineStr">
        <is>
          <t>FHWA Obligation</t>
        </is>
      </c>
      <c r="C115" t="inlineStr">
        <is>
          <t>10-23-0030</t>
        </is>
      </c>
      <c r="D115" t="inlineStr">
        <is>
          <t>US 41/I-94 Skokie Hwy - Park Ave W to I- 90/94 (Kennedy Edens Junction)</t>
        </is>
      </c>
      <c r="E115" t="inlineStr">
        <is>
          <t>Safety</t>
        </is>
      </c>
      <c r="F115" t="inlineStr">
        <is>
          <t>Chicago</t>
        </is>
      </c>
      <c r="G115" s="5" t="n">
        <v>9188952</v>
      </c>
      <c r="H115" t="inlineStr">
        <is>
          <t>No</t>
        </is>
      </c>
      <c r="I115" t="inlineStr">
        <is>
          <t>No</t>
        </is>
      </c>
      <c r="J115" t="inlineStr">
        <is>
          <t>Yes</t>
        </is>
      </c>
    </row>
    <row r="116">
      <c r="A116" t="inlineStr">
        <is>
          <t>FFY2025</t>
        </is>
      </c>
      <c r="B116" t="inlineStr">
        <is>
          <t>FHWA Obligation</t>
        </is>
      </c>
      <c r="C116" t="inlineStr">
        <is>
          <t>01-03-0002</t>
        </is>
      </c>
      <c r="D116" t="inlineStr">
        <is>
          <t>Stony Island Ave Interconnect</t>
        </is>
      </c>
      <c r="E116" t="inlineStr">
        <is>
          <t>Signal Systems</t>
        </is>
      </c>
      <c r="F116" t="inlineStr">
        <is>
          <t>Chicago</t>
        </is>
      </c>
      <c r="G116" s="5" t="n">
        <v>4032000</v>
      </c>
      <c r="H116" t="inlineStr">
        <is>
          <t>No</t>
        </is>
      </c>
      <c r="I116" t="inlineStr">
        <is>
          <t>No</t>
        </is>
      </c>
      <c r="J116" t="inlineStr">
        <is>
          <t>No</t>
        </is>
      </c>
    </row>
    <row r="117">
      <c r="A117" t="inlineStr">
        <is>
          <t>FFY2025</t>
        </is>
      </c>
      <c r="B117" t="inlineStr">
        <is>
          <t>AC Authorization</t>
        </is>
      </c>
      <c r="C117" t="inlineStr">
        <is>
          <t>07-25-0020</t>
        </is>
      </c>
      <c r="D117" t="inlineStr">
        <is>
          <t>Halsted St - At Thorn Creek</t>
        </is>
      </c>
      <c r="E117" t="inlineStr">
        <is>
          <t>Bridge Routine Maintenance</t>
        </is>
      </c>
      <c r="F117" t="inlineStr">
        <is>
          <t>Chicago Heights</t>
        </is>
      </c>
      <c r="G117" s="5" t="n">
        <v>960000</v>
      </c>
      <c r="H117" t="inlineStr">
        <is>
          <t>No</t>
        </is>
      </c>
      <c r="I117" t="inlineStr">
        <is>
          <t>No</t>
        </is>
      </c>
      <c r="J117" t="inlineStr">
        <is>
          <t>No</t>
        </is>
      </c>
    </row>
    <row r="118">
      <c r="A118" t="inlineStr">
        <is>
          <t>FFY2025</t>
        </is>
      </c>
      <c r="B118" t="inlineStr">
        <is>
          <t>AC Authorization</t>
        </is>
      </c>
      <c r="C118" t="inlineStr">
        <is>
          <t>07-24-0043</t>
        </is>
      </c>
      <c r="D118" t="inlineStr">
        <is>
          <t>Various - at Various Intersection Locations in Cook Co.</t>
        </is>
      </c>
      <c r="E118" t="inlineStr">
        <is>
          <t>Intersection/Interchange Improvements</t>
        </is>
      </c>
      <c r="F118" t="inlineStr">
        <is>
          <t>Chicago Heights</t>
        </is>
      </c>
      <c r="G118" s="5" t="n">
        <v>2250000</v>
      </c>
      <c r="H118" t="inlineStr">
        <is>
          <t>No</t>
        </is>
      </c>
      <c r="I118" t="inlineStr">
        <is>
          <t>No</t>
        </is>
      </c>
      <c r="J118" t="inlineStr">
        <is>
          <t>No</t>
        </is>
      </c>
    </row>
    <row r="119">
      <c r="A119" t="inlineStr">
        <is>
          <t>FFY2025</t>
        </is>
      </c>
      <c r="B119" t="inlineStr">
        <is>
          <t>AC Authorization</t>
        </is>
      </c>
      <c r="C119" t="inlineStr">
        <is>
          <t>01-07-0001</t>
        </is>
      </c>
      <c r="D119" t="inlineStr">
        <is>
          <t>Southwest Service Improvements / 0186 Major - CREATE 75th Street Corridor Improvement Project - RSP 67</t>
        </is>
      </c>
      <c r="E119" t="inlineStr">
        <is>
          <t>Freight Movement</t>
        </is>
      </c>
      <c r="F119" t="inlineStr">
        <is>
          <t>Chicago Ridge</t>
        </is>
      </c>
      <c r="G119" s="5" t="n">
        <v>746066</v>
      </c>
      <c r="H119" t="inlineStr">
        <is>
          <t>Yes</t>
        </is>
      </c>
      <c r="I119" t="inlineStr">
        <is>
          <t>Yes</t>
        </is>
      </c>
      <c r="J119" t="inlineStr">
        <is>
          <t>Yes</t>
        </is>
      </c>
    </row>
    <row r="120">
      <c r="A120" t="inlineStr">
        <is>
          <t>FFY2025</t>
        </is>
      </c>
      <c r="B120" t="inlineStr">
        <is>
          <t>AC Authorization</t>
        </is>
      </c>
      <c r="C120" t="inlineStr">
        <is>
          <t>01-07-0001</t>
        </is>
      </c>
      <c r="D120" t="inlineStr">
        <is>
          <t>Southwest Service Improvements / 0186 Major - CREATE 75th Street Corridor Improvement Project - RSP 67</t>
        </is>
      </c>
      <c r="E120" t="inlineStr">
        <is>
          <t>Freight Movement</t>
        </is>
      </c>
      <c r="F120" t="inlineStr">
        <is>
          <t>Chicago Ridge</t>
        </is>
      </c>
      <c r="G120" s="5" t="n">
        <v>3033934</v>
      </c>
      <c r="H120" t="inlineStr">
        <is>
          <t>Yes</t>
        </is>
      </c>
      <c r="I120" t="inlineStr">
        <is>
          <t>Yes</t>
        </is>
      </c>
      <c r="J120" t="inlineStr">
        <is>
          <t>Yes</t>
        </is>
      </c>
    </row>
    <row r="121">
      <c r="A121" t="inlineStr">
        <is>
          <t>FFY2025</t>
        </is>
      </c>
      <c r="B121" t="inlineStr">
        <is>
          <t>AC Authorization</t>
        </is>
      </c>
      <c r="C121" t="inlineStr">
        <is>
          <t>05-16-0007</t>
        </is>
      </c>
      <c r="D121" t="inlineStr">
        <is>
          <t>IL 56 from IL 59 to IL 50; Cermak Rd./22nd St., Renaissance Blvd (West of) to IL 50 (Cicero Ave.)</t>
        </is>
      </c>
      <c r="E121" t="inlineStr">
        <is>
          <t>Road Maintenance</t>
        </is>
      </c>
      <c r="F121" t="inlineStr">
        <is>
          <t>Cicero</t>
        </is>
      </c>
      <c r="G121" s="5" t="n">
        <v>2913880</v>
      </c>
      <c r="H121" t="inlineStr">
        <is>
          <t>No</t>
        </is>
      </c>
      <c r="I121" t="inlineStr">
        <is>
          <t>No</t>
        </is>
      </c>
      <c r="J121" t="inlineStr">
        <is>
          <t>No</t>
        </is>
      </c>
    </row>
    <row r="122">
      <c r="A122" t="inlineStr">
        <is>
          <t>FFY2025</t>
        </is>
      </c>
      <c r="B122" t="inlineStr">
        <is>
          <t>AC Authorization</t>
        </is>
      </c>
      <c r="C122" t="inlineStr">
        <is>
          <t>05-25-0008</t>
        </is>
      </c>
      <c r="D122" t="inlineStr">
        <is>
          <t>Pershing Rd - US 34 (Ogden Ave) to W of Central Ave</t>
        </is>
      </c>
      <c r="E122" t="inlineStr">
        <is>
          <t>Road Maintenance</t>
        </is>
      </c>
      <c r="F122" t="inlineStr">
        <is>
          <t>Cicero</t>
        </is>
      </c>
      <c r="G122" s="5" t="n">
        <v>5184000</v>
      </c>
      <c r="H122" t="inlineStr">
        <is>
          <t>No</t>
        </is>
      </c>
      <c r="I122" t="inlineStr">
        <is>
          <t>No</t>
        </is>
      </c>
      <c r="J122" t="inlineStr">
        <is>
          <t>No</t>
        </is>
      </c>
    </row>
    <row r="123">
      <c r="A123" t="inlineStr">
        <is>
          <t>FFY2025</t>
        </is>
      </c>
      <c r="B123" t="inlineStr">
        <is>
          <t>FHWA Obligation</t>
        </is>
      </c>
      <c r="C123" t="inlineStr">
        <is>
          <t>05-16-0007</t>
        </is>
      </c>
      <c r="D123" t="inlineStr">
        <is>
          <t>IL 56 from IL 59 to IL 50; Cermak Rd./22nd St., Renaissance Blvd (West of) to IL 50 (Cicero Ave.)</t>
        </is>
      </c>
      <c r="E123" t="inlineStr">
        <is>
          <t>Road Maintenance</t>
        </is>
      </c>
      <c r="F123" t="inlineStr">
        <is>
          <t>Cicero</t>
        </is>
      </c>
      <c r="G123" s="5" t="n">
        <v>116074</v>
      </c>
      <c r="H123" t="inlineStr">
        <is>
          <t>No</t>
        </is>
      </c>
      <c r="I123" t="inlineStr">
        <is>
          <t>No</t>
        </is>
      </c>
      <c r="J123" t="inlineStr">
        <is>
          <t>No</t>
        </is>
      </c>
    </row>
    <row r="124">
      <c r="A124" t="inlineStr">
        <is>
          <t>FFY2025</t>
        </is>
      </c>
      <c r="B124" t="inlineStr">
        <is>
          <t>FHWA Obligation</t>
        </is>
      </c>
      <c r="C124" t="inlineStr">
        <is>
          <t>05-16-0007</t>
        </is>
      </c>
      <c r="D124" t="inlineStr">
        <is>
          <t>IL 56 from IL 59 to IL 50; Cermak Rd./22nd St., Renaissance Blvd (West of) to IL 50 (Cicero Ave.)</t>
        </is>
      </c>
      <c r="E124" t="inlineStr">
        <is>
          <t>Road Maintenance</t>
        </is>
      </c>
      <c r="F124" t="inlineStr">
        <is>
          <t>Cicero</t>
        </is>
      </c>
      <c r="G124" s="5" t="n">
        <v>16038095</v>
      </c>
      <c r="H124" t="inlineStr">
        <is>
          <t>No</t>
        </is>
      </c>
      <c r="I124" t="inlineStr">
        <is>
          <t>No</t>
        </is>
      </c>
      <c r="J124" t="inlineStr">
        <is>
          <t>No</t>
        </is>
      </c>
    </row>
    <row r="125">
      <c r="A125" t="inlineStr">
        <is>
          <t>FFY2025</t>
        </is>
      </c>
      <c r="B125" t="inlineStr">
        <is>
          <t>AC Authorization</t>
        </is>
      </c>
      <c r="C125" t="inlineStr">
        <is>
          <t>05-12-0010</t>
        </is>
      </c>
      <c r="D125" t="inlineStr">
        <is>
          <t>Joliet Rd at Brainard Rd</t>
        </is>
      </c>
      <c r="E125" t="inlineStr">
        <is>
          <t>Intersection/Interchange Improvements</t>
        </is>
      </c>
      <c r="F125" t="inlineStr">
        <is>
          <t>Countryside</t>
        </is>
      </c>
      <c r="G125" s="5" t="n">
        <v>1740000</v>
      </c>
      <c r="H125" t="inlineStr">
        <is>
          <t>Yes</t>
        </is>
      </c>
      <c r="I125" t="inlineStr">
        <is>
          <t>Yes</t>
        </is>
      </c>
      <c r="J125" t="inlineStr">
        <is>
          <t>No</t>
        </is>
      </c>
    </row>
    <row r="126">
      <c r="A126" t="inlineStr">
        <is>
          <t>FFY2025</t>
        </is>
      </c>
      <c r="B126" t="inlineStr">
        <is>
          <t>AC Authorization</t>
        </is>
      </c>
      <c r="C126" t="inlineStr">
        <is>
          <t>05-10-0004</t>
        </is>
      </c>
      <c r="D126" t="inlineStr">
        <is>
          <t>55th St from US 12 US 45 US 20 LaGrange Rd to East Ave/Eberly &amp; at US 12/20/45</t>
        </is>
      </c>
      <c r="E126" t="inlineStr">
        <is>
          <t>Road Maintenance</t>
        </is>
      </c>
      <c r="F126" t="inlineStr">
        <is>
          <t>Countryside</t>
        </is>
      </c>
      <c r="G126" s="5" t="n">
        <v>6625976</v>
      </c>
      <c r="H126" t="inlineStr">
        <is>
          <t>Yes</t>
        </is>
      </c>
      <c r="I126" t="inlineStr">
        <is>
          <t>Yes</t>
        </is>
      </c>
      <c r="J126" t="inlineStr">
        <is>
          <t>No</t>
        </is>
      </c>
    </row>
    <row r="127">
      <c r="A127" t="inlineStr">
        <is>
          <t>FFY2025</t>
        </is>
      </c>
      <c r="B127" t="inlineStr">
        <is>
          <t>FHWA Obligation</t>
        </is>
      </c>
      <c r="C127" t="inlineStr">
        <is>
          <t>05-10-0004</t>
        </is>
      </c>
      <c r="D127" t="inlineStr">
        <is>
          <t>55th St from US 12 US 45 US 20 LaGrange Rd to East Ave/Eberly &amp; at US 12/20/45</t>
        </is>
      </c>
      <c r="E127" t="inlineStr">
        <is>
          <t>Road Maintenance</t>
        </is>
      </c>
      <c r="F127" t="inlineStr">
        <is>
          <t>Countryside</t>
        </is>
      </c>
      <c r="G127" s="5" t="n">
        <v>6452835</v>
      </c>
      <c r="H127" t="inlineStr">
        <is>
          <t>Yes</t>
        </is>
      </c>
      <c r="I127" t="inlineStr">
        <is>
          <t>Yes</t>
        </is>
      </c>
      <c r="J127" t="inlineStr">
        <is>
          <t>No</t>
        </is>
      </c>
    </row>
    <row r="128">
      <c r="A128" t="inlineStr">
        <is>
          <t>FFY2025</t>
        </is>
      </c>
      <c r="B128" t="inlineStr">
        <is>
          <t>AC Authorization</t>
        </is>
      </c>
      <c r="C128" t="inlineStr">
        <is>
          <t>03-96-0021</t>
        </is>
      </c>
      <c r="D128" t="inlineStr">
        <is>
          <t>Elgin-O'Hare East Extension from Gary Road to O'Hare West Bypass Elgin O'Hare Western Access (Elgin-O'Hare East Extension &amp; Add Lanes, Western O'Hare Bypass) - RSP 20</t>
        </is>
      </c>
      <c r="E128" t="inlineStr">
        <is>
          <t>Road Expansion</t>
        </is>
      </c>
      <c r="F128" t="inlineStr">
        <is>
          <t>Countywide (Cook)</t>
        </is>
      </c>
      <c r="G128" s="5" t="n">
        <v>11450000</v>
      </c>
      <c r="H128" t="inlineStr">
        <is>
          <t>No</t>
        </is>
      </c>
      <c r="I128" t="inlineStr">
        <is>
          <t>No</t>
        </is>
      </c>
      <c r="J128" t="inlineStr">
        <is>
          <t>Yes</t>
        </is>
      </c>
    </row>
    <row r="129">
      <c r="A129" t="inlineStr">
        <is>
          <t>FFY2025</t>
        </is>
      </c>
      <c r="B129" t="inlineStr">
        <is>
          <t>AC Authorization</t>
        </is>
      </c>
      <c r="C129" t="inlineStr">
        <is>
          <t>03-96-0021</t>
        </is>
      </c>
      <c r="D129" t="inlineStr">
        <is>
          <t>Elgin-O'Hare East Extension from Gary Road to O'Hare West Bypass Elgin O'Hare Western Access (Elgin-O'Hare East Extension &amp; Add Lanes, Western O'Hare Bypass) - RSP 20</t>
        </is>
      </c>
      <c r="E129" t="inlineStr">
        <is>
          <t>Road Expansion</t>
        </is>
      </c>
      <c r="F129" t="inlineStr">
        <is>
          <t>Countywide (Cook)</t>
        </is>
      </c>
      <c r="G129" s="5" t="n">
        <v>23289000</v>
      </c>
      <c r="H129" t="inlineStr">
        <is>
          <t>No</t>
        </is>
      </c>
      <c r="I129" t="inlineStr">
        <is>
          <t>No</t>
        </is>
      </c>
      <c r="J129" t="inlineStr">
        <is>
          <t>Yes</t>
        </is>
      </c>
    </row>
    <row r="130">
      <c r="A130" t="inlineStr">
        <is>
          <t>FFY2025</t>
        </is>
      </c>
      <c r="B130" t="inlineStr">
        <is>
          <t>FHWA Obligation</t>
        </is>
      </c>
      <c r="C130" t="inlineStr">
        <is>
          <t>03-96-0021</t>
        </is>
      </c>
      <c r="D130" t="inlineStr">
        <is>
          <t>Elgin-O'Hare East Extension from Gary Road to O'Hare West Bypass Elgin O'Hare Western Access (Elgin-O'Hare East Extension &amp; Add Lanes, Western O'Hare Bypass) - RSP 20</t>
        </is>
      </c>
      <c r="E130" t="inlineStr">
        <is>
          <t>Road Expansion</t>
        </is>
      </c>
      <c r="F130" t="inlineStr">
        <is>
          <t>Countywide (Cook)</t>
        </is>
      </c>
      <c r="G130" s="5" t="n">
        <v>127551</v>
      </c>
      <c r="H130" t="inlineStr">
        <is>
          <t>No</t>
        </is>
      </c>
      <c r="I130" t="inlineStr">
        <is>
          <t>No</t>
        </is>
      </c>
      <c r="J130" t="inlineStr">
        <is>
          <t>Yes</t>
        </is>
      </c>
    </row>
    <row r="131">
      <c r="A131" t="inlineStr">
        <is>
          <t>FFY2025</t>
        </is>
      </c>
      <c r="B131" t="inlineStr">
        <is>
          <t>FHWA Obligation</t>
        </is>
      </c>
      <c r="C131" t="inlineStr">
        <is>
          <t>03-96-0021</t>
        </is>
      </c>
      <c r="D131" t="inlineStr">
        <is>
          <t>Elgin-O'Hare East Extension from Gary Road to O'Hare West Bypass Elgin O'Hare Western Access (Elgin-O'Hare East Extension &amp; Add Lanes, Western O'Hare Bypass) - RSP 20</t>
        </is>
      </c>
      <c r="E131" t="inlineStr">
        <is>
          <t>Road Expansion</t>
        </is>
      </c>
      <c r="F131" t="inlineStr">
        <is>
          <t>Countywide (Cook)</t>
        </is>
      </c>
      <c r="G131" s="5" t="n">
        <v>12316512</v>
      </c>
      <c r="H131" t="inlineStr">
        <is>
          <t>No</t>
        </is>
      </c>
      <c r="I131" t="inlineStr">
        <is>
          <t>No</t>
        </is>
      </c>
      <c r="J131" t="inlineStr">
        <is>
          <t>Yes</t>
        </is>
      </c>
    </row>
    <row r="132">
      <c r="A132" t="inlineStr">
        <is>
          <t>FFY2025</t>
        </is>
      </c>
      <c r="B132" t="inlineStr">
        <is>
          <t>AC Authorization</t>
        </is>
      </c>
      <c r="C132" t="inlineStr">
        <is>
          <t>13-19-0005</t>
        </is>
      </c>
      <c r="D132" t="inlineStr">
        <is>
          <t>Illinois Route 64 SMART Corridor (Smith/Kautz Road to Illinois Route 50 - Cicero Avenue)</t>
        </is>
      </c>
      <c r="E132" t="inlineStr">
        <is>
          <t>Systems Improvements</t>
        </is>
      </c>
      <c r="F132" t="inlineStr">
        <is>
          <t>Countywide (Cook)</t>
        </is>
      </c>
      <c r="G132" s="5" t="n">
        <v>10922005</v>
      </c>
      <c r="H132" t="inlineStr">
        <is>
          <t>Yes</t>
        </is>
      </c>
      <c r="I132" t="inlineStr">
        <is>
          <t>Yes</t>
        </is>
      </c>
      <c r="J132" t="inlineStr">
        <is>
          <t>No</t>
        </is>
      </c>
    </row>
    <row r="133">
      <c r="A133" t="inlineStr">
        <is>
          <t>FFY2025</t>
        </is>
      </c>
      <c r="B133" t="inlineStr">
        <is>
          <t>AC Authorization</t>
        </is>
      </c>
      <c r="C133" t="inlineStr">
        <is>
          <t>13-19-0005</t>
        </is>
      </c>
      <c r="D133" t="inlineStr">
        <is>
          <t>Illinois Route 64 SMART Corridor (Smith/Kautz Road to Illinois Route 50 - Cicero Avenue)</t>
        </is>
      </c>
      <c r="E133" t="inlineStr">
        <is>
          <t>Systems Improvements</t>
        </is>
      </c>
      <c r="F133" t="inlineStr">
        <is>
          <t>Countywide (Cook)</t>
        </is>
      </c>
      <c r="G133" s="5" t="n">
        <v>8807138</v>
      </c>
      <c r="H133" t="inlineStr">
        <is>
          <t>Yes</t>
        </is>
      </c>
      <c r="I133" t="inlineStr">
        <is>
          <t>Yes</t>
        </is>
      </c>
      <c r="J133" t="inlineStr">
        <is>
          <t>No</t>
        </is>
      </c>
    </row>
    <row r="134">
      <c r="A134" t="inlineStr">
        <is>
          <t>FFY2025</t>
        </is>
      </c>
      <c r="B134" t="inlineStr">
        <is>
          <t>FHWA Obligation</t>
        </is>
      </c>
      <c r="C134" t="inlineStr">
        <is>
          <t>13-19-0005</t>
        </is>
      </c>
      <c r="D134" t="inlineStr">
        <is>
          <t>Illinois Route 64 SMART Corridor (Smith/Kautz Road to Illinois Route 50 - Cicero Avenue)</t>
        </is>
      </c>
      <c r="E134" t="inlineStr">
        <is>
          <t>Systems Improvements</t>
        </is>
      </c>
      <c r="F134" t="inlineStr">
        <is>
          <t>Countywide (Cook)</t>
        </is>
      </c>
      <c r="G134" s="5" t="n">
        <v>9965116</v>
      </c>
      <c r="H134" t="inlineStr">
        <is>
          <t>Yes</t>
        </is>
      </c>
      <c r="I134" t="inlineStr">
        <is>
          <t>Yes</t>
        </is>
      </c>
      <c r="J134" t="inlineStr">
        <is>
          <t>No</t>
        </is>
      </c>
    </row>
    <row r="135">
      <c r="A135" t="inlineStr">
        <is>
          <t>FFY2025</t>
        </is>
      </c>
      <c r="B135" t="inlineStr">
        <is>
          <t>FHWA Obligation</t>
        </is>
      </c>
      <c r="C135" t="inlineStr">
        <is>
          <t>13-19-0005</t>
        </is>
      </c>
      <c r="D135" t="inlineStr">
        <is>
          <t>Illinois Route 64 SMART Corridor (Smith/Kautz Road to Illinois Route 50 - Cicero Avenue)</t>
        </is>
      </c>
      <c r="E135" t="inlineStr">
        <is>
          <t>Systems Improvements</t>
        </is>
      </c>
      <c r="F135" t="inlineStr">
        <is>
          <t>Countywide (Cook)</t>
        </is>
      </c>
      <c r="G135" s="5" t="n">
        <v>5469512</v>
      </c>
      <c r="H135" t="inlineStr">
        <is>
          <t>Yes</t>
        </is>
      </c>
      <c r="I135" t="inlineStr">
        <is>
          <t>Yes</t>
        </is>
      </c>
      <c r="J135" t="inlineStr">
        <is>
          <t>No</t>
        </is>
      </c>
    </row>
    <row r="136">
      <c r="A136" t="inlineStr">
        <is>
          <t>FFY2025</t>
        </is>
      </c>
      <c r="B136" t="inlineStr">
        <is>
          <t>FHWA Obligation</t>
        </is>
      </c>
      <c r="C136" t="inlineStr">
        <is>
          <t>13-19-0005</t>
        </is>
      </c>
      <c r="D136" t="inlineStr">
        <is>
          <t>Illinois Route 64 SMART Corridor (Smith/Kautz Road to Illinois Route 50 - Cicero Avenue)</t>
        </is>
      </c>
      <c r="E136" t="inlineStr">
        <is>
          <t>Systems Improvements</t>
        </is>
      </c>
      <c r="F136" t="inlineStr">
        <is>
          <t>Countywide (Cook)</t>
        </is>
      </c>
      <c r="G136" s="5" t="n">
        <v>584606</v>
      </c>
      <c r="H136" t="inlineStr">
        <is>
          <t>Yes</t>
        </is>
      </c>
      <c r="I136" t="inlineStr">
        <is>
          <t>Yes</t>
        </is>
      </c>
      <c r="J136" t="inlineStr">
        <is>
          <t>No</t>
        </is>
      </c>
    </row>
    <row r="137">
      <c r="A137" t="inlineStr">
        <is>
          <t>FFY2025</t>
        </is>
      </c>
      <c r="B137" t="inlineStr">
        <is>
          <t>FHWA Obligation</t>
        </is>
      </c>
      <c r="C137" t="inlineStr">
        <is>
          <t>13-19-0005</t>
        </is>
      </c>
      <c r="D137" t="inlineStr">
        <is>
          <t>Illinois Route 64 SMART Corridor (Smith/Kautz Road to Illinois Route 50 - Cicero Avenue)</t>
        </is>
      </c>
      <c r="E137" t="inlineStr">
        <is>
          <t>Systems Improvements</t>
        </is>
      </c>
      <c r="F137" t="inlineStr">
        <is>
          <t>Countywide (Cook)</t>
        </is>
      </c>
      <c r="G137" s="5" t="n">
        <v>420114</v>
      </c>
      <c r="H137" t="inlineStr">
        <is>
          <t>Yes</t>
        </is>
      </c>
      <c r="I137" t="inlineStr">
        <is>
          <t>Yes</t>
        </is>
      </c>
      <c r="J137" t="inlineStr">
        <is>
          <t>No</t>
        </is>
      </c>
    </row>
    <row r="138">
      <c r="A138" t="inlineStr">
        <is>
          <t>FFY2025</t>
        </is>
      </c>
      <c r="B138" t="inlineStr">
        <is>
          <t>FHWA Obligation</t>
        </is>
      </c>
      <c r="C138" t="inlineStr">
        <is>
          <t>13-19-0005</t>
        </is>
      </c>
      <c r="D138" t="inlineStr">
        <is>
          <t>Illinois Route 64 SMART Corridor (Smith/Kautz Road to Illinois Route 50 - Cicero Avenue)</t>
        </is>
      </c>
      <c r="E138" t="inlineStr">
        <is>
          <t>Systems Improvements</t>
        </is>
      </c>
      <c r="F138" t="inlineStr">
        <is>
          <t>Countywide (Cook)</t>
        </is>
      </c>
      <c r="G138" s="5" t="n">
        <v>1423963</v>
      </c>
      <c r="H138" t="inlineStr">
        <is>
          <t>Yes</t>
        </is>
      </c>
      <c r="I138" t="inlineStr">
        <is>
          <t>Yes</t>
        </is>
      </c>
      <c r="J138" t="inlineStr">
        <is>
          <t>No</t>
        </is>
      </c>
    </row>
    <row r="139">
      <c r="A139" t="inlineStr">
        <is>
          <t>FFY2025</t>
        </is>
      </c>
      <c r="B139" t="inlineStr">
        <is>
          <t>FHWA Obligation</t>
        </is>
      </c>
      <c r="C139" t="inlineStr">
        <is>
          <t>13-19-0005</t>
        </is>
      </c>
      <c r="D139" t="inlineStr">
        <is>
          <t>Illinois Route 64 SMART Corridor (Smith/Kautz Road to Illinois Route 50 - Cicero Avenue)</t>
        </is>
      </c>
      <c r="E139" t="inlineStr">
        <is>
          <t>Systems Improvements</t>
        </is>
      </c>
      <c r="F139" t="inlineStr">
        <is>
          <t>Countywide (Cook)</t>
        </is>
      </c>
      <c r="G139" s="5" t="n">
        <v>121620</v>
      </c>
      <c r="H139" t="inlineStr">
        <is>
          <t>Yes</t>
        </is>
      </c>
      <c r="I139" t="inlineStr">
        <is>
          <t>Yes</t>
        </is>
      </c>
      <c r="J139" t="inlineStr">
        <is>
          <t>No</t>
        </is>
      </c>
    </row>
    <row r="140">
      <c r="A140" t="inlineStr">
        <is>
          <t>FFY2025</t>
        </is>
      </c>
      <c r="B140" t="inlineStr">
        <is>
          <t>FHWA Obligation</t>
        </is>
      </c>
      <c r="C140" t="inlineStr">
        <is>
          <t>13-19-0005</t>
        </is>
      </c>
      <c r="D140" t="inlineStr">
        <is>
          <t>Illinois Route 64 SMART Corridor (Smith/Kautz Road to Illinois Route 50 - Cicero Avenue)</t>
        </is>
      </c>
      <c r="E140" t="inlineStr">
        <is>
          <t>Systems Improvements</t>
        </is>
      </c>
      <c r="F140" t="inlineStr">
        <is>
          <t>Countywide (Cook)</t>
        </is>
      </c>
      <c r="G140" s="5" t="n">
        <v>347196</v>
      </c>
      <c r="H140" t="inlineStr">
        <is>
          <t>Yes</t>
        </is>
      </c>
      <c r="I140" t="inlineStr">
        <is>
          <t>Yes</t>
        </is>
      </c>
      <c r="J140" t="inlineStr">
        <is>
          <t>No</t>
        </is>
      </c>
    </row>
    <row r="141">
      <c r="A141" t="inlineStr">
        <is>
          <t>FFY2025</t>
        </is>
      </c>
      <c r="B141" t="inlineStr">
        <is>
          <t>AC Authorization</t>
        </is>
      </c>
      <c r="C141" t="inlineStr">
        <is>
          <t>07-23-0004</t>
        </is>
      </c>
      <c r="D141" t="inlineStr">
        <is>
          <t>Natalie Creek Trail Project</t>
        </is>
      </c>
      <c r="E141" t="inlineStr">
        <is>
          <t>Bicycle &amp; Pedestrian</t>
        </is>
      </c>
      <c r="F141" t="inlineStr">
        <is>
          <t>Crestwood</t>
        </is>
      </c>
      <c r="G141" s="5" t="n">
        <v>766440</v>
      </c>
      <c r="H141" t="inlineStr">
        <is>
          <t>Yes</t>
        </is>
      </c>
      <c r="I141" t="inlineStr">
        <is>
          <t>Yes</t>
        </is>
      </c>
      <c r="J141" t="inlineStr">
        <is>
          <t>No</t>
        </is>
      </c>
    </row>
    <row r="142">
      <c r="A142" t="inlineStr">
        <is>
          <t>FFY2025</t>
        </is>
      </c>
      <c r="B142" t="inlineStr">
        <is>
          <t>AC Authorization</t>
        </is>
      </c>
      <c r="C142" t="inlineStr">
        <is>
          <t>12-24-0026</t>
        </is>
      </c>
      <c r="D142" t="inlineStr">
        <is>
          <t>Various - signal modernization at various locations in Cook, &amp; Will</t>
        </is>
      </c>
      <c r="E142" t="inlineStr">
        <is>
          <t>Intersection/Interchange Improvements</t>
        </is>
      </c>
      <c r="F142" t="inlineStr">
        <is>
          <t>Crestwood</t>
        </is>
      </c>
      <c r="G142" s="5" t="n">
        <v>3150000</v>
      </c>
      <c r="H142" t="inlineStr">
        <is>
          <t>No</t>
        </is>
      </c>
      <c r="I142" t="inlineStr">
        <is>
          <t>No</t>
        </is>
      </c>
      <c r="J142" t="inlineStr">
        <is>
          <t>No</t>
        </is>
      </c>
    </row>
    <row r="143">
      <c r="A143" t="inlineStr">
        <is>
          <t>FFY2025</t>
        </is>
      </c>
      <c r="B143" t="inlineStr">
        <is>
          <t>FHWA Obligation</t>
        </is>
      </c>
      <c r="C143" t="inlineStr">
        <is>
          <t>04-17-0011</t>
        </is>
      </c>
      <c r="D143" t="inlineStr">
        <is>
          <t>Des Plaines River Trail from Touhy to North Avenue</t>
        </is>
      </c>
      <c r="E143" t="inlineStr">
        <is>
          <t>Bicycle &amp; Pedestrian</t>
        </is>
      </c>
      <c r="F143" t="inlineStr">
        <is>
          <t>Des Plaines</t>
        </is>
      </c>
      <c r="G143" s="5" t="n">
        <v>2524900</v>
      </c>
      <c r="H143" t="inlineStr">
        <is>
          <t>Yes</t>
        </is>
      </c>
      <c r="I143" t="inlineStr">
        <is>
          <t>No</t>
        </is>
      </c>
      <c r="J143" t="inlineStr">
        <is>
          <t>No</t>
        </is>
      </c>
    </row>
    <row r="144">
      <c r="A144" t="inlineStr">
        <is>
          <t>FFY2025</t>
        </is>
      </c>
      <c r="B144" t="inlineStr">
        <is>
          <t>FHWA Obligation</t>
        </is>
      </c>
      <c r="C144" t="inlineStr">
        <is>
          <t>04-17-0011</t>
        </is>
      </c>
      <c r="D144" t="inlineStr">
        <is>
          <t>Des Plaines River Trail from Touhy to North Avenue</t>
        </is>
      </c>
      <c r="E144" t="inlineStr">
        <is>
          <t>Bicycle &amp; Pedestrian</t>
        </is>
      </c>
      <c r="F144" t="inlineStr">
        <is>
          <t>Des Plaines</t>
        </is>
      </c>
      <c r="G144" s="5" t="n">
        <v>257400</v>
      </c>
      <c r="H144" t="inlineStr">
        <is>
          <t>Yes</t>
        </is>
      </c>
      <c r="I144" t="inlineStr">
        <is>
          <t>No</t>
        </is>
      </c>
      <c r="J144" t="inlineStr">
        <is>
          <t>No</t>
        </is>
      </c>
    </row>
    <row r="145">
      <c r="A145" t="inlineStr">
        <is>
          <t>FFY2025</t>
        </is>
      </c>
      <c r="B145" t="inlineStr">
        <is>
          <t>FHWA Obligation</t>
        </is>
      </c>
      <c r="C145" t="inlineStr">
        <is>
          <t>04-17-0011</t>
        </is>
      </c>
      <c r="D145" t="inlineStr">
        <is>
          <t>Des Plaines River Trail from Touhy to North Avenue</t>
        </is>
      </c>
      <c r="E145" t="inlineStr">
        <is>
          <t>Bicycle &amp; Pedestrian</t>
        </is>
      </c>
      <c r="F145" t="inlineStr">
        <is>
          <t>Des Plaines</t>
        </is>
      </c>
      <c r="G145" s="5" t="n">
        <v>163300</v>
      </c>
      <c r="H145" t="inlineStr">
        <is>
          <t>Yes</t>
        </is>
      </c>
      <c r="I145" t="inlineStr">
        <is>
          <t>No</t>
        </is>
      </c>
      <c r="J145" t="inlineStr">
        <is>
          <t>No</t>
        </is>
      </c>
    </row>
    <row r="146">
      <c r="A146" t="inlineStr">
        <is>
          <t>FFY2025</t>
        </is>
      </c>
      <c r="B146" t="inlineStr">
        <is>
          <t>AC Authorization</t>
        </is>
      </c>
      <c r="C146" t="inlineStr">
        <is>
          <t>03-24-0004</t>
        </is>
      </c>
      <c r="D146" t="inlineStr">
        <is>
          <t>Various Routes at Various Locations</t>
        </is>
      </c>
      <c r="E146" t="inlineStr">
        <is>
          <t>Intersection/Interchange Improvements</t>
        </is>
      </c>
      <c r="F146" t="inlineStr">
        <is>
          <t>Des Plaines</t>
        </is>
      </c>
      <c r="G146" s="5" t="n">
        <v>2475000</v>
      </c>
      <c r="H146" t="inlineStr">
        <is>
          <t>No</t>
        </is>
      </c>
      <c r="I146" t="inlineStr">
        <is>
          <t>No</t>
        </is>
      </c>
      <c r="J146" t="inlineStr">
        <is>
          <t>No</t>
        </is>
      </c>
    </row>
    <row r="147">
      <c r="A147" t="inlineStr">
        <is>
          <t>FFY2025</t>
        </is>
      </c>
      <c r="B147" t="inlineStr">
        <is>
          <t>FHWA Obligation</t>
        </is>
      </c>
      <c r="C147" t="inlineStr">
        <is>
          <t>03-23-0041</t>
        </is>
      </c>
      <c r="D147" t="inlineStr">
        <is>
          <t>Various - Various Locations (Trombone Replacement)</t>
        </is>
      </c>
      <c r="E147" t="inlineStr">
        <is>
          <t>Intersection/Interchange Improvements</t>
        </is>
      </c>
      <c r="F147" t="inlineStr">
        <is>
          <t>Des Plaines</t>
        </is>
      </c>
      <c r="G147" s="5" t="n">
        <v>217590</v>
      </c>
      <c r="H147" t="inlineStr">
        <is>
          <t>No</t>
        </is>
      </c>
      <c r="I147" t="inlineStr">
        <is>
          <t>No</t>
        </is>
      </c>
      <c r="J147" t="inlineStr">
        <is>
          <t>No</t>
        </is>
      </c>
    </row>
    <row r="148">
      <c r="A148" t="inlineStr">
        <is>
          <t>FFY2025</t>
        </is>
      </c>
      <c r="B148" t="inlineStr">
        <is>
          <t>FHWA Obligation</t>
        </is>
      </c>
      <c r="C148" t="inlineStr">
        <is>
          <t>03-23-0041</t>
        </is>
      </c>
      <c r="D148" t="inlineStr">
        <is>
          <t>Various - Various Locations (Trombone Replacement)</t>
        </is>
      </c>
      <c r="E148" t="inlineStr">
        <is>
          <t>Intersection/Interchange Improvements</t>
        </is>
      </c>
      <c r="F148" t="inlineStr">
        <is>
          <t>Des Plaines</t>
        </is>
      </c>
      <c r="G148" s="5" t="n">
        <v>691256</v>
      </c>
      <c r="H148" t="inlineStr">
        <is>
          <t>No</t>
        </is>
      </c>
      <c r="I148" t="inlineStr">
        <is>
          <t>No</t>
        </is>
      </c>
      <c r="J148" t="inlineStr">
        <is>
          <t>No</t>
        </is>
      </c>
    </row>
    <row r="149">
      <c r="A149" t="inlineStr">
        <is>
          <t>FFY2025</t>
        </is>
      </c>
      <c r="B149" t="inlineStr">
        <is>
          <t>AC Authorization</t>
        </is>
      </c>
      <c r="C149" t="inlineStr">
        <is>
          <t>03-24-0007</t>
        </is>
      </c>
      <c r="D149" t="inlineStr">
        <is>
          <t>Ill 72/83 Higgins Rd - I-290 (Eisenhower Expwy) Ramps (NB) to NW of Landmeier Rd</t>
        </is>
      </c>
      <c r="E149" t="inlineStr">
        <is>
          <t>Road Maintenance</t>
        </is>
      </c>
      <c r="F149" t="inlineStr">
        <is>
          <t>Des Plaines</t>
        </is>
      </c>
      <c r="G149" s="5" t="n">
        <v>6560000</v>
      </c>
      <c r="H149" t="inlineStr">
        <is>
          <t>No</t>
        </is>
      </c>
      <c r="I149" t="inlineStr">
        <is>
          <t>No</t>
        </is>
      </c>
      <c r="J149" t="inlineStr">
        <is>
          <t>No</t>
        </is>
      </c>
    </row>
    <row r="150">
      <c r="A150" t="inlineStr">
        <is>
          <t>FFY2025</t>
        </is>
      </c>
      <c r="B150" t="inlineStr">
        <is>
          <t>AC Authorization</t>
        </is>
      </c>
      <c r="C150" t="inlineStr">
        <is>
          <t>03-24-0007</t>
        </is>
      </c>
      <c r="D150" t="inlineStr">
        <is>
          <t>Ill 72/83 Higgins Rd - I-290 (Eisenhower Expwy) Ramps (NB) to NW of Landmeier Rd</t>
        </is>
      </c>
      <c r="E150" t="inlineStr">
        <is>
          <t>Road Maintenance</t>
        </is>
      </c>
      <c r="F150" t="inlineStr">
        <is>
          <t>Des Plaines</t>
        </is>
      </c>
      <c r="G150" s="5" t="n">
        <v>1040000</v>
      </c>
      <c r="H150" t="inlineStr">
        <is>
          <t>No</t>
        </is>
      </c>
      <c r="I150" t="inlineStr">
        <is>
          <t>No</t>
        </is>
      </c>
      <c r="J150" t="inlineStr">
        <is>
          <t>No</t>
        </is>
      </c>
    </row>
    <row r="151">
      <c r="A151" t="inlineStr">
        <is>
          <t>FFY2025</t>
        </is>
      </c>
      <c r="B151" t="inlineStr">
        <is>
          <t>FHWA Obligation</t>
        </is>
      </c>
      <c r="C151" t="inlineStr">
        <is>
          <t>03-18-0014</t>
        </is>
      </c>
      <c r="D151" t="inlineStr">
        <is>
          <t>Busse Hwy - US 14 (Miner St) to Touhy Ave</t>
        </is>
      </c>
      <c r="E151" t="inlineStr">
        <is>
          <t>Road Maintenance</t>
        </is>
      </c>
      <c r="F151" t="inlineStr">
        <is>
          <t>Des Plaines</t>
        </is>
      </c>
      <c r="G151" s="5" t="n">
        <v>4621448</v>
      </c>
      <c r="H151" t="inlineStr">
        <is>
          <t>Yes</t>
        </is>
      </c>
      <c r="I151" t="inlineStr">
        <is>
          <t>Yes</t>
        </is>
      </c>
      <c r="J151" t="inlineStr">
        <is>
          <t>No</t>
        </is>
      </c>
    </row>
    <row r="152">
      <c r="A152" t="inlineStr">
        <is>
          <t>FFY2025</t>
        </is>
      </c>
      <c r="B152" t="inlineStr">
        <is>
          <t>FHWA Obligation</t>
        </is>
      </c>
      <c r="C152" t="inlineStr">
        <is>
          <t>03-22-0010</t>
        </is>
      </c>
      <c r="D152" t="inlineStr">
        <is>
          <t>Wolf Rd - Ill 58 (Golf Rd) to Touhy Ave</t>
        </is>
      </c>
      <c r="E152" t="inlineStr">
        <is>
          <t>Road Maintenance</t>
        </is>
      </c>
      <c r="F152" t="inlineStr">
        <is>
          <t>Des Plaines</t>
        </is>
      </c>
      <c r="G152" s="5" t="n">
        <v>2494960</v>
      </c>
      <c r="H152" t="inlineStr">
        <is>
          <t>Yes</t>
        </is>
      </c>
      <c r="I152" t="inlineStr">
        <is>
          <t>Yes</t>
        </is>
      </c>
      <c r="J152" t="inlineStr">
        <is>
          <t>No</t>
        </is>
      </c>
    </row>
    <row r="153">
      <c r="A153" t="inlineStr">
        <is>
          <t>FFY2025</t>
        </is>
      </c>
      <c r="B153" t="inlineStr">
        <is>
          <t>FHWA Obligation</t>
        </is>
      </c>
      <c r="C153" t="inlineStr">
        <is>
          <t>03-23-0038</t>
        </is>
      </c>
      <c r="D153" t="inlineStr">
        <is>
          <t>Ill 83 Oakton St - Ill 72 (Higgins Rd) to W of Elmhurst Rd</t>
        </is>
      </c>
      <c r="E153" t="inlineStr">
        <is>
          <t>Road Maintenance</t>
        </is>
      </c>
      <c r="F153" t="inlineStr">
        <is>
          <t>Des Plaines</t>
        </is>
      </c>
      <c r="G153" s="5" t="n">
        <v>650817</v>
      </c>
      <c r="H153" t="inlineStr">
        <is>
          <t>No</t>
        </is>
      </c>
      <c r="I153" t="inlineStr">
        <is>
          <t>No</t>
        </is>
      </c>
      <c r="J153" t="inlineStr">
        <is>
          <t>No</t>
        </is>
      </c>
    </row>
    <row r="154">
      <c r="A154" t="inlineStr">
        <is>
          <t>FFY2025</t>
        </is>
      </c>
      <c r="B154" t="inlineStr">
        <is>
          <t>AC Authorization</t>
        </is>
      </c>
      <c r="C154" t="inlineStr">
        <is>
          <t>06-24-0044</t>
        </is>
      </c>
      <c r="D154" t="inlineStr">
        <is>
          <t>Western Ave - S of Broadway St to I-57</t>
        </is>
      </c>
      <c r="E154" t="inlineStr">
        <is>
          <t>Road Maintenance</t>
        </is>
      </c>
      <c r="F154" t="inlineStr">
        <is>
          <t>Dixmoor</t>
        </is>
      </c>
      <c r="G154" s="5" t="n">
        <v>105383</v>
      </c>
      <c r="H154" t="inlineStr">
        <is>
          <t>No</t>
        </is>
      </c>
      <c r="I154" t="inlineStr">
        <is>
          <t>No</t>
        </is>
      </c>
      <c r="J154" t="inlineStr">
        <is>
          <t>No</t>
        </is>
      </c>
    </row>
    <row r="155">
      <c r="A155" t="inlineStr">
        <is>
          <t>FFY2025</t>
        </is>
      </c>
      <c r="B155" t="inlineStr">
        <is>
          <t>FHWA Obligation</t>
        </is>
      </c>
      <c r="C155" t="inlineStr">
        <is>
          <t>06-24-0044</t>
        </is>
      </c>
      <c r="D155" t="inlineStr">
        <is>
          <t>Western Ave - S of Broadway St to I-57</t>
        </is>
      </c>
      <c r="E155" t="inlineStr">
        <is>
          <t>Road Maintenance</t>
        </is>
      </c>
      <c r="F155" t="inlineStr">
        <is>
          <t>Dixmoor</t>
        </is>
      </c>
      <c r="G155" s="5" t="n">
        <v>219072</v>
      </c>
      <c r="H155" t="inlineStr">
        <is>
          <t>No</t>
        </is>
      </c>
      <c r="I155" t="inlineStr">
        <is>
          <t>No</t>
        </is>
      </c>
      <c r="J155" t="inlineStr">
        <is>
          <t>No</t>
        </is>
      </c>
    </row>
    <row r="156">
      <c r="A156" t="inlineStr">
        <is>
          <t>FFY2025</t>
        </is>
      </c>
      <c r="B156" t="inlineStr">
        <is>
          <t>FHWA Obligation</t>
        </is>
      </c>
      <c r="C156" t="inlineStr">
        <is>
          <t>06-24-0044</t>
        </is>
      </c>
      <c r="D156" t="inlineStr">
        <is>
          <t>Western Ave - S of Broadway St to I-57</t>
        </is>
      </c>
      <c r="E156" t="inlineStr">
        <is>
          <t>Road Maintenance</t>
        </is>
      </c>
      <c r="F156" t="inlineStr">
        <is>
          <t>Dixmoor</t>
        </is>
      </c>
      <c r="G156" s="5" t="n">
        <v>635546</v>
      </c>
      <c r="H156" t="inlineStr">
        <is>
          <t>No</t>
        </is>
      </c>
      <c r="I156" t="inlineStr">
        <is>
          <t>No</t>
        </is>
      </c>
      <c r="J156" t="inlineStr">
        <is>
          <t>No</t>
        </is>
      </c>
    </row>
    <row r="157">
      <c r="A157" t="inlineStr">
        <is>
          <t>FFY2025</t>
        </is>
      </c>
      <c r="B157" t="inlineStr">
        <is>
          <t>AC Authorization</t>
        </is>
      </c>
      <c r="C157" t="inlineStr">
        <is>
          <t>01-18-0022</t>
        </is>
      </c>
      <c r="D157" t="inlineStr">
        <is>
          <t>I-94 Bishop Ford Expwy - W of Martin Luther King Dr to US 6 (159th St)</t>
        </is>
      </c>
      <c r="E157" t="inlineStr">
        <is>
          <t>Bridge Routine Maintenance</t>
        </is>
      </c>
      <c r="F157" t="inlineStr">
        <is>
          <t>Dolton</t>
        </is>
      </c>
      <c r="G157" s="5" t="n">
        <v>45000000</v>
      </c>
      <c r="H157" t="inlineStr">
        <is>
          <t>No</t>
        </is>
      </c>
      <c r="I157" t="inlineStr">
        <is>
          <t>No</t>
        </is>
      </c>
      <c r="J157" t="inlineStr">
        <is>
          <t>Yes</t>
        </is>
      </c>
    </row>
    <row r="158">
      <c r="A158" t="inlineStr">
        <is>
          <t>FFY2025</t>
        </is>
      </c>
      <c r="B158" t="inlineStr">
        <is>
          <t>AC Authorization</t>
        </is>
      </c>
      <c r="C158" t="inlineStr">
        <is>
          <t>01-18-0022</t>
        </is>
      </c>
      <c r="D158" t="inlineStr">
        <is>
          <t>I-94 Bishop Ford Expwy - W of Martin Luther King Dr to US 6 (159th St)</t>
        </is>
      </c>
      <c r="E158" t="inlineStr">
        <is>
          <t>Bridge Routine Maintenance</t>
        </is>
      </c>
      <c r="F158" t="inlineStr">
        <is>
          <t>Dolton</t>
        </is>
      </c>
      <c r="G158" s="5" t="n">
        <v>5850000</v>
      </c>
      <c r="H158" t="inlineStr">
        <is>
          <t>No</t>
        </is>
      </c>
      <c r="I158" t="inlineStr">
        <is>
          <t>No</t>
        </is>
      </c>
      <c r="J158" t="inlineStr">
        <is>
          <t>Yes</t>
        </is>
      </c>
    </row>
    <row r="159">
      <c r="A159" t="inlineStr">
        <is>
          <t>FFY2025</t>
        </is>
      </c>
      <c r="B159" t="inlineStr">
        <is>
          <t>FHWA Obligation</t>
        </is>
      </c>
      <c r="C159" t="inlineStr">
        <is>
          <t>01-18-0022</t>
        </is>
      </c>
      <c r="D159" t="inlineStr">
        <is>
          <t>I-94 Bishop Ford Expwy - W of Martin Luther King Dr to US 6 (159th St)</t>
        </is>
      </c>
      <c r="E159" t="inlineStr">
        <is>
          <t>Bridge Routine Maintenance</t>
        </is>
      </c>
      <c r="F159" t="inlineStr">
        <is>
          <t>Dolton</t>
        </is>
      </c>
      <c r="G159" s="5" t="n">
        <v>28262658</v>
      </c>
      <c r="H159" t="inlineStr">
        <is>
          <t>No</t>
        </is>
      </c>
      <c r="I159" t="inlineStr">
        <is>
          <t>No</t>
        </is>
      </c>
      <c r="J159" t="inlineStr">
        <is>
          <t>Yes</t>
        </is>
      </c>
    </row>
    <row r="160">
      <c r="A160" t="inlineStr">
        <is>
          <t>FFY2025</t>
        </is>
      </c>
      <c r="B160" t="inlineStr">
        <is>
          <t>FHWA Obligation</t>
        </is>
      </c>
      <c r="C160" t="inlineStr">
        <is>
          <t>01-18-0022</t>
        </is>
      </c>
      <c r="D160" t="inlineStr">
        <is>
          <t>I-94 Bishop Ford Expwy - W of Martin Luther King Dr to US 6 (159th St)</t>
        </is>
      </c>
      <c r="E160" t="inlineStr">
        <is>
          <t>Bridge Routine Maintenance</t>
        </is>
      </c>
      <c r="F160" t="inlineStr">
        <is>
          <t>Dolton</t>
        </is>
      </c>
      <c r="G160" s="5" t="n">
        <v>28800</v>
      </c>
      <c r="H160" t="inlineStr">
        <is>
          <t>No</t>
        </is>
      </c>
      <c r="I160" t="inlineStr">
        <is>
          <t>No</t>
        </is>
      </c>
      <c r="J160" t="inlineStr">
        <is>
          <t>Yes</t>
        </is>
      </c>
    </row>
    <row r="161">
      <c r="A161" t="inlineStr">
        <is>
          <t>FFY2025</t>
        </is>
      </c>
      <c r="B161" t="inlineStr">
        <is>
          <t>FHWA Obligation</t>
        </is>
      </c>
      <c r="C161" t="inlineStr">
        <is>
          <t>01-18-0022</t>
        </is>
      </c>
      <c r="D161" t="inlineStr">
        <is>
          <t>I-94 Bishop Ford Expwy - W of Martin Luther King Dr to US 6 (159th St)</t>
        </is>
      </c>
      <c r="E161" t="inlineStr">
        <is>
          <t>Bridge Routine Maintenance</t>
        </is>
      </c>
      <c r="F161" t="inlineStr">
        <is>
          <t>Dolton</t>
        </is>
      </c>
      <c r="G161" s="5" t="n">
        <v>34466</v>
      </c>
      <c r="H161" t="inlineStr">
        <is>
          <t>No</t>
        </is>
      </c>
      <c r="I161" t="inlineStr">
        <is>
          <t>No</t>
        </is>
      </c>
      <c r="J161" t="inlineStr">
        <is>
          <t>Yes</t>
        </is>
      </c>
    </row>
    <row r="162">
      <c r="A162" t="inlineStr">
        <is>
          <t>FFY2025</t>
        </is>
      </c>
      <c r="B162" t="inlineStr">
        <is>
          <t>FHWA Obligation</t>
        </is>
      </c>
      <c r="C162" t="inlineStr">
        <is>
          <t>01-18-0022</t>
        </is>
      </c>
      <c r="D162" t="inlineStr">
        <is>
          <t>I-94 Bishop Ford Expwy - W of Martin Luther King Dr to US 6 (159th St)</t>
        </is>
      </c>
      <c r="E162" t="inlineStr">
        <is>
          <t>Bridge Routine Maintenance</t>
        </is>
      </c>
      <c r="F162" t="inlineStr">
        <is>
          <t>Dolton</t>
        </is>
      </c>
      <c r="G162" s="5" t="n">
        <v>58500</v>
      </c>
      <c r="H162" t="inlineStr">
        <is>
          <t>No</t>
        </is>
      </c>
      <c r="I162" t="inlineStr">
        <is>
          <t>No</t>
        </is>
      </c>
      <c r="J162" t="inlineStr">
        <is>
          <t>Yes</t>
        </is>
      </c>
    </row>
    <row r="163">
      <c r="A163" t="inlineStr">
        <is>
          <t>FFY2025</t>
        </is>
      </c>
      <c r="B163" t="inlineStr">
        <is>
          <t>AC Authorization</t>
        </is>
      </c>
      <c r="C163" t="inlineStr">
        <is>
          <t>01-20-0033</t>
        </is>
      </c>
      <c r="D163" t="inlineStr">
        <is>
          <t>Lincoln Ave - Indiana Ave to Ill 83 (Sibley Blvd)</t>
        </is>
      </c>
      <c r="E163" t="inlineStr">
        <is>
          <t>Road Maintenance</t>
        </is>
      </c>
      <c r="F163" t="inlineStr">
        <is>
          <t>Dolton</t>
        </is>
      </c>
      <c r="G163" s="5" t="n">
        <v>2000000</v>
      </c>
      <c r="H163" t="inlineStr">
        <is>
          <t>Yes</t>
        </is>
      </c>
      <c r="I163" t="inlineStr">
        <is>
          <t>Yes</t>
        </is>
      </c>
      <c r="J163" t="inlineStr">
        <is>
          <t>No</t>
        </is>
      </c>
    </row>
    <row r="164">
      <c r="A164" t="inlineStr">
        <is>
          <t>FFY2025</t>
        </is>
      </c>
      <c r="B164" t="inlineStr">
        <is>
          <t>AC Authorization</t>
        </is>
      </c>
      <c r="C164" t="inlineStr">
        <is>
          <t>07-25-0016</t>
        </is>
      </c>
      <c r="D164" t="inlineStr">
        <is>
          <t>Dolton Ave - 142nd St to I-94 (Bishop Ford Freeway)</t>
        </is>
      </c>
      <c r="E164" t="inlineStr">
        <is>
          <t>Road Maintenance</t>
        </is>
      </c>
      <c r="F164" t="inlineStr">
        <is>
          <t>Dolton</t>
        </is>
      </c>
      <c r="G164" s="5" t="n">
        <v>640000</v>
      </c>
      <c r="H164" t="inlineStr">
        <is>
          <t>Yes</t>
        </is>
      </c>
      <c r="I164" t="inlineStr">
        <is>
          <t>Yes</t>
        </is>
      </c>
      <c r="J164" t="inlineStr">
        <is>
          <t>No</t>
        </is>
      </c>
    </row>
    <row r="165">
      <c r="A165" t="inlineStr">
        <is>
          <t>FFY2025</t>
        </is>
      </c>
      <c r="B165" t="inlineStr">
        <is>
          <t>AC Authorization</t>
        </is>
      </c>
      <c r="C165" t="inlineStr">
        <is>
          <t>07-20-0033</t>
        </is>
      </c>
      <c r="D165" t="inlineStr">
        <is>
          <t>East Hazel Crest : Center Street - 171st Street to 175th Street</t>
        </is>
      </c>
      <c r="E165" t="inlineStr">
        <is>
          <t>Road Modernization</t>
        </is>
      </c>
      <c r="F165" t="inlineStr">
        <is>
          <t>East Hazel Crest</t>
        </is>
      </c>
      <c r="G165" s="5" t="n">
        <v>411848</v>
      </c>
      <c r="H165" t="inlineStr">
        <is>
          <t>Yes</t>
        </is>
      </c>
      <c r="I165" t="inlineStr">
        <is>
          <t>Yes</t>
        </is>
      </c>
      <c r="J165" t="inlineStr">
        <is>
          <t>Yes</t>
        </is>
      </c>
    </row>
    <row r="166">
      <c r="A166" t="inlineStr">
        <is>
          <t>FFY2025</t>
        </is>
      </c>
      <c r="B166" t="inlineStr">
        <is>
          <t>FHWA Obligation</t>
        </is>
      </c>
      <c r="C166" t="inlineStr">
        <is>
          <t>07-20-0033</t>
        </is>
      </c>
      <c r="D166" t="inlineStr">
        <is>
          <t>East Hazel Crest : Center Street - 171st Street to 175th Street</t>
        </is>
      </c>
      <c r="E166" t="inlineStr">
        <is>
          <t>Road Modernization</t>
        </is>
      </c>
      <c r="F166" t="inlineStr">
        <is>
          <t>East Hazel Crest</t>
        </is>
      </c>
      <c r="G166" s="5" t="n">
        <v>518152</v>
      </c>
      <c r="H166" t="inlineStr">
        <is>
          <t>Yes</t>
        </is>
      </c>
      <c r="I166" t="inlineStr">
        <is>
          <t>Yes</t>
        </is>
      </c>
      <c r="J166" t="inlineStr">
        <is>
          <t>Yes</t>
        </is>
      </c>
    </row>
    <row r="167">
      <c r="A167" t="inlineStr">
        <is>
          <t>FFY2025</t>
        </is>
      </c>
      <c r="B167" t="inlineStr">
        <is>
          <t>FHWA Obligation</t>
        </is>
      </c>
      <c r="C167" t="inlineStr">
        <is>
          <t>03-19-0007</t>
        </is>
      </c>
      <c r="D167" t="inlineStr">
        <is>
          <t>Wellington and Leicester Culverts over Lake Cosman</t>
        </is>
      </c>
      <c r="E167" t="inlineStr">
        <is>
          <t>Bridge Repair, Rehab, or Replace</t>
        </is>
      </c>
      <c r="F167" t="inlineStr">
        <is>
          <t>Elk Grove Village</t>
        </is>
      </c>
      <c r="G167" s="5" t="n">
        <v>205202</v>
      </c>
      <c r="H167" t="inlineStr">
        <is>
          <t>No</t>
        </is>
      </c>
      <c r="I167" t="inlineStr">
        <is>
          <t>No</t>
        </is>
      </c>
      <c r="J167" t="inlineStr">
        <is>
          <t>No</t>
        </is>
      </c>
    </row>
    <row r="168">
      <c r="A168" t="inlineStr">
        <is>
          <t>FFY2025</t>
        </is>
      </c>
      <c r="B168" t="inlineStr">
        <is>
          <t>FHWA Obligation</t>
        </is>
      </c>
      <c r="C168" t="inlineStr">
        <is>
          <t>03-19-0007</t>
        </is>
      </c>
      <c r="D168" t="inlineStr">
        <is>
          <t>Wellington and Leicester Culverts over Lake Cosman</t>
        </is>
      </c>
      <c r="E168" t="inlineStr">
        <is>
          <t>Bridge Repair, Rehab, or Replace</t>
        </is>
      </c>
      <c r="F168" t="inlineStr">
        <is>
          <t>Elk Grove Village</t>
        </is>
      </c>
      <c r="G168" s="5" t="n">
        <v>564</v>
      </c>
      <c r="H168" t="inlineStr">
        <is>
          <t>No</t>
        </is>
      </c>
      <c r="I168" t="inlineStr">
        <is>
          <t>No</t>
        </is>
      </c>
      <c r="J168" t="inlineStr">
        <is>
          <t>No</t>
        </is>
      </c>
    </row>
    <row r="169">
      <c r="A169" t="inlineStr">
        <is>
          <t>FFY2025</t>
        </is>
      </c>
      <c r="B169" t="inlineStr">
        <is>
          <t>FHWA Obligation</t>
        </is>
      </c>
      <c r="C169" t="inlineStr">
        <is>
          <t>03-19-0007</t>
        </is>
      </c>
      <c r="D169" t="inlineStr">
        <is>
          <t>Wellington and Leicester Culverts over Lake Cosman</t>
        </is>
      </c>
      <c r="E169" t="inlineStr">
        <is>
          <t>Bridge Repair, Rehab, or Replace</t>
        </is>
      </c>
      <c r="F169" t="inlineStr">
        <is>
          <t>Elk Grove Village</t>
        </is>
      </c>
      <c r="G169" s="5" t="n">
        <v>3072000</v>
      </c>
      <c r="H169" t="inlineStr">
        <is>
          <t>No</t>
        </is>
      </c>
      <c r="I169" t="inlineStr">
        <is>
          <t>No</t>
        </is>
      </c>
      <c r="J169" t="inlineStr">
        <is>
          <t>No</t>
        </is>
      </c>
    </row>
    <row r="170">
      <c r="A170" t="inlineStr">
        <is>
          <t>FFY2025</t>
        </is>
      </c>
      <c r="B170" t="inlineStr">
        <is>
          <t>AC Authorization</t>
        </is>
      </c>
      <c r="C170" t="inlineStr">
        <is>
          <t>03-20-0037</t>
        </is>
      </c>
      <c r="D170" t="inlineStr">
        <is>
          <t>Busse Rd-Landmeier Rd Intersection Resurfacing</t>
        </is>
      </c>
      <c r="E170" t="inlineStr">
        <is>
          <t>Road Maintenance</t>
        </is>
      </c>
      <c r="F170" t="inlineStr">
        <is>
          <t>Elk Grove Village</t>
        </is>
      </c>
      <c r="G170" s="5" t="n">
        <v>1124831</v>
      </c>
      <c r="H170" t="inlineStr">
        <is>
          <t>Yes</t>
        </is>
      </c>
      <c r="I170" t="inlineStr">
        <is>
          <t>Yes</t>
        </is>
      </c>
      <c r="J170" t="inlineStr">
        <is>
          <t>Yes</t>
        </is>
      </c>
    </row>
    <row r="171">
      <c r="A171" t="inlineStr">
        <is>
          <t>FFY2025</t>
        </is>
      </c>
      <c r="B171" t="inlineStr">
        <is>
          <t>AC Authorization</t>
        </is>
      </c>
      <c r="C171" t="inlineStr">
        <is>
          <t>03-24-0007</t>
        </is>
      </c>
      <c r="D171" t="inlineStr">
        <is>
          <t>Ill 72/83 Higgins Rd - I-290 (Eisenhower Expwy) Ramps (NB) to NW of Landmeier Rd</t>
        </is>
      </c>
      <c r="E171" t="inlineStr">
        <is>
          <t>Road Maintenance</t>
        </is>
      </c>
      <c r="F171" t="inlineStr">
        <is>
          <t>Elk Grove Village</t>
        </is>
      </c>
      <c r="G171" s="5" t="n">
        <v>6560000</v>
      </c>
      <c r="H171" t="inlineStr">
        <is>
          <t>No</t>
        </is>
      </c>
      <c r="I171" t="inlineStr">
        <is>
          <t>No</t>
        </is>
      </c>
      <c r="J171" t="inlineStr">
        <is>
          <t>No</t>
        </is>
      </c>
    </row>
    <row r="172">
      <c r="A172" t="inlineStr">
        <is>
          <t>FFY2025</t>
        </is>
      </c>
      <c r="B172" t="inlineStr">
        <is>
          <t>AC Authorization</t>
        </is>
      </c>
      <c r="C172" t="inlineStr">
        <is>
          <t>03-24-0007</t>
        </is>
      </c>
      <c r="D172" t="inlineStr">
        <is>
          <t>Ill 72/83 Higgins Rd - I-290 (Eisenhower Expwy) Ramps (NB) to NW of Landmeier Rd</t>
        </is>
      </c>
      <c r="E172" t="inlineStr">
        <is>
          <t>Road Maintenance</t>
        </is>
      </c>
      <c r="F172" t="inlineStr">
        <is>
          <t>Elk Grove Village</t>
        </is>
      </c>
      <c r="G172" s="5" t="n">
        <v>1040000</v>
      </c>
      <c r="H172" t="inlineStr">
        <is>
          <t>No</t>
        </is>
      </c>
      <c r="I172" t="inlineStr">
        <is>
          <t>No</t>
        </is>
      </c>
      <c r="J172" t="inlineStr">
        <is>
          <t>No</t>
        </is>
      </c>
    </row>
    <row r="173">
      <c r="A173" t="inlineStr">
        <is>
          <t>FFY2025</t>
        </is>
      </c>
      <c r="B173" t="inlineStr">
        <is>
          <t>FHWA Obligation</t>
        </is>
      </c>
      <c r="C173" t="inlineStr">
        <is>
          <t>03-23-0038</t>
        </is>
      </c>
      <c r="D173" t="inlineStr">
        <is>
          <t>Ill 83 Oakton St - Ill 72 (Higgins Rd) to W of Elmhurst Rd</t>
        </is>
      </c>
      <c r="E173" t="inlineStr">
        <is>
          <t>Road Maintenance</t>
        </is>
      </c>
      <c r="F173" t="inlineStr">
        <is>
          <t>Elk Grove Village</t>
        </is>
      </c>
      <c r="G173" s="5" t="n">
        <v>650817</v>
      </c>
      <c r="H173" t="inlineStr">
        <is>
          <t>No</t>
        </is>
      </c>
      <c r="I173" t="inlineStr">
        <is>
          <t>No</t>
        </is>
      </c>
      <c r="J173" t="inlineStr">
        <is>
          <t>No</t>
        </is>
      </c>
    </row>
    <row r="174">
      <c r="A174" t="inlineStr">
        <is>
          <t>FFY2025</t>
        </is>
      </c>
      <c r="B174" t="inlineStr">
        <is>
          <t>AC Authorization</t>
        </is>
      </c>
      <c r="C174" t="inlineStr">
        <is>
          <t>03-20-0040</t>
        </is>
      </c>
      <c r="D174" t="inlineStr">
        <is>
          <t>Tonne Rd from Elk Grove Blvd to Landmeier Rd</t>
        </is>
      </c>
      <c r="E174" t="inlineStr">
        <is>
          <t>Road Modernization</t>
        </is>
      </c>
      <c r="F174" t="inlineStr">
        <is>
          <t>Elk Grove Village</t>
        </is>
      </c>
      <c r="G174" s="5" t="n">
        <v>500000</v>
      </c>
      <c r="H174" t="inlineStr">
        <is>
          <t>Yes</t>
        </is>
      </c>
      <c r="I174" t="inlineStr">
        <is>
          <t>Yes</t>
        </is>
      </c>
      <c r="J174" t="inlineStr">
        <is>
          <t>Yes</t>
        </is>
      </c>
    </row>
    <row r="175">
      <c r="A175" t="inlineStr">
        <is>
          <t>FFY2025</t>
        </is>
      </c>
      <c r="B175" t="inlineStr">
        <is>
          <t>AC Authorization</t>
        </is>
      </c>
      <c r="C175" t="inlineStr">
        <is>
          <t>03-20-0040</t>
        </is>
      </c>
      <c r="D175" t="inlineStr">
        <is>
          <t>Tonne Rd from Elk Grove Blvd to Landmeier Rd</t>
        </is>
      </c>
      <c r="E175" t="inlineStr">
        <is>
          <t>Road Modernization</t>
        </is>
      </c>
      <c r="F175" t="inlineStr">
        <is>
          <t>Elk Grove Village</t>
        </is>
      </c>
      <c r="G175" s="5" t="n">
        <v>700671</v>
      </c>
      <c r="H175" t="inlineStr">
        <is>
          <t>Yes</t>
        </is>
      </c>
      <c r="I175" t="inlineStr">
        <is>
          <t>Yes</t>
        </is>
      </c>
      <c r="J175" t="inlineStr">
        <is>
          <t>Yes</t>
        </is>
      </c>
    </row>
    <row r="176">
      <c r="A176" t="inlineStr">
        <is>
          <t>FFY2025</t>
        </is>
      </c>
      <c r="B176" t="inlineStr">
        <is>
          <t>AC Authorization</t>
        </is>
      </c>
      <c r="C176" t="inlineStr">
        <is>
          <t>03-20-0040</t>
        </is>
      </c>
      <c r="D176" t="inlineStr">
        <is>
          <t>Tonne Rd from Elk Grove Blvd to Landmeier Rd</t>
        </is>
      </c>
      <c r="E176" t="inlineStr">
        <is>
          <t>Road Modernization</t>
        </is>
      </c>
      <c r="F176" t="inlineStr">
        <is>
          <t>Elk Grove Village</t>
        </is>
      </c>
      <c r="G176" s="5" t="n">
        <v>2799329</v>
      </c>
      <c r="H176" t="inlineStr">
        <is>
          <t>Yes</t>
        </is>
      </c>
      <c r="I176" t="inlineStr">
        <is>
          <t>Yes</t>
        </is>
      </c>
      <c r="J176" t="inlineStr">
        <is>
          <t>Yes</t>
        </is>
      </c>
    </row>
    <row r="177">
      <c r="A177" t="inlineStr">
        <is>
          <t>FFY2025</t>
        </is>
      </c>
      <c r="B177" t="inlineStr">
        <is>
          <t>AC Authorization</t>
        </is>
      </c>
      <c r="C177" t="inlineStr">
        <is>
          <t>03-20-0040</t>
        </is>
      </c>
      <c r="D177" t="inlineStr">
        <is>
          <t>Tonne Rd from Elk Grove Blvd to Landmeier Rd</t>
        </is>
      </c>
      <c r="E177" t="inlineStr">
        <is>
          <t>Road Modernization</t>
        </is>
      </c>
      <c r="F177" t="inlineStr">
        <is>
          <t>Elk Grove Village</t>
        </is>
      </c>
      <c r="G177" s="5" t="n">
        <v>1500000</v>
      </c>
      <c r="H177" t="inlineStr">
        <is>
          <t>Yes</t>
        </is>
      </c>
      <c r="I177" t="inlineStr">
        <is>
          <t>Yes</t>
        </is>
      </c>
      <c r="J177" t="inlineStr">
        <is>
          <t>Yes</t>
        </is>
      </c>
    </row>
    <row r="178">
      <c r="A178" t="inlineStr">
        <is>
          <t>FFY2025</t>
        </is>
      </c>
      <c r="B178" t="inlineStr">
        <is>
          <t>AC Authorization</t>
        </is>
      </c>
      <c r="C178" t="inlineStr">
        <is>
          <t>03-20-0040</t>
        </is>
      </c>
      <c r="D178" t="inlineStr">
        <is>
          <t>Tonne Rd from Elk Grove Blvd to Landmeier Rd</t>
        </is>
      </c>
      <c r="E178" t="inlineStr">
        <is>
          <t>Road Modernization</t>
        </is>
      </c>
      <c r="F178" t="inlineStr">
        <is>
          <t>Elk Grove Village</t>
        </is>
      </c>
      <c r="G178" s="5" t="n">
        <v>1853184</v>
      </c>
      <c r="H178" t="inlineStr">
        <is>
          <t>Yes</t>
        </is>
      </c>
      <c r="I178" t="inlineStr">
        <is>
          <t>Yes</t>
        </is>
      </c>
      <c r="J178" t="inlineStr">
        <is>
          <t>Yes</t>
        </is>
      </c>
    </row>
    <row r="179">
      <c r="A179" t="inlineStr">
        <is>
          <t>FFY2025</t>
        </is>
      </c>
      <c r="B179" t="inlineStr">
        <is>
          <t>FHWA Obligation</t>
        </is>
      </c>
      <c r="C179" t="inlineStr">
        <is>
          <t>03-20-0032</t>
        </is>
      </c>
      <c r="D179" t="inlineStr">
        <is>
          <t>Tonne Rd-Devon Ave Intersection Resurfacing</t>
        </is>
      </c>
      <c r="E179" t="inlineStr">
        <is>
          <t>Road Modernization</t>
        </is>
      </c>
      <c r="F179" t="inlineStr">
        <is>
          <t>Elk Grove Village</t>
        </is>
      </c>
      <c r="G179" s="5" t="n">
        <v>745147</v>
      </c>
      <c r="H179" t="inlineStr">
        <is>
          <t>Yes</t>
        </is>
      </c>
      <c r="I179" t="inlineStr">
        <is>
          <t>Yes</t>
        </is>
      </c>
      <c r="J179" t="inlineStr">
        <is>
          <t>No</t>
        </is>
      </c>
    </row>
    <row r="180">
      <c r="A180" t="inlineStr">
        <is>
          <t>FFY2025</t>
        </is>
      </c>
      <c r="B180" t="inlineStr">
        <is>
          <t>FHWA Obligation</t>
        </is>
      </c>
      <c r="C180" t="inlineStr">
        <is>
          <t>03-20-0036</t>
        </is>
      </c>
      <c r="D180" t="inlineStr">
        <is>
          <t>Arlington Heights Rd-Devon Ave Intersection Resurfacing</t>
        </is>
      </c>
      <c r="E180" t="inlineStr">
        <is>
          <t>Road Modernization</t>
        </is>
      </c>
      <c r="F180" t="inlineStr">
        <is>
          <t>Elk Grove Village</t>
        </is>
      </c>
      <c r="G180" s="5" t="n">
        <v>917985</v>
      </c>
      <c r="H180" t="inlineStr">
        <is>
          <t>Yes</t>
        </is>
      </c>
      <c r="I180" t="inlineStr">
        <is>
          <t>Yes</t>
        </is>
      </c>
      <c r="J180" t="inlineStr">
        <is>
          <t>No</t>
        </is>
      </c>
    </row>
    <row r="181">
      <c r="A181" t="inlineStr">
        <is>
          <t>FFY2025</t>
        </is>
      </c>
      <c r="B181" t="inlineStr">
        <is>
          <t>FHWA Obligation</t>
        </is>
      </c>
      <c r="C181" t="inlineStr">
        <is>
          <t>03-20-0040</t>
        </is>
      </c>
      <c r="D181" t="inlineStr">
        <is>
          <t>Tonne Rd from Elk Grove Blvd to Landmeier Rd</t>
        </is>
      </c>
      <c r="E181" t="inlineStr">
        <is>
          <t>Road Modernization</t>
        </is>
      </c>
      <c r="F181" t="inlineStr">
        <is>
          <t>Elk Grove Village</t>
        </is>
      </c>
      <c r="G181" s="5" t="n">
        <v>500000</v>
      </c>
      <c r="H181" t="inlineStr">
        <is>
          <t>Yes</t>
        </is>
      </c>
      <c r="I181" t="inlineStr">
        <is>
          <t>Yes</t>
        </is>
      </c>
      <c r="J181" t="inlineStr">
        <is>
          <t>Yes</t>
        </is>
      </c>
    </row>
    <row r="182">
      <c r="A182" t="inlineStr">
        <is>
          <t>FFY2025</t>
        </is>
      </c>
      <c r="B182" t="inlineStr">
        <is>
          <t>FHWA Obligation</t>
        </is>
      </c>
      <c r="C182" t="inlineStr">
        <is>
          <t>04-17-0011</t>
        </is>
      </c>
      <c r="D182" t="inlineStr">
        <is>
          <t>Des Plaines River Trail from Touhy to North Avenue</t>
        </is>
      </c>
      <c r="E182" t="inlineStr">
        <is>
          <t>Bicycle &amp; Pedestrian</t>
        </is>
      </c>
      <c r="F182" t="inlineStr">
        <is>
          <t>Elmwood Park</t>
        </is>
      </c>
      <c r="G182" s="5" t="n">
        <v>2524900</v>
      </c>
      <c r="H182" t="inlineStr">
        <is>
          <t>Yes</t>
        </is>
      </c>
      <c r="I182" t="inlineStr">
        <is>
          <t>No</t>
        </is>
      </c>
      <c r="J182" t="inlineStr">
        <is>
          <t>No</t>
        </is>
      </c>
    </row>
    <row r="183">
      <c r="A183" t="inlineStr">
        <is>
          <t>FFY2025</t>
        </is>
      </c>
      <c r="B183" t="inlineStr">
        <is>
          <t>FHWA Obligation</t>
        </is>
      </c>
      <c r="C183" t="inlineStr">
        <is>
          <t>04-17-0011</t>
        </is>
      </c>
      <c r="D183" t="inlineStr">
        <is>
          <t>Des Plaines River Trail from Touhy to North Avenue</t>
        </is>
      </c>
      <c r="E183" t="inlineStr">
        <is>
          <t>Bicycle &amp; Pedestrian</t>
        </is>
      </c>
      <c r="F183" t="inlineStr">
        <is>
          <t>Elmwood Park</t>
        </is>
      </c>
      <c r="G183" s="5" t="n">
        <v>257400</v>
      </c>
      <c r="H183" t="inlineStr">
        <is>
          <t>Yes</t>
        </is>
      </c>
      <c r="I183" t="inlineStr">
        <is>
          <t>No</t>
        </is>
      </c>
      <c r="J183" t="inlineStr">
        <is>
          <t>No</t>
        </is>
      </c>
    </row>
    <row r="184">
      <c r="A184" t="inlineStr">
        <is>
          <t>FFY2025</t>
        </is>
      </c>
      <c r="B184" t="inlineStr">
        <is>
          <t>FHWA Obligation</t>
        </is>
      </c>
      <c r="C184" t="inlineStr">
        <is>
          <t>04-17-0011</t>
        </is>
      </c>
      <c r="D184" t="inlineStr">
        <is>
          <t>Des Plaines River Trail from Touhy to North Avenue</t>
        </is>
      </c>
      <c r="E184" t="inlineStr">
        <is>
          <t>Bicycle &amp; Pedestrian</t>
        </is>
      </c>
      <c r="F184" t="inlineStr">
        <is>
          <t>Elmwood Park</t>
        </is>
      </c>
      <c r="G184" s="5" t="n">
        <v>163300</v>
      </c>
      <c r="H184" t="inlineStr">
        <is>
          <t>Yes</t>
        </is>
      </c>
      <c r="I184" t="inlineStr">
        <is>
          <t>No</t>
        </is>
      </c>
      <c r="J184" t="inlineStr">
        <is>
          <t>No</t>
        </is>
      </c>
    </row>
    <row r="185">
      <c r="A185" t="inlineStr">
        <is>
          <t>FFY2025</t>
        </is>
      </c>
      <c r="B185" t="inlineStr">
        <is>
          <t>FHWA Obligation</t>
        </is>
      </c>
      <c r="C185" t="inlineStr">
        <is>
          <t>04-16-0008</t>
        </is>
      </c>
      <c r="D185" t="inlineStr">
        <is>
          <t>Elmwood Park Grand Avenue Grade Separation</t>
        </is>
      </c>
      <c r="E185" t="inlineStr">
        <is>
          <t>Rail-Highway Grade Separation</t>
        </is>
      </c>
      <c r="F185" t="inlineStr">
        <is>
          <t>Elmwood Park</t>
        </is>
      </c>
      <c r="G185" s="5" t="n">
        <v>795899</v>
      </c>
      <c r="H185" t="inlineStr">
        <is>
          <t>No</t>
        </is>
      </c>
      <c r="I185" t="inlineStr">
        <is>
          <t>No</t>
        </is>
      </c>
      <c r="J185" t="inlineStr">
        <is>
          <t>No</t>
        </is>
      </c>
    </row>
    <row r="186">
      <c r="A186" t="inlineStr">
        <is>
          <t>FFY2025</t>
        </is>
      </c>
      <c r="B186" t="inlineStr">
        <is>
          <t>AC Authorization</t>
        </is>
      </c>
      <c r="C186" t="inlineStr">
        <is>
          <t>04-19-0014</t>
        </is>
      </c>
      <c r="D186" t="inlineStr">
        <is>
          <t>1) Ill 64 North Ave - I-294 (Tri-State Tollway) DuPage Co Line, 2) Ill 64 N Frontage Rd - 7th Ave (Hospital Entrance) to 5th Ave, 3) Ill 64 North Ave - 25th Ave to 5th Ave; 4) 5th Ave - N River Rd to Ill 64 (North Ave)</t>
        </is>
      </c>
      <c r="E186" t="inlineStr">
        <is>
          <t>Road Maintenance</t>
        </is>
      </c>
      <c r="F186" t="inlineStr">
        <is>
          <t>Elmwood Park</t>
        </is>
      </c>
      <c r="G186" s="5" t="n">
        <v>10842000</v>
      </c>
      <c r="H186" t="inlineStr">
        <is>
          <t>Yes</t>
        </is>
      </c>
      <c r="I186" t="inlineStr">
        <is>
          <t>Yes</t>
        </is>
      </c>
      <c r="J186" t="inlineStr">
        <is>
          <t>No</t>
        </is>
      </c>
    </row>
    <row r="187">
      <c r="A187" t="inlineStr">
        <is>
          <t>FFY2025</t>
        </is>
      </c>
      <c r="B187" t="inlineStr">
        <is>
          <t>AC Authorization</t>
        </is>
      </c>
      <c r="C187" t="inlineStr">
        <is>
          <t>04-19-0014</t>
        </is>
      </c>
      <c r="D187" t="inlineStr">
        <is>
          <t>1) Ill 64 North Ave - I-294 (Tri-State Tollway) DuPage Co Line, 2) Ill 64 N Frontage Rd - 7th Ave (Hospital Entrance) to 5th Ave, 3) Ill 64 North Ave - 25th Ave to 5th Ave; 4) 5th Ave - N River Rd to Ill 64 (North Ave)</t>
        </is>
      </c>
      <c r="E187" t="inlineStr">
        <is>
          <t>Road Maintenance</t>
        </is>
      </c>
      <c r="F187" t="inlineStr">
        <is>
          <t>Elmwood Park</t>
        </is>
      </c>
      <c r="G187" s="5" t="n">
        <v>960000</v>
      </c>
      <c r="H187" t="inlineStr">
        <is>
          <t>Yes</t>
        </is>
      </c>
      <c r="I187" t="inlineStr">
        <is>
          <t>Yes</t>
        </is>
      </c>
      <c r="J187" t="inlineStr">
        <is>
          <t>No</t>
        </is>
      </c>
    </row>
    <row r="188">
      <c r="A188" t="inlineStr">
        <is>
          <t>FFY2025</t>
        </is>
      </c>
      <c r="B188" t="inlineStr">
        <is>
          <t>AC Authorization</t>
        </is>
      </c>
      <c r="C188" t="inlineStr">
        <is>
          <t>04-19-0014</t>
        </is>
      </c>
      <c r="D188" t="inlineStr">
        <is>
          <t>1) Ill 64 North Ave - I-294 (Tri-State Tollway) DuPage Co Line, 2) Ill 64 N Frontage Rd - 7th Ave (Hospital Entrance) to 5th Ave, 3) Ill 64 North Ave - 25th Ave to 5th Ave; 4) 5th Ave - N River Rd to Ill 64 (North Ave)</t>
        </is>
      </c>
      <c r="E188" t="inlineStr">
        <is>
          <t>Road Maintenance</t>
        </is>
      </c>
      <c r="F188" t="inlineStr">
        <is>
          <t>Elmwood Park</t>
        </is>
      </c>
      <c r="G188" s="5" t="n">
        <v>4000000</v>
      </c>
      <c r="H188" t="inlineStr">
        <is>
          <t>Yes</t>
        </is>
      </c>
      <c r="I188" t="inlineStr">
        <is>
          <t>Yes</t>
        </is>
      </c>
      <c r="J188" t="inlineStr">
        <is>
          <t>No</t>
        </is>
      </c>
    </row>
    <row r="189">
      <c r="A189" t="inlineStr">
        <is>
          <t>FFY2025</t>
        </is>
      </c>
      <c r="B189" t="inlineStr">
        <is>
          <t>AC Authorization</t>
        </is>
      </c>
      <c r="C189" t="inlineStr">
        <is>
          <t>05-16-0007</t>
        </is>
      </c>
      <c r="D189" t="inlineStr">
        <is>
          <t>IL 56 from IL 59 to IL 50; Cermak Rd./22nd St., Renaissance Blvd (West of) to IL 50 (Cicero Ave.)</t>
        </is>
      </c>
      <c r="E189" t="inlineStr">
        <is>
          <t>Road Maintenance</t>
        </is>
      </c>
      <c r="F189" t="inlineStr">
        <is>
          <t>Elmwood Park</t>
        </is>
      </c>
      <c r="G189" s="5" t="n">
        <v>2913880</v>
      </c>
      <c r="H189" t="inlineStr">
        <is>
          <t>No</t>
        </is>
      </c>
      <c r="I189" t="inlineStr">
        <is>
          <t>No</t>
        </is>
      </c>
      <c r="J189" t="inlineStr">
        <is>
          <t>No</t>
        </is>
      </c>
    </row>
    <row r="190">
      <c r="A190" t="inlineStr">
        <is>
          <t>FFY2025</t>
        </is>
      </c>
      <c r="B190" t="inlineStr">
        <is>
          <t>FHWA Obligation</t>
        </is>
      </c>
      <c r="C190" t="inlineStr">
        <is>
          <t>04-19-0014</t>
        </is>
      </c>
      <c r="D190" t="inlineStr">
        <is>
          <t>1) Ill 64 North Ave - I-294 (Tri-State Tollway) DuPage Co Line, 2) Ill 64 N Frontage Rd - 7th Ave (Hospital Entrance) to 5th Ave, 3) Ill 64 North Ave - 25th Ave to 5th Ave; 4) 5th Ave - N River Rd to Ill 64 (North Ave)</t>
        </is>
      </c>
      <c r="E190" t="inlineStr">
        <is>
          <t>Road Maintenance</t>
        </is>
      </c>
      <c r="F190" t="inlineStr">
        <is>
          <t>Elmwood Park</t>
        </is>
      </c>
      <c r="G190" s="5" t="n">
        <v>1360000</v>
      </c>
      <c r="H190" t="inlineStr">
        <is>
          <t>Yes</t>
        </is>
      </c>
      <c r="I190" t="inlineStr">
        <is>
          <t>Yes</t>
        </is>
      </c>
      <c r="J190" t="inlineStr">
        <is>
          <t>No</t>
        </is>
      </c>
    </row>
    <row r="191">
      <c r="A191" t="inlineStr">
        <is>
          <t>FFY2025</t>
        </is>
      </c>
      <c r="B191" t="inlineStr">
        <is>
          <t>FHWA Obligation</t>
        </is>
      </c>
      <c r="C191" t="inlineStr">
        <is>
          <t>05-16-0007</t>
        </is>
      </c>
      <c r="D191" t="inlineStr">
        <is>
          <t>IL 56 from IL 59 to IL 50; Cermak Rd./22nd St., Renaissance Blvd (West of) to IL 50 (Cicero Ave.)</t>
        </is>
      </c>
      <c r="E191" t="inlineStr">
        <is>
          <t>Road Maintenance</t>
        </is>
      </c>
      <c r="F191" t="inlineStr">
        <is>
          <t>Elmwood Park</t>
        </is>
      </c>
      <c r="G191" s="5" t="n">
        <v>116074</v>
      </c>
      <c r="H191" t="inlineStr">
        <is>
          <t>No</t>
        </is>
      </c>
      <c r="I191" t="inlineStr">
        <is>
          <t>No</t>
        </is>
      </c>
      <c r="J191" t="inlineStr">
        <is>
          <t>No</t>
        </is>
      </c>
    </row>
    <row r="192">
      <c r="A192" t="inlineStr">
        <is>
          <t>FFY2025</t>
        </is>
      </c>
      <c r="B192" t="inlineStr">
        <is>
          <t>FHWA Obligation</t>
        </is>
      </c>
      <c r="C192" t="inlineStr">
        <is>
          <t>05-16-0007</t>
        </is>
      </c>
      <c r="D192" t="inlineStr">
        <is>
          <t>IL 56 from IL 59 to IL 50; Cermak Rd./22nd St., Renaissance Blvd (West of) to IL 50 (Cicero Ave.)</t>
        </is>
      </c>
      <c r="E192" t="inlineStr">
        <is>
          <t>Road Maintenance</t>
        </is>
      </c>
      <c r="F192" t="inlineStr">
        <is>
          <t>Elmwood Park</t>
        </is>
      </c>
      <c r="G192" s="5" t="n">
        <v>16038095</v>
      </c>
      <c r="H192" t="inlineStr">
        <is>
          <t>No</t>
        </is>
      </c>
      <c r="I192" t="inlineStr">
        <is>
          <t>No</t>
        </is>
      </c>
      <c r="J192" t="inlineStr">
        <is>
          <t>No</t>
        </is>
      </c>
    </row>
    <row r="193">
      <c r="A193" t="inlineStr">
        <is>
          <t>FFY2025</t>
        </is>
      </c>
      <c r="B193" t="inlineStr">
        <is>
          <t>FHWA Obligation</t>
        </is>
      </c>
      <c r="C193" t="inlineStr">
        <is>
          <t>04-21-0011</t>
        </is>
      </c>
      <c r="D193" t="inlineStr">
        <is>
          <t>Ill 43 - Ill 64 (North Ave) to Armitage Ave</t>
        </is>
      </c>
      <c r="E193" t="inlineStr">
        <is>
          <t>Signal Systems</t>
        </is>
      </c>
      <c r="F193" t="inlineStr">
        <is>
          <t>Elmwood Park</t>
        </is>
      </c>
      <c r="G193" s="5" t="n">
        <v>996761</v>
      </c>
      <c r="H193" t="inlineStr">
        <is>
          <t>No</t>
        </is>
      </c>
      <c r="I193" t="inlineStr">
        <is>
          <t>No</t>
        </is>
      </c>
      <c r="J193" t="inlineStr">
        <is>
          <t>No</t>
        </is>
      </c>
    </row>
    <row r="194">
      <c r="A194" t="inlineStr">
        <is>
          <t>FFY2025</t>
        </is>
      </c>
      <c r="B194" t="inlineStr">
        <is>
          <t>AC Authorization</t>
        </is>
      </c>
      <c r="C194" t="inlineStr">
        <is>
          <t>02-24-0001</t>
        </is>
      </c>
      <c r="D194" t="inlineStr">
        <is>
          <t>Lincoln Street Bridge Replacement</t>
        </is>
      </c>
      <c r="E194" t="inlineStr">
        <is>
          <t>Bridge Repair, Rehab, or Replace</t>
        </is>
      </c>
      <c r="F194" t="inlineStr">
        <is>
          <t>Evanston</t>
        </is>
      </c>
      <c r="G194" s="5" t="n">
        <v>548972</v>
      </c>
      <c r="H194" t="inlineStr">
        <is>
          <t>No</t>
        </is>
      </c>
      <c r="I194" t="inlineStr">
        <is>
          <t>No</t>
        </is>
      </c>
      <c r="J194" t="inlineStr">
        <is>
          <t>No</t>
        </is>
      </c>
    </row>
    <row r="195">
      <c r="A195" t="inlineStr">
        <is>
          <t>FFY2025</t>
        </is>
      </c>
      <c r="B195" t="inlineStr">
        <is>
          <t>AC Authorization</t>
        </is>
      </c>
      <c r="C195" t="inlineStr">
        <is>
          <t>03-24-0004</t>
        </is>
      </c>
      <c r="D195" t="inlineStr">
        <is>
          <t>Various Routes at Various Locations</t>
        </is>
      </c>
      <c r="E195" t="inlineStr">
        <is>
          <t>Intersection/Interchange Improvements</t>
        </is>
      </c>
      <c r="F195" t="inlineStr">
        <is>
          <t>Evanston</t>
        </is>
      </c>
      <c r="G195" s="5" t="n">
        <v>2475000</v>
      </c>
      <c r="H195" t="inlineStr">
        <is>
          <t>No</t>
        </is>
      </c>
      <c r="I195" t="inlineStr">
        <is>
          <t>No</t>
        </is>
      </c>
      <c r="J195" t="inlineStr">
        <is>
          <t>No</t>
        </is>
      </c>
    </row>
    <row r="196">
      <c r="A196" t="inlineStr">
        <is>
          <t>FFY2025</t>
        </is>
      </c>
      <c r="B196" t="inlineStr">
        <is>
          <t>FHWA Obligation</t>
        </is>
      </c>
      <c r="C196" t="inlineStr">
        <is>
          <t>02-16-0002</t>
        </is>
      </c>
      <c r="D196" t="inlineStr">
        <is>
          <t>Howard Street from Dodge Ave to Custer Ave</t>
        </is>
      </c>
      <c r="E196" t="inlineStr">
        <is>
          <t>Road Modernization</t>
        </is>
      </c>
      <c r="F196" t="inlineStr">
        <is>
          <t>Evanston</t>
        </is>
      </c>
      <c r="G196" s="5" t="n">
        <v>104957</v>
      </c>
      <c r="H196" t="inlineStr">
        <is>
          <t>Yes</t>
        </is>
      </c>
      <c r="I196" t="inlineStr">
        <is>
          <t>Yes</t>
        </is>
      </c>
      <c r="J196" t="inlineStr">
        <is>
          <t>No</t>
        </is>
      </c>
    </row>
    <row r="197">
      <c r="A197" t="inlineStr">
        <is>
          <t>FFY2025</t>
        </is>
      </c>
      <c r="B197" t="inlineStr">
        <is>
          <t>FHWA Obligation</t>
        </is>
      </c>
      <c r="C197" t="inlineStr">
        <is>
          <t>02-20-0014</t>
        </is>
      </c>
      <c r="D197" t="inlineStr">
        <is>
          <t>Green Bay Road Corridor Improvements</t>
        </is>
      </c>
      <c r="E197" t="inlineStr">
        <is>
          <t>Road Modernization</t>
        </is>
      </c>
      <c r="F197" t="inlineStr">
        <is>
          <t>Evanston</t>
        </is>
      </c>
      <c r="G197" s="5" t="n">
        <v>4806815</v>
      </c>
      <c r="H197" t="inlineStr">
        <is>
          <t>Yes</t>
        </is>
      </c>
      <c r="I197" t="inlineStr">
        <is>
          <t>Yes</t>
        </is>
      </c>
      <c r="J197" t="inlineStr">
        <is>
          <t>Yes</t>
        </is>
      </c>
    </row>
    <row r="198">
      <c r="A198" t="inlineStr">
        <is>
          <t>FFY2025</t>
        </is>
      </c>
      <c r="B198" t="inlineStr">
        <is>
          <t>AC Authorization</t>
        </is>
      </c>
      <c r="C198" t="inlineStr">
        <is>
          <t>02-23-0015</t>
        </is>
      </c>
      <c r="D198" t="inlineStr">
        <is>
          <t>SRTS Sidewalk Improvements</t>
        </is>
      </c>
      <c r="E198" t="inlineStr">
        <is>
          <t>Safe Routes to Schools</t>
        </is>
      </c>
      <c r="F198" t="inlineStr">
        <is>
          <t>Evanston</t>
        </is>
      </c>
      <c r="G198" s="5" t="n">
        <v>249951</v>
      </c>
      <c r="H198" t="inlineStr">
        <is>
          <t>Yes</t>
        </is>
      </c>
      <c r="I198" t="inlineStr">
        <is>
          <t>Yes</t>
        </is>
      </c>
      <c r="J198" t="inlineStr">
        <is>
          <t>Yes</t>
        </is>
      </c>
    </row>
    <row r="199">
      <c r="A199" t="inlineStr">
        <is>
          <t>FFY2025</t>
        </is>
      </c>
      <c r="B199" t="inlineStr">
        <is>
          <t>FHWA Obligation</t>
        </is>
      </c>
      <c r="C199" t="inlineStr">
        <is>
          <t>02-23-0015</t>
        </is>
      </c>
      <c r="D199" t="inlineStr">
        <is>
          <t>SRTS Sidewalk Improvements</t>
        </is>
      </c>
      <c r="E199" t="inlineStr">
        <is>
          <t>Safe Routes to Schools</t>
        </is>
      </c>
      <c r="F199" t="inlineStr">
        <is>
          <t>Evanston</t>
        </is>
      </c>
      <c r="G199" s="5" t="n">
        <v>249951</v>
      </c>
      <c r="H199" t="inlineStr">
        <is>
          <t>Yes</t>
        </is>
      </c>
      <c r="I199" t="inlineStr">
        <is>
          <t>Yes</t>
        </is>
      </c>
      <c r="J199" t="inlineStr">
        <is>
          <t>Yes</t>
        </is>
      </c>
    </row>
    <row r="200">
      <c r="A200" t="inlineStr">
        <is>
          <t>FFY2025</t>
        </is>
      </c>
      <c r="B200" t="inlineStr">
        <is>
          <t>FHWA Obligation</t>
        </is>
      </c>
      <c r="C200" t="inlineStr">
        <is>
          <t>06-14-0012</t>
        </is>
      </c>
      <c r="D200" t="inlineStr">
        <is>
          <t>91st St from California Ave to Western Ave</t>
        </is>
      </c>
      <c r="E200" t="inlineStr">
        <is>
          <t>Bicycle &amp; Pedestrian</t>
        </is>
      </c>
      <c r="F200" t="inlineStr">
        <is>
          <t>Evergreen Park</t>
        </is>
      </c>
      <c r="G200" s="5" t="n">
        <v>86725</v>
      </c>
      <c r="H200" t="inlineStr">
        <is>
          <t>Yes</t>
        </is>
      </c>
      <c r="I200" t="inlineStr">
        <is>
          <t>No</t>
        </is>
      </c>
      <c r="J200" t="inlineStr">
        <is>
          <t>No</t>
        </is>
      </c>
    </row>
    <row r="201">
      <c r="A201" t="inlineStr">
        <is>
          <t>FFY2025</t>
        </is>
      </c>
      <c r="B201" t="inlineStr">
        <is>
          <t>FHWA Obligation</t>
        </is>
      </c>
      <c r="C201" t="inlineStr">
        <is>
          <t>06-14-0012</t>
        </is>
      </c>
      <c r="D201" t="inlineStr">
        <is>
          <t>91st St from California Ave to Western Ave</t>
        </is>
      </c>
      <c r="E201" t="inlineStr">
        <is>
          <t>Bicycle &amp; Pedestrian</t>
        </is>
      </c>
      <c r="F201" t="inlineStr">
        <is>
          <t>Evergreen Park</t>
        </is>
      </c>
      <c r="G201" s="5" t="n">
        <v>30000</v>
      </c>
      <c r="H201" t="inlineStr">
        <is>
          <t>Yes</t>
        </is>
      </c>
      <c r="I201" t="inlineStr">
        <is>
          <t>No</t>
        </is>
      </c>
      <c r="J201" t="inlineStr">
        <is>
          <t>No</t>
        </is>
      </c>
    </row>
    <row r="202">
      <c r="A202" t="inlineStr">
        <is>
          <t>FFY2025</t>
        </is>
      </c>
      <c r="B202" t="inlineStr">
        <is>
          <t>FHWA Obligation</t>
        </is>
      </c>
      <c r="C202" t="inlineStr">
        <is>
          <t>07-23-0027</t>
        </is>
      </c>
      <c r="D202" t="inlineStr">
        <is>
          <t>CBD Streetscape Improvements</t>
        </is>
      </c>
      <c r="E202" t="inlineStr">
        <is>
          <t>Bicycle &amp; Pedestrian</t>
        </is>
      </c>
      <c r="F202" t="inlineStr">
        <is>
          <t>Flossmoor</t>
        </is>
      </c>
      <c r="G202" s="5" t="n">
        <v>1038840</v>
      </c>
      <c r="H202" t="inlineStr">
        <is>
          <t>Yes</t>
        </is>
      </c>
      <c r="I202" t="inlineStr">
        <is>
          <t>Yes</t>
        </is>
      </c>
      <c r="J202" t="inlineStr">
        <is>
          <t>Yes</t>
        </is>
      </c>
    </row>
    <row r="203">
      <c r="A203" t="inlineStr">
        <is>
          <t>FFY2025</t>
        </is>
      </c>
      <c r="B203" t="inlineStr">
        <is>
          <t>FHWA Obligation</t>
        </is>
      </c>
      <c r="C203" t="inlineStr">
        <is>
          <t>07-23-0027</t>
        </is>
      </c>
      <c r="D203" t="inlineStr">
        <is>
          <t>CBD Streetscape Improvements</t>
        </is>
      </c>
      <c r="E203" t="inlineStr">
        <is>
          <t>Bicycle &amp; Pedestrian</t>
        </is>
      </c>
      <c r="F203" t="inlineStr">
        <is>
          <t>Flossmoor</t>
        </is>
      </c>
      <c r="G203" s="5" t="n">
        <v>145616</v>
      </c>
      <c r="H203" t="inlineStr">
        <is>
          <t>Yes</t>
        </is>
      </c>
      <c r="I203" t="inlineStr">
        <is>
          <t>Yes</t>
        </is>
      </c>
      <c r="J203" t="inlineStr">
        <is>
          <t>Yes</t>
        </is>
      </c>
    </row>
    <row r="204">
      <c r="A204" t="inlineStr">
        <is>
          <t>FFY2025</t>
        </is>
      </c>
      <c r="B204" t="inlineStr">
        <is>
          <t>FHWA Obligation</t>
        </is>
      </c>
      <c r="C204" t="inlineStr">
        <is>
          <t>04-00-0023</t>
        </is>
      </c>
      <c r="D204" t="inlineStr">
        <is>
          <t>I-290 Eisenhower Expy from US 12/45/20 Mannheim Rd to Racine Ave - RSP 30</t>
        </is>
      </c>
      <c r="E204" t="inlineStr">
        <is>
          <t>Road Expansion</t>
        </is>
      </c>
      <c r="F204" t="inlineStr">
        <is>
          <t>Forest Park</t>
        </is>
      </c>
      <c r="G204" s="5" t="n">
        <v>284512</v>
      </c>
      <c r="H204" t="inlineStr">
        <is>
          <t>No</t>
        </is>
      </c>
      <c r="I204" t="inlineStr">
        <is>
          <t>No</t>
        </is>
      </c>
      <c r="J204" t="inlineStr">
        <is>
          <t>Yes</t>
        </is>
      </c>
    </row>
    <row r="205">
      <c r="A205" t="inlineStr">
        <is>
          <t>FFY2025</t>
        </is>
      </c>
      <c r="B205" t="inlineStr">
        <is>
          <t>FHWA Obligation</t>
        </is>
      </c>
      <c r="C205" t="inlineStr">
        <is>
          <t>04-00-0023</t>
        </is>
      </c>
      <c r="D205" t="inlineStr">
        <is>
          <t>I-290 Eisenhower Expy from US 12/45/20 Mannheim Rd to Racine Ave - RSP 30</t>
        </is>
      </c>
      <c r="E205" t="inlineStr">
        <is>
          <t>Road Expansion</t>
        </is>
      </c>
      <c r="F205" t="inlineStr">
        <is>
          <t>Forest Park</t>
        </is>
      </c>
      <c r="G205" s="5" t="n">
        <v>1085043</v>
      </c>
      <c r="H205" t="inlineStr">
        <is>
          <t>No</t>
        </is>
      </c>
      <c r="I205" t="inlineStr">
        <is>
          <t>No</t>
        </is>
      </c>
      <c r="J205" t="inlineStr">
        <is>
          <t>Yes</t>
        </is>
      </c>
    </row>
    <row r="206">
      <c r="A206" t="inlineStr">
        <is>
          <t>FFY2025</t>
        </is>
      </c>
      <c r="B206" t="inlineStr">
        <is>
          <t>FHWA Obligation</t>
        </is>
      </c>
      <c r="C206" t="inlineStr">
        <is>
          <t>05-24-0002</t>
        </is>
      </c>
      <c r="D206" t="inlineStr">
        <is>
          <t>46th Street - Harlem Ave to Oak Park Ave</t>
        </is>
      </c>
      <c r="E206" t="inlineStr">
        <is>
          <t>Road Maintenance</t>
        </is>
      </c>
      <c r="F206" t="inlineStr">
        <is>
          <t>Forest View</t>
        </is>
      </c>
      <c r="G206" s="5" t="n">
        <v>680000</v>
      </c>
      <c r="H206" t="inlineStr">
        <is>
          <t>Yes</t>
        </is>
      </c>
      <c r="I206" t="inlineStr">
        <is>
          <t>Yes</t>
        </is>
      </c>
      <c r="J206" t="inlineStr">
        <is>
          <t>Yes</t>
        </is>
      </c>
    </row>
    <row r="207">
      <c r="A207" t="inlineStr">
        <is>
          <t>FFY2025</t>
        </is>
      </c>
      <c r="B207" t="inlineStr">
        <is>
          <t>FHWA Obligation</t>
        </is>
      </c>
      <c r="C207" t="inlineStr">
        <is>
          <t>04-17-0011</t>
        </is>
      </c>
      <c r="D207" t="inlineStr">
        <is>
          <t>Des Plaines River Trail from Touhy to North Avenue</t>
        </is>
      </c>
      <c r="E207" t="inlineStr">
        <is>
          <t>Bicycle &amp; Pedestrian</t>
        </is>
      </c>
      <c r="F207" t="inlineStr">
        <is>
          <t>Franklin Park</t>
        </is>
      </c>
      <c r="G207" s="5" t="n">
        <v>2524900</v>
      </c>
      <c r="H207" t="inlineStr">
        <is>
          <t>Yes</t>
        </is>
      </c>
      <c r="I207" t="inlineStr">
        <is>
          <t>No</t>
        </is>
      </c>
      <c r="J207" t="inlineStr">
        <is>
          <t>No</t>
        </is>
      </c>
    </row>
    <row r="208">
      <c r="A208" t="inlineStr">
        <is>
          <t>FFY2025</t>
        </is>
      </c>
      <c r="B208" t="inlineStr">
        <is>
          <t>FHWA Obligation</t>
        </is>
      </c>
      <c r="C208" t="inlineStr">
        <is>
          <t>04-17-0011</t>
        </is>
      </c>
      <c r="D208" t="inlineStr">
        <is>
          <t>Des Plaines River Trail from Touhy to North Avenue</t>
        </is>
      </c>
      <c r="E208" t="inlineStr">
        <is>
          <t>Bicycle &amp; Pedestrian</t>
        </is>
      </c>
      <c r="F208" t="inlineStr">
        <is>
          <t>Franklin Park</t>
        </is>
      </c>
      <c r="G208" s="5" t="n">
        <v>257400</v>
      </c>
      <c r="H208" t="inlineStr">
        <is>
          <t>Yes</t>
        </is>
      </c>
      <c r="I208" t="inlineStr">
        <is>
          <t>No</t>
        </is>
      </c>
      <c r="J208" t="inlineStr">
        <is>
          <t>No</t>
        </is>
      </c>
    </row>
    <row r="209">
      <c r="A209" t="inlineStr">
        <is>
          <t>FFY2025</t>
        </is>
      </c>
      <c r="B209" t="inlineStr">
        <is>
          <t>FHWA Obligation</t>
        </is>
      </c>
      <c r="C209" t="inlineStr">
        <is>
          <t>04-17-0011</t>
        </is>
      </c>
      <c r="D209" t="inlineStr">
        <is>
          <t>Des Plaines River Trail from Touhy to North Avenue</t>
        </is>
      </c>
      <c r="E209" t="inlineStr">
        <is>
          <t>Bicycle &amp; Pedestrian</t>
        </is>
      </c>
      <c r="F209" t="inlineStr">
        <is>
          <t>Franklin Park</t>
        </is>
      </c>
      <c r="G209" s="5" t="n">
        <v>163300</v>
      </c>
      <c r="H209" t="inlineStr">
        <is>
          <t>Yes</t>
        </is>
      </c>
      <c r="I209" t="inlineStr">
        <is>
          <t>No</t>
        </is>
      </c>
      <c r="J209" t="inlineStr">
        <is>
          <t>No</t>
        </is>
      </c>
    </row>
    <row r="210">
      <c r="A210" t="inlineStr">
        <is>
          <t>FFY2025</t>
        </is>
      </c>
      <c r="B210" t="inlineStr">
        <is>
          <t>AC Authorization</t>
        </is>
      </c>
      <c r="C210" t="inlineStr">
        <is>
          <t>04-24-0034</t>
        </is>
      </c>
      <c r="D210" t="inlineStr">
        <is>
          <t>Franklin Park Grand and George Traffic Signal Installation</t>
        </is>
      </c>
      <c r="E210" t="inlineStr">
        <is>
          <t>Road Signals &amp; Signs</t>
        </is>
      </c>
      <c r="F210" t="inlineStr">
        <is>
          <t>Franklin Park</t>
        </is>
      </c>
      <c r="G210" s="5" t="n">
        <v>96000</v>
      </c>
      <c r="H210" t="inlineStr">
        <is>
          <t>No</t>
        </is>
      </c>
      <c r="I210" t="inlineStr">
        <is>
          <t>No</t>
        </is>
      </c>
      <c r="J210" t="inlineStr">
        <is>
          <t>No</t>
        </is>
      </c>
    </row>
    <row r="211">
      <c r="A211" t="inlineStr">
        <is>
          <t>FFY2025</t>
        </is>
      </c>
      <c r="B211" t="inlineStr">
        <is>
          <t>FHWA Obligation</t>
        </is>
      </c>
      <c r="C211" t="inlineStr">
        <is>
          <t>04-24-0034</t>
        </is>
      </c>
      <c r="D211" t="inlineStr">
        <is>
          <t>Franklin Park Grand and George Traffic Signal Installation</t>
        </is>
      </c>
      <c r="E211" t="inlineStr">
        <is>
          <t>Road Signals &amp; Signs</t>
        </is>
      </c>
      <c r="F211" t="inlineStr">
        <is>
          <t>Franklin Park</t>
        </is>
      </c>
      <c r="G211" s="5" t="n">
        <v>96000</v>
      </c>
      <c r="H211" t="inlineStr">
        <is>
          <t>No</t>
        </is>
      </c>
      <c r="I211" t="inlineStr">
        <is>
          <t>No</t>
        </is>
      </c>
      <c r="J211" t="inlineStr">
        <is>
          <t>No</t>
        </is>
      </c>
    </row>
    <row r="212">
      <c r="A212" t="inlineStr">
        <is>
          <t>FFY2025</t>
        </is>
      </c>
      <c r="B212" t="inlineStr">
        <is>
          <t>AC Authorization</t>
        </is>
      </c>
      <c r="C212" t="inlineStr">
        <is>
          <t>02-20-0005</t>
        </is>
      </c>
      <c r="D212" t="inlineStr">
        <is>
          <t>Green Bay Rd - S of Scott Ave to S of Kenilworth Ave</t>
        </is>
      </c>
      <c r="E212" t="inlineStr">
        <is>
          <t>Road Maintenance</t>
        </is>
      </c>
      <c r="F212" t="inlineStr">
        <is>
          <t>Glencoe</t>
        </is>
      </c>
      <c r="G212" s="5" t="n">
        <v>4580000</v>
      </c>
      <c r="H212" t="inlineStr">
        <is>
          <t>Yes</t>
        </is>
      </c>
      <c r="I212" t="inlineStr">
        <is>
          <t>Yes</t>
        </is>
      </c>
      <c r="J212" t="inlineStr">
        <is>
          <t>No</t>
        </is>
      </c>
    </row>
    <row r="213">
      <c r="A213" t="inlineStr">
        <is>
          <t>FFY2025</t>
        </is>
      </c>
      <c r="B213" t="inlineStr">
        <is>
          <t>AC Authorization</t>
        </is>
      </c>
      <c r="C213" t="inlineStr">
        <is>
          <t>02-19-0016</t>
        </is>
      </c>
      <c r="D213" t="inlineStr">
        <is>
          <t>E. Lake Avenue / Waukegan Road Intersection Improvement</t>
        </is>
      </c>
      <c r="E213" t="inlineStr">
        <is>
          <t>Intersection/Interchange Improvements</t>
        </is>
      </c>
      <c r="F213" t="inlineStr">
        <is>
          <t>Glenview</t>
        </is>
      </c>
      <c r="G213" s="5" t="n">
        <v>168000</v>
      </c>
      <c r="H213" t="inlineStr">
        <is>
          <t>Yes</t>
        </is>
      </c>
      <c r="I213" t="inlineStr">
        <is>
          <t>Yes</t>
        </is>
      </c>
      <c r="J213" t="inlineStr">
        <is>
          <t>Yes</t>
        </is>
      </c>
    </row>
    <row r="214">
      <c r="A214" t="inlineStr">
        <is>
          <t>FFY2025</t>
        </is>
      </c>
      <c r="B214" t="inlineStr">
        <is>
          <t>FHWA Obligation</t>
        </is>
      </c>
      <c r="C214" t="inlineStr">
        <is>
          <t>02-19-0016</t>
        </is>
      </c>
      <c r="D214" t="inlineStr">
        <is>
          <t>E. Lake Avenue / Waukegan Road Intersection Improvement</t>
        </is>
      </c>
      <c r="E214" t="inlineStr">
        <is>
          <t>Intersection/Interchange Improvements</t>
        </is>
      </c>
      <c r="F214" t="inlineStr">
        <is>
          <t>Glenview</t>
        </is>
      </c>
      <c r="G214" s="5" t="n">
        <v>347939</v>
      </c>
      <c r="H214" t="inlineStr">
        <is>
          <t>Yes</t>
        </is>
      </c>
      <c r="I214" t="inlineStr">
        <is>
          <t>Yes</t>
        </is>
      </c>
      <c r="J214" t="inlineStr">
        <is>
          <t>Yes</t>
        </is>
      </c>
    </row>
    <row r="215">
      <c r="A215" t="inlineStr">
        <is>
          <t>FFY2025</t>
        </is>
      </c>
      <c r="B215" t="inlineStr">
        <is>
          <t>AC Authorization</t>
        </is>
      </c>
      <c r="C215" t="inlineStr">
        <is>
          <t>02-24-0003</t>
        </is>
      </c>
      <c r="D215" t="inlineStr">
        <is>
          <t>Shermer Road from East Lake Avenue to Golf Road</t>
        </is>
      </c>
      <c r="E215" t="inlineStr">
        <is>
          <t>Road Maintenance</t>
        </is>
      </c>
      <c r="F215" t="inlineStr">
        <is>
          <t>Glenview</t>
        </is>
      </c>
      <c r="G215" s="5" t="n">
        <v>1408000</v>
      </c>
      <c r="H215" t="inlineStr">
        <is>
          <t>Yes</t>
        </is>
      </c>
      <c r="I215" t="inlineStr">
        <is>
          <t>Yes</t>
        </is>
      </c>
      <c r="J215" t="inlineStr">
        <is>
          <t>Yes</t>
        </is>
      </c>
    </row>
    <row r="216">
      <c r="A216" t="inlineStr">
        <is>
          <t>FFY2025</t>
        </is>
      </c>
      <c r="B216" t="inlineStr">
        <is>
          <t>AC Authorization</t>
        </is>
      </c>
      <c r="C216" t="inlineStr">
        <is>
          <t>02-24-0003</t>
        </is>
      </c>
      <c r="D216" t="inlineStr">
        <is>
          <t>Shermer Road from East Lake Avenue to Golf Road</t>
        </is>
      </c>
      <c r="E216" t="inlineStr">
        <is>
          <t>Road Maintenance</t>
        </is>
      </c>
      <c r="F216" t="inlineStr">
        <is>
          <t>Glenview</t>
        </is>
      </c>
      <c r="G216" s="5" t="n">
        <v>932800</v>
      </c>
      <c r="H216" t="inlineStr">
        <is>
          <t>Yes</t>
        </is>
      </c>
      <c r="I216" t="inlineStr">
        <is>
          <t>Yes</t>
        </is>
      </c>
      <c r="J216" t="inlineStr">
        <is>
          <t>Yes</t>
        </is>
      </c>
    </row>
    <row r="217">
      <c r="A217" t="inlineStr">
        <is>
          <t>FFY2025</t>
        </is>
      </c>
      <c r="B217" t="inlineStr">
        <is>
          <t>AC Authorization</t>
        </is>
      </c>
      <c r="C217" t="inlineStr">
        <is>
          <t>02-24-0003</t>
        </is>
      </c>
      <c r="D217" t="inlineStr">
        <is>
          <t>Shermer Road from East Lake Avenue to Golf Road</t>
        </is>
      </c>
      <c r="E217" t="inlineStr">
        <is>
          <t>Road Maintenance</t>
        </is>
      </c>
      <c r="F217" t="inlineStr">
        <is>
          <t>Glenview</t>
        </is>
      </c>
      <c r="G217" s="5" t="n">
        <v>233200</v>
      </c>
      <c r="H217" t="inlineStr">
        <is>
          <t>Yes</t>
        </is>
      </c>
      <c r="I217" t="inlineStr">
        <is>
          <t>Yes</t>
        </is>
      </c>
      <c r="J217" t="inlineStr">
        <is>
          <t>Yes</t>
        </is>
      </c>
    </row>
    <row r="218">
      <c r="A218" t="inlineStr">
        <is>
          <t>FFY2025</t>
        </is>
      </c>
      <c r="B218" t="inlineStr">
        <is>
          <t>AC Authorization</t>
        </is>
      </c>
      <c r="C218" t="inlineStr">
        <is>
          <t>02-25-0004</t>
        </is>
      </c>
      <c r="D218" t="inlineStr">
        <is>
          <t>Glenview Road Shermer to Milwaukee</t>
        </is>
      </c>
      <c r="E218" t="inlineStr">
        <is>
          <t>Road Maintenance</t>
        </is>
      </c>
      <c r="F218" t="inlineStr">
        <is>
          <t>Glenview</t>
        </is>
      </c>
      <c r="G218" s="5" t="n">
        <v>2173600</v>
      </c>
      <c r="H218" t="inlineStr">
        <is>
          <t>Yes</t>
        </is>
      </c>
      <c r="I218" t="inlineStr">
        <is>
          <t>Yes</t>
        </is>
      </c>
      <c r="J218" t="inlineStr">
        <is>
          <t>Yes</t>
        </is>
      </c>
    </row>
    <row r="219">
      <c r="A219" t="inlineStr">
        <is>
          <t>FFY2025</t>
        </is>
      </c>
      <c r="B219" t="inlineStr">
        <is>
          <t>AC Authorization</t>
        </is>
      </c>
      <c r="C219" t="inlineStr">
        <is>
          <t>07-25-0021</t>
        </is>
      </c>
      <c r="D219" t="inlineStr">
        <is>
          <t>Ill 1 Halsted St - Ridge Rd to Strieff Ln</t>
        </is>
      </c>
      <c r="E219" t="inlineStr">
        <is>
          <t>Road Maintenance</t>
        </is>
      </c>
      <c r="F219" t="inlineStr">
        <is>
          <t>Glenwood</t>
        </is>
      </c>
      <c r="G219" s="5" t="n">
        <v>1360000</v>
      </c>
      <c r="H219" t="inlineStr">
        <is>
          <t>Yes</t>
        </is>
      </c>
      <c r="I219" t="inlineStr">
        <is>
          <t>Yes</t>
        </is>
      </c>
      <c r="J219" t="inlineStr">
        <is>
          <t>No</t>
        </is>
      </c>
    </row>
    <row r="220">
      <c r="A220" t="inlineStr">
        <is>
          <t>FFY2025</t>
        </is>
      </c>
      <c r="B220" t="inlineStr">
        <is>
          <t>FHWA Obligation</t>
        </is>
      </c>
      <c r="C220" t="inlineStr">
        <is>
          <t>07-17-0010</t>
        </is>
      </c>
      <c r="D220" t="inlineStr">
        <is>
          <t>IL 1 (Halsted St.) at IL 83 (147th St.)</t>
        </is>
      </c>
      <c r="E220" t="inlineStr">
        <is>
          <t>Road Maintenance</t>
        </is>
      </c>
      <c r="F220" t="inlineStr">
        <is>
          <t>Harvey</t>
        </is>
      </c>
      <c r="G220" s="5" t="n">
        <v>24747</v>
      </c>
      <c r="H220" t="inlineStr">
        <is>
          <t>Yes</t>
        </is>
      </c>
      <c r="I220" t="inlineStr">
        <is>
          <t>Yes</t>
        </is>
      </c>
      <c r="J220" t="inlineStr">
        <is>
          <t>No</t>
        </is>
      </c>
    </row>
    <row r="221">
      <c r="A221" t="inlineStr">
        <is>
          <t>FFY2025</t>
        </is>
      </c>
      <c r="B221" t="inlineStr">
        <is>
          <t>FHWA Obligation</t>
        </is>
      </c>
      <c r="C221" t="inlineStr">
        <is>
          <t>07-17-0010</t>
        </is>
      </c>
      <c r="D221" t="inlineStr">
        <is>
          <t>IL 1 (Halsted St.) at IL 83 (147th St.)</t>
        </is>
      </c>
      <c r="E221" t="inlineStr">
        <is>
          <t>Road Maintenance</t>
        </is>
      </c>
      <c r="F221" t="inlineStr">
        <is>
          <t>Harvey</t>
        </is>
      </c>
      <c r="G221" s="5" t="n">
        <v>1935095</v>
      </c>
      <c r="H221" t="inlineStr">
        <is>
          <t>Yes</t>
        </is>
      </c>
      <c r="I221" t="inlineStr">
        <is>
          <t>Yes</t>
        </is>
      </c>
      <c r="J221" t="inlineStr">
        <is>
          <t>No</t>
        </is>
      </c>
    </row>
    <row r="222">
      <c r="A222" t="inlineStr">
        <is>
          <t>FFY2025</t>
        </is>
      </c>
      <c r="B222" t="inlineStr">
        <is>
          <t>AC Authorization</t>
        </is>
      </c>
      <c r="C222" t="inlineStr">
        <is>
          <t>07-24-0043</t>
        </is>
      </c>
      <c r="D222" t="inlineStr">
        <is>
          <t>Various - at Various Intersection Locations in Cook Co.</t>
        </is>
      </c>
      <c r="E222" t="inlineStr">
        <is>
          <t>Intersection/Interchange Improvements</t>
        </is>
      </c>
      <c r="F222" t="inlineStr">
        <is>
          <t>Hazel Crest</t>
        </is>
      </c>
      <c r="G222" s="5" t="n">
        <v>2250000</v>
      </c>
      <c r="H222" t="inlineStr">
        <is>
          <t>No</t>
        </is>
      </c>
      <c r="I222" t="inlineStr">
        <is>
          <t>No</t>
        </is>
      </c>
      <c r="J222" t="inlineStr">
        <is>
          <t>No</t>
        </is>
      </c>
    </row>
    <row r="223">
      <c r="A223" t="inlineStr">
        <is>
          <t>FFY2025</t>
        </is>
      </c>
      <c r="B223" t="inlineStr">
        <is>
          <t>FHWA Obligation</t>
        </is>
      </c>
      <c r="C223" t="inlineStr">
        <is>
          <t>07-22-0052</t>
        </is>
      </c>
      <c r="D223" t="inlineStr">
        <is>
          <t>171st Street Resurfacing (Dixie Highway to Wood Street)</t>
        </is>
      </c>
      <c r="E223" t="inlineStr">
        <is>
          <t>Road Maintenance</t>
        </is>
      </c>
      <c r="F223" t="inlineStr">
        <is>
          <t>Hazel Crest</t>
        </is>
      </c>
      <c r="G223" s="5" t="n">
        <v>294400</v>
      </c>
      <c r="H223" t="inlineStr">
        <is>
          <t>No</t>
        </is>
      </c>
      <c r="I223" t="inlineStr">
        <is>
          <t>No</t>
        </is>
      </c>
      <c r="J223" t="inlineStr">
        <is>
          <t>No</t>
        </is>
      </c>
    </row>
    <row r="224">
      <c r="A224" t="inlineStr">
        <is>
          <t>FFY2025</t>
        </is>
      </c>
      <c r="B224" t="inlineStr">
        <is>
          <t>AC Authorization</t>
        </is>
      </c>
      <c r="C224" t="inlineStr">
        <is>
          <t>08-24-0047</t>
        </is>
      </c>
      <c r="D224" t="inlineStr">
        <is>
          <t>Various - signal modernization at various locations in Cook, DuPage, &amp; Kane</t>
        </is>
      </c>
      <c r="E224" t="inlineStr">
        <is>
          <t>Intersection/Interchange Improvements</t>
        </is>
      </c>
      <c r="F224" t="inlineStr">
        <is>
          <t>Hillside</t>
        </is>
      </c>
      <c r="G224" s="5" t="n">
        <v>2700000</v>
      </c>
      <c r="H224" t="inlineStr">
        <is>
          <t>No</t>
        </is>
      </c>
      <c r="I224" t="inlineStr">
        <is>
          <t>No</t>
        </is>
      </c>
      <c r="J224" t="inlineStr">
        <is>
          <t>No</t>
        </is>
      </c>
    </row>
    <row r="225">
      <c r="A225" t="inlineStr">
        <is>
          <t>FFY2025</t>
        </is>
      </c>
      <c r="B225" t="inlineStr">
        <is>
          <t>FHWA Obligation</t>
        </is>
      </c>
      <c r="C225" t="inlineStr">
        <is>
          <t>04-00-0023</t>
        </is>
      </c>
      <c r="D225" t="inlineStr">
        <is>
          <t>I-290 Eisenhower Expy from US 12/45/20 Mannheim Rd to Racine Ave - RSP 30</t>
        </is>
      </c>
      <c r="E225" t="inlineStr">
        <is>
          <t>Road Expansion</t>
        </is>
      </c>
      <c r="F225" t="inlineStr">
        <is>
          <t>Hillside</t>
        </is>
      </c>
      <c r="G225" s="5" t="n">
        <v>284512</v>
      </c>
      <c r="H225" t="inlineStr">
        <is>
          <t>No</t>
        </is>
      </c>
      <c r="I225" t="inlineStr">
        <is>
          <t>No</t>
        </is>
      </c>
      <c r="J225" t="inlineStr">
        <is>
          <t>Yes</t>
        </is>
      </c>
    </row>
    <row r="226">
      <c r="A226" t="inlineStr">
        <is>
          <t>FFY2025</t>
        </is>
      </c>
      <c r="B226" t="inlineStr">
        <is>
          <t>FHWA Obligation</t>
        </is>
      </c>
      <c r="C226" t="inlineStr">
        <is>
          <t>04-00-0023</t>
        </is>
      </c>
      <c r="D226" t="inlineStr">
        <is>
          <t>I-290 Eisenhower Expy from US 12/45/20 Mannheim Rd to Racine Ave - RSP 30</t>
        </is>
      </c>
      <c r="E226" t="inlineStr">
        <is>
          <t>Road Expansion</t>
        </is>
      </c>
      <c r="F226" t="inlineStr">
        <is>
          <t>Hillside</t>
        </is>
      </c>
      <c r="G226" s="5" t="n">
        <v>1085043</v>
      </c>
      <c r="H226" t="inlineStr">
        <is>
          <t>No</t>
        </is>
      </c>
      <c r="I226" t="inlineStr">
        <is>
          <t>No</t>
        </is>
      </c>
      <c r="J226" t="inlineStr">
        <is>
          <t>Yes</t>
        </is>
      </c>
    </row>
    <row r="227">
      <c r="A227" t="inlineStr">
        <is>
          <t>FFY2025</t>
        </is>
      </c>
      <c r="B227" t="inlineStr">
        <is>
          <t>FHWA Obligation</t>
        </is>
      </c>
      <c r="C227" t="inlineStr">
        <is>
          <t>03-22-0003</t>
        </is>
      </c>
      <c r="D227" t="inlineStr">
        <is>
          <t>Hassell Rd/Stonington Ave/Pembroke Ave Corridor Improvements</t>
        </is>
      </c>
      <c r="E227" t="inlineStr">
        <is>
          <t>Bicycle &amp; Pedestrian</t>
        </is>
      </c>
      <c r="F227" t="inlineStr">
        <is>
          <t>Hoffman Estates</t>
        </is>
      </c>
      <c r="G227" s="5" t="n">
        <v>53800</v>
      </c>
      <c r="H227" t="inlineStr">
        <is>
          <t>Yes</t>
        </is>
      </c>
      <c r="I227" t="inlineStr">
        <is>
          <t>No</t>
        </is>
      </c>
      <c r="J227" t="inlineStr">
        <is>
          <t>Yes</t>
        </is>
      </c>
    </row>
    <row r="228">
      <c r="A228" t="inlineStr">
        <is>
          <t>FFY2025</t>
        </is>
      </c>
      <c r="B228" t="inlineStr">
        <is>
          <t>AC Authorization</t>
        </is>
      </c>
      <c r="C228" t="inlineStr">
        <is>
          <t>03-24-0008</t>
        </is>
      </c>
      <c r="D228" t="inlineStr">
        <is>
          <t>Ill 72 Higgins Rd - Audubon St to Lexington Dr</t>
        </is>
      </c>
      <c r="E228" t="inlineStr">
        <is>
          <t>Road Maintenance</t>
        </is>
      </c>
      <c r="F228" t="inlineStr">
        <is>
          <t>Hoffman Estates</t>
        </is>
      </c>
      <c r="G228" s="5" t="n">
        <v>2448000</v>
      </c>
      <c r="H228" t="inlineStr">
        <is>
          <t>Yes</t>
        </is>
      </c>
      <c r="I228" t="inlineStr">
        <is>
          <t>Yes</t>
        </is>
      </c>
      <c r="J228" t="inlineStr">
        <is>
          <t>No</t>
        </is>
      </c>
    </row>
    <row r="229">
      <c r="A229" t="inlineStr">
        <is>
          <t>FFY2025</t>
        </is>
      </c>
      <c r="B229" t="inlineStr">
        <is>
          <t>FHWA Obligation</t>
        </is>
      </c>
      <c r="C229" t="inlineStr">
        <is>
          <t>03-22-0044</t>
        </is>
      </c>
      <c r="D229" t="inlineStr">
        <is>
          <t>Hassell Rd from Fairway Ct to Rosedale Ln</t>
        </is>
      </c>
      <c r="E229" t="inlineStr">
        <is>
          <t>Road Maintenance</t>
        </is>
      </c>
      <c r="F229" t="inlineStr">
        <is>
          <t>Hoffman Estates</t>
        </is>
      </c>
      <c r="G229" s="5" t="n">
        <v>726000</v>
      </c>
      <c r="H229" t="inlineStr">
        <is>
          <t>Yes</t>
        </is>
      </c>
      <c r="I229" t="inlineStr">
        <is>
          <t>Yes</t>
        </is>
      </c>
      <c r="J229" t="inlineStr">
        <is>
          <t>No</t>
        </is>
      </c>
    </row>
    <row r="230">
      <c r="A230" t="inlineStr">
        <is>
          <t>FFY2025</t>
        </is>
      </c>
      <c r="B230" t="inlineStr">
        <is>
          <t>FHWA Obligation</t>
        </is>
      </c>
      <c r="C230" t="inlineStr">
        <is>
          <t>03-24-0008</t>
        </is>
      </c>
      <c r="D230" t="inlineStr">
        <is>
          <t>Ill 72 Higgins Rd - Audubon St to Lexington Dr</t>
        </is>
      </c>
      <c r="E230" t="inlineStr">
        <is>
          <t>Road Maintenance</t>
        </is>
      </c>
      <c r="F230" t="inlineStr">
        <is>
          <t>Hoffman Estates</t>
        </is>
      </c>
      <c r="G230" s="5" t="n">
        <v>200000</v>
      </c>
      <c r="H230" t="inlineStr">
        <is>
          <t>Yes</t>
        </is>
      </c>
      <c r="I230" t="inlineStr">
        <is>
          <t>Yes</t>
        </is>
      </c>
      <c r="J230" t="inlineStr">
        <is>
          <t>No</t>
        </is>
      </c>
    </row>
    <row r="231">
      <c r="A231" t="inlineStr">
        <is>
          <t>FFY2025</t>
        </is>
      </c>
      <c r="B231" t="inlineStr">
        <is>
          <t>FHWA Obligation</t>
        </is>
      </c>
      <c r="C231" t="inlineStr">
        <is>
          <t>03-12-0016</t>
        </is>
      </c>
      <c r="D231" t="inlineStr">
        <is>
          <t>IL 58 Golf Rd from E of Rohrssen Rd to W of Barrington Rd and at Barrington Rd.</t>
        </is>
      </c>
      <c r="E231" t="inlineStr">
        <is>
          <t>Road Modernization</t>
        </is>
      </c>
      <c r="F231" t="inlineStr">
        <is>
          <t>Hoffman Estates</t>
        </is>
      </c>
      <c r="G231" s="5" t="n">
        <v>1949828</v>
      </c>
      <c r="H231" t="inlineStr">
        <is>
          <t>Yes</t>
        </is>
      </c>
      <c r="I231" t="inlineStr">
        <is>
          <t>Yes</t>
        </is>
      </c>
      <c r="J231" t="inlineStr">
        <is>
          <t>No</t>
        </is>
      </c>
    </row>
    <row r="232">
      <c r="A232" t="inlineStr">
        <is>
          <t>FFY2025</t>
        </is>
      </c>
      <c r="B232" t="inlineStr">
        <is>
          <t>FHWA Obligation</t>
        </is>
      </c>
      <c r="C232" t="inlineStr">
        <is>
          <t>03-12-0016</t>
        </is>
      </c>
      <c r="D232" t="inlineStr">
        <is>
          <t>IL 58 Golf Rd from E of Rohrssen Rd to W of Barrington Rd and at Barrington Rd.</t>
        </is>
      </c>
      <c r="E232" t="inlineStr">
        <is>
          <t>Road Modernization</t>
        </is>
      </c>
      <c r="F232" t="inlineStr">
        <is>
          <t>Hoffman Estates</t>
        </is>
      </c>
      <c r="G232" s="5" t="n">
        <v>1895172</v>
      </c>
      <c r="H232" t="inlineStr">
        <is>
          <t>Yes</t>
        </is>
      </c>
      <c r="I232" t="inlineStr">
        <is>
          <t>Yes</t>
        </is>
      </c>
      <c r="J232" t="inlineStr">
        <is>
          <t>No</t>
        </is>
      </c>
    </row>
    <row r="233">
      <c r="A233" t="inlineStr">
        <is>
          <t>FFY2025</t>
        </is>
      </c>
      <c r="B233" t="inlineStr">
        <is>
          <t>FHWA Obligation</t>
        </is>
      </c>
      <c r="C233" t="inlineStr">
        <is>
          <t>03-12-0016</t>
        </is>
      </c>
      <c r="D233" t="inlineStr">
        <is>
          <t>IL 58 Golf Rd from E of Rohrssen Rd to W of Barrington Rd and at Barrington Rd.</t>
        </is>
      </c>
      <c r="E233" t="inlineStr">
        <is>
          <t>Road Modernization</t>
        </is>
      </c>
      <c r="F233" t="inlineStr">
        <is>
          <t>Hoffman Estates</t>
        </is>
      </c>
      <c r="G233" s="5" t="n">
        <v>96707</v>
      </c>
      <c r="H233" t="inlineStr">
        <is>
          <t>Yes</t>
        </is>
      </c>
      <c r="I233" t="inlineStr">
        <is>
          <t>Yes</t>
        </is>
      </c>
      <c r="J233" t="inlineStr">
        <is>
          <t>No</t>
        </is>
      </c>
    </row>
    <row r="234">
      <c r="A234" t="inlineStr">
        <is>
          <t>FFY2025</t>
        </is>
      </c>
      <c r="B234" t="inlineStr">
        <is>
          <t>FHWA Obligation</t>
        </is>
      </c>
      <c r="C234" t="inlineStr">
        <is>
          <t>03-12-0016</t>
        </is>
      </c>
      <c r="D234" t="inlineStr">
        <is>
          <t>IL 58 Golf Rd from E of Rohrssen Rd to W of Barrington Rd and at Barrington Rd.</t>
        </is>
      </c>
      <c r="E234" t="inlineStr">
        <is>
          <t>Road Modernization</t>
        </is>
      </c>
      <c r="F234" t="inlineStr">
        <is>
          <t>Hoffman Estates</t>
        </is>
      </c>
      <c r="G234" s="5" t="n">
        <v>2460858</v>
      </c>
      <c r="H234" t="inlineStr">
        <is>
          <t>Yes</t>
        </is>
      </c>
      <c r="I234" t="inlineStr">
        <is>
          <t>Yes</t>
        </is>
      </c>
      <c r="J234" t="inlineStr">
        <is>
          <t>No</t>
        </is>
      </c>
    </row>
    <row r="235">
      <c r="A235" t="inlineStr">
        <is>
          <t>FFY2025</t>
        </is>
      </c>
      <c r="B235" t="inlineStr">
        <is>
          <t>AC Authorization</t>
        </is>
      </c>
      <c r="C235" t="inlineStr">
        <is>
          <t>07-24-0043</t>
        </is>
      </c>
      <c r="D235" t="inlineStr">
        <is>
          <t>Various - at Various Intersection Locations in Cook Co.</t>
        </is>
      </c>
      <c r="E235" t="inlineStr">
        <is>
          <t>Intersection/Interchange Improvements</t>
        </is>
      </c>
      <c r="F235" t="inlineStr">
        <is>
          <t>Homewood</t>
        </is>
      </c>
      <c r="G235" s="5" t="n">
        <v>2250000</v>
      </c>
      <c r="H235" t="inlineStr">
        <is>
          <t>No</t>
        </is>
      </c>
      <c r="I235" t="inlineStr">
        <is>
          <t>No</t>
        </is>
      </c>
      <c r="J235" t="inlineStr">
        <is>
          <t>No</t>
        </is>
      </c>
    </row>
    <row r="236">
      <c r="A236" t="inlineStr">
        <is>
          <t>FFY2025</t>
        </is>
      </c>
      <c r="B236" t="inlineStr">
        <is>
          <t>AC Authorization</t>
        </is>
      </c>
      <c r="C236" t="inlineStr">
        <is>
          <t>07-25-0021</t>
        </is>
      </c>
      <c r="D236" t="inlineStr">
        <is>
          <t>Ill 1 Halsted St - Ridge Rd to Strieff Ln</t>
        </is>
      </c>
      <c r="E236" t="inlineStr">
        <is>
          <t>Road Maintenance</t>
        </is>
      </c>
      <c r="F236" t="inlineStr">
        <is>
          <t>Homewood</t>
        </is>
      </c>
      <c r="G236" s="5" t="n">
        <v>1360000</v>
      </c>
      <c r="H236" t="inlineStr">
        <is>
          <t>Yes</t>
        </is>
      </c>
      <c r="I236" t="inlineStr">
        <is>
          <t>Yes</t>
        </is>
      </c>
      <c r="J236" t="inlineStr">
        <is>
          <t>No</t>
        </is>
      </c>
    </row>
    <row r="237">
      <c r="A237" t="inlineStr">
        <is>
          <t>FFY2025</t>
        </is>
      </c>
      <c r="B237" t="inlineStr">
        <is>
          <t>FHWA Obligation</t>
        </is>
      </c>
      <c r="C237" t="inlineStr">
        <is>
          <t>05-17-0007</t>
        </is>
      </c>
      <c r="D237" t="inlineStr">
        <is>
          <t>Acacia Drive</t>
        </is>
      </c>
      <c r="E237" t="inlineStr">
        <is>
          <t>Road Maintenance</t>
        </is>
      </c>
      <c r="F237" t="inlineStr">
        <is>
          <t>Indian Head Park</t>
        </is>
      </c>
      <c r="G237" s="5" t="n">
        <v>85024</v>
      </c>
      <c r="H237" t="inlineStr">
        <is>
          <t>Yes</t>
        </is>
      </c>
      <c r="I237" t="inlineStr">
        <is>
          <t>Yes</t>
        </is>
      </c>
      <c r="J237" t="inlineStr">
        <is>
          <t>Yes</t>
        </is>
      </c>
    </row>
    <row r="238">
      <c r="A238" t="inlineStr">
        <is>
          <t>FFY2025</t>
        </is>
      </c>
      <c r="B238" t="inlineStr">
        <is>
          <t>FHWA Obligation</t>
        </is>
      </c>
      <c r="C238" t="inlineStr">
        <is>
          <t>06-15-0012</t>
        </is>
      </c>
      <c r="D238" t="inlineStr">
        <is>
          <t>I-294 NB at 88th Ave Archer Rd (Entrance Ramp)</t>
        </is>
      </c>
      <c r="E238" t="inlineStr">
        <is>
          <t>New/Expanded Interchange</t>
        </is>
      </c>
      <c r="F238" t="inlineStr">
        <is>
          <t>Justice</t>
        </is>
      </c>
      <c r="G238" s="5" t="n">
        <v>13443680</v>
      </c>
      <c r="H238" t="inlineStr">
        <is>
          <t>Yes</t>
        </is>
      </c>
      <c r="I238" t="inlineStr">
        <is>
          <t>No</t>
        </is>
      </c>
      <c r="J238" t="inlineStr">
        <is>
          <t>Yes</t>
        </is>
      </c>
    </row>
    <row r="239">
      <c r="A239" t="inlineStr">
        <is>
          <t>FFY2025</t>
        </is>
      </c>
      <c r="B239" t="inlineStr">
        <is>
          <t>AC Authorization</t>
        </is>
      </c>
      <c r="C239" t="inlineStr">
        <is>
          <t>02-20-0005</t>
        </is>
      </c>
      <c r="D239" t="inlineStr">
        <is>
          <t>Green Bay Rd - S of Scott Ave to S of Kenilworth Ave</t>
        </is>
      </c>
      <c r="E239" t="inlineStr">
        <is>
          <t>Road Maintenance</t>
        </is>
      </c>
      <c r="F239" t="inlineStr">
        <is>
          <t>Kenilworth</t>
        </is>
      </c>
      <c r="G239" s="5" t="n">
        <v>4580000</v>
      </c>
      <c r="H239" t="inlineStr">
        <is>
          <t>Yes</t>
        </is>
      </c>
      <c r="I239" t="inlineStr">
        <is>
          <t>Yes</t>
        </is>
      </c>
      <c r="J239" t="inlineStr">
        <is>
          <t>No</t>
        </is>
      </c>
    </row>
    <row r="240">
      <c r="A240" t="inlineStr">
        <is>
          <t>FFY2025</t>
        </is>
      </c>
      <c r="B240" t="inlineStr">
        <is>
          <t>FHWA Obligation</t>
        </is>
      </c>
      <c r="C240" t="inlineStr">
        <is>
          <t>05-22-0018</t>
        </is>
      </c>
      <c r="D240" t="inlineStr">
        <is>
          <t>US 34 Ogden Ave - At IHB RR</t>
        </is>
      </c>
      <c r="E240" t="inlineStr">
        <is>
          <t>Bridge Repair, Rehab, or Replace</t>
        </is>
      </c>
      <c r="F240" t="inlineStr">
        <is>
          <t>La Grange</t>
        </is>
      </c>
      <c r="G240" s="5" t="n">
        <v>1706491</v>
      </c>
      <c r="H240" t="inlineStr">
        <is>
          <t>No</t>
        </is>
      </c>
      <c r="I240" t="inlineStr">
        <is>
          <t>No</t>
        </is>
      </c>
      <c r="J240" t="inlineStr">
        <is>
          <t>No</t>
        </is>
      </c>
    </row>
    <row r="241">
      <c r="A241" t="inlineStr">
        <is>
          <t>FFY2025</t>
        </is>
      </c>
      <c r="B241" t="inlineStr">
        <is>
          <t>AC Authorization</t>
        </is>
      </c>
      <c r="C241" t="inlineStr">
        <is>
          <t>07-24-0012</t>
        </is>
      </c>
      <c r="D241" t="inlineStr">
        <is>
          <t>Stony Island Avenue Street Resurfacing</t>
        </is>
      </c>
      <c r="E241" t="inlineStr">
        <is>
          <t>Road Maintenance</t>
        </is>
      </c>
      <c r="F241" t="inlineStr">
        <is>
          <t>Lansing</t>
        </is>
      </c>
      <c r="G241" s="5" t="n">
        <v>265547</v>
      </c>
      <c r="H241" t="inlineStr">
        <is>
          <t>Yes</t>
        </is>
      </c>
      <c r="I241" t="inlineStr">
        <is>
          <t>Yes</t>
        </is>
      </c>
      <c r="J241" t="inlineStr">
        <is>
          <t>Yes</t>
        </is>
      </c>
    </row>
    <row r="242">
      <c r="A242" t="inlineStr">
        <is>
          <t>FFY2025</t>
        </is>
      </c>
      <c r="B242" t="inlineStr">
        <is>
          <t>FHWA Obligation</t>
        </is>
      </c>
      <c r="C242" t="inlineStr">
        <is>
          <t>07-24-0012</t>
        </is>
      </c>
      <c r="D242" t="inlineStr">
        <is>
          <t>Stony Island Avenue Street Resurfacing</t>
        </is>
      </c>
      <c r="E242" t="inlineStr">
        <is>
          <t>Road Maintenance</t>
        </is>
      </c>
      <c r="F242" t="inlineStr">
        <is>
          <t>Lansing</t>
        </is>
      </c>
      <c r="G242" s="5" t="n">
        <v>192569</v>
      </c>
      <c r="H242" t="inlineStr">
        <is>
          <t>Yes</t>
        </is>
      </c>
      <c r="I242" t="inlineStr">
        <is>
          <t>Yes</t>
        </is>
      </c>
      <c r="J242" t="inlineStr">
        <is>
          <t>Yes</t>
        </is>
      </c>
    </row>
    <row r="243">
      <c r="A243" t="inlineStr">
        <is>
          <t>FFY2025</t>
        </is>
      </c>
      <c r="B243" t="inlineStr">
        <is>
          <t>FHWA Obligation</t>
        </is>
      </c>
      <c r="C243" t="inlineStr">
        <is>
          <t>07-24-0012</t>
        </is>
      </c>
      <c r="D243" t="inlineStr">
        <is>
          <t>Stony Island Avenue Street Resurfacing</t>
        </is>
      </c>
      <c r="E243" t="inlineStr">
        <is>
          <t>Road Maintenance</t>
        </is>
      </c>
      <c r="F243" t="inlineStr">
        <is>
          <t>Lansing</t>
        </is>
      </c>
      <c r="G243" s="5" t="n">
        <v>146685</v>
      </c>
      <c r="H243" t="inlineStr">
        <is>
          <t>Yes</t>
        </is>
      </c>
      <c r="I243" t="inlineStr">
        <is>
          <t>Yes</t>
        </is>
      </c>
      <c r="J243" t="inlineStr">
        <is>
          <t>Yes</t>
        </is>
      </c>
    </row>
    <row r="244">
      <c r="A244" t="inlineStr">
        <is>
          <t>FFY2025</t>
        </is>
      </c>
      <c r="B244" t="inlineStr">
        <is>
          <t>AC Authorization</t>
        </is>
      </c>
      <c r="C244" t="inlineStr">
        <is>
          <t>06-20-0010</t>
        </is>
      </c>
      <c r="D244" t="inlineStr">
        <is>
          <t>State Street Resurfacing</t>
        </is>
      </c>
      <c r="E244" t="inlineStr">
        <is>
          <t>Road Maintenance</t>
        </is>
      </c>
      <c r="F244" t="inlineStr">
        <is>
          <t>Lemont</t>
        </is>
      </c>
      <c r="G244" s="5" t="n">
        <v>873600</v>
      </c>
      <c r="H244" t="inlineStr">
        <is>
          <t>Yes</t>
        </is>
      </c>
      <c r="I244" t="inlineStr">
        <is>
          <t>Yes</t>
        </is>
      </c>
      <c r="J244" t="inlineStr">
        <is>
          <t>Yes</t>
        </is>
      </c>
    </row>
    <row r="245">
      <c r="A245" t="inlineStr">
        <is>
          <t>FFY2025</t>
        </is>
      </c>
      <c r="B245" t="inlineStr">
        <is>
          <t>AC Authorization</t>
        </is>
      </c>
      <c r="C245" t="inlineStr">
        <is>
          <t>06-20-0010</t>
        </is>
      </c>
      <c r="D245" t="inlineStr">
        <is>
          <t>State Street Resurfacing</t>
        </is>
      </c>
      <c r="E245" t="inlineStr">
        <is>
          <t>Road Maintenance</t>
        </is>
      </c>
      <c r="F245" t="inlineStr">
        <is>
          <t>Lemont</t>
        </is>
      </c>
      <c r="G245" s="5" t="n">
        <v>93600</v>
      </c>
      <c r="H245" t="inlineStr">
        <is>
          <t>Yes</t>
        </is>
      </c>
      <c r="I245" t="inlineStr">
        <is>
          <t>Yes</t>
        </is>
      </c>
      <c r="J245" t="inlineStr">
        <is>
          <t>Yes</t>
        </is>
      </c>
    </row>
    <row r="246">
      <c r="A246" t="inlineStr">
        <is>
          <t>FFY2025</t>
        </is>
      </c>
      <c r="B246" t="inlineStr">
        <is>
          <t>FHWA Obligation</t>
        </is>
      </c>
      <c r="C246" t="inlineStr">
        <is>
          <t>01-16-0023</t>
        </is>
      </c>
      <c r="D246" t="inlineStr">
        <is>
          <t>US 41(Skokie Hwy.)/I-94 (Edens Expy.), IL 173 to I-90 (Kennedy Expy.)/I-94 (Edens Expy.)</t>
        </is>
      </c>
      <c r="E246" t="inlineStr">
        <is>
          <t>Intelligent Transportation Systems</t>
        </is>
      </c>
      <c r="F246" t="inlineStr">
        <is>
          <t>Lincolnwood</t>
        </is>
      </c>
      <c r="G246" s="5" t="n">
        <v>145648</v>
      </c>
      <c r="H246" t="inlineStr">
        <is>
          <t>No</t>
        </is>
      </c>
      <c r="I246" t="inlineStr">
        <is>
          <t>No</t>
        </is>
      </c>
      <c r="J246" t="inlineStr">
        <is>
          <t>Yes</t>
        </is>
      </c>
    </row>
    <row r="247">
      <c r="A247" t="inlineStr">
        <is>
          <t>FFY2025</t>
        </is>
      </c>
      <c r="B247" t="inlineStr">
        <is>
          <t>FHWA Obligation</t>
        </is>
      </c>
      <c r="C247" t="inlineStr">
        <is>
          <t>01-16-0023</t>
        </is>
      </c>
      <c r="D247" t="inlineStr">
        <is>
          <t>US 41(Skokie Hwy.)/I-94 (Edens Expy.), IL 173 to I-90 (Kennedy Expy.)/I-94 (Edens Expy.)</t>
        </is>
      </c>
      <c r="E247" t="inlineStr">
        <is>
          <t>Intelligent Transportation Systems</t>
        </is>
      </c>
      <c r="F247" t="inlineStr">
        <is>
          <t>Lincolnwood</t>
        </is>
      </c>
      <c r="G247" s="5" t="n">
        <v>1956539</v>
      </c>
      <c r="H247" t="inlineStr">
        <is>
          <t>No</t>
        </is>
      </c>
      <c r="I247" t="inlineStr">
        <is>
          <t>No</t>
        </is>
      </c>
      <c r="J247" t="inlineStr">
        <is>
          <t>Yes</t>
        </is>
      </c>
    </row>
    <row r="248">
      <c r="A248" t="inlineStr">
        <is>
          <t>FFY2025</t>
        </is>
      </c>
      <c r="B248" t="inlineStr">
        <is>
          <t>AC Authorization</t>
        </is>
      </c>
      <c r="C248" t="inlineStr">
        <is>
          <t>02-24-0009</t>
        </is>
      </c>
      <c r="D248" t="inlineStr">
        <is>
          <t>Devon Ave - Kilpatrick Ave to US 41 (Lincoln Ave)</t>
        </is>
      </c>
      <c r="E248" t="inlineStr">
        <is>
          <t>Road Maintenance</t>
        </is>
      </c>
      <c r="F248" t="inlineStr">
        <is>
          <t>Lincolnwood</t>
        </is>
      </c>
      <c r="G248" s="5" t="n">
        <v>3040000</v>
      </c>
      <c r="H248" t="inlineStr">
        <is>
          <t>Yes</t>
        </is>
      </c>
      <c r="I248" t="inlineStr">
        <is>
          <t>Yes</t>
        </is>
      </c>
      <c r="J248" t="inlineStr">
        <is>
          <t>No</t>
        </is>
      </c>
    </row>
    <row r="249">
      <c r="A249" t="inlineStr">
        <is>
          <t>FFY2025</t>
        </is>
      </c>
      <c r="B249" t="inlineStr">
        <is>
          <t>AC Authorization</t>
        </is>
      </c>
      <c r="C249" t="inlineStr">
        <is>
          <t>02-16-0004</t>
        </is>
      </c>
      <c r="D249" t="inlineStr">
        <is>
          <t>Devon Ave from Lincoln Ave to McCormick Blvd</t>
        </is>
      </c>
      <c r="E249" t="inlineStr">
        <is>
          <t>Road Modernization</t>
        </is>
      </c>
      <c r="F249" t="inlineStr">
        <is>
          <t>Lincolnwood</t>
        </is>
      </c>
      <c r="G249" s="5" t="n">
        <v>3060000</v>
      </c>
      <c r="H249" t="inlineStr">
        <is>
          <t>Yes</t>
        </is>
      </c>
      <c r="I249" t="inlineStr">
        <is>
          <t>Yes</t>
        </is>
      </c>
      <c r="J249" t="inlineStr">
        <is>
          <t>Yes</t>
        </is>
      </c>
    </row>
    <row r="250">
      <c r="A250" t="inlineStr">
        <is>
          <t>FFY2025</t>
        </is>
      </c>
      <c r="B250" t="inlineStr">
        <is>
          <t>AC Authorization</t>
        </is>
      </c>
      <c r="C250" t="inlineStr">
        <is>
          <t>02-16-0004</t>
        </is>
      </c>
      <c r="D250" t="inlineStr">
        <is>
          <t>Devon Ave from Lincoln Ave to McCormick Blvd</t>
        </is>
      </c>
      <c r="E250" t="inlineStr">
        <is>
          <t>Road Modernization</t>
        </is>
      </c>
      <c r="F250" t="inlineStr">
        <is>
          <t>Lincolnwood</t>
        </is>
      </c>
      <c r="G250" s="5" t="n">
        <v>1955879</v>
      </c>
      <c r="H250" t="inlineStr">
        <is>
          <t>Yes</t>
        </is>
      </c>
      <c r="I250" t="inlineStr">
        <is>
          <t>Yes</t>
        </is>
      </c>
      <c r="J250" t="inlineStr">
        <is>
          <t>Yes</t>
        </is>
      </c>
    </row>
    <row r="251">
      <c r="A251" t="inlineStr">
        <is>
          <t>FFY2025</t>
        </is>
      </c>
      <c r="B251" t="inlineStr">
        <is>
          <t>FHWA Obligation</t>
        </is>
      </c>
      <c r="C251" t="inlineStr">
        <is>
          <t>10-23-0030</t>
        </is>
      </c>
      <c r="D251" t="inlineStr">
        <is>
          <t>US 41/I-94 Skokie Hwy - Park Ave W to I- 90/94 (Kennedy Edens Junction)</t>
        </is>
      </c>
      <c r="E251" t="inlineStr">
        <is>
          <t>Safety</t>
        </is>
      </c>
      <c r="F251" t="inlineStr">
        <is>
          <t>Lincolnwood</t>
        </is>
      </c>
      <c r="G251" s="5" t="n">
        <v>9188952</v>
      </c>
      <c r="H251" t="inlineStr">
        <is>
          <t>No</t>
        </is>
      </c>
      <c r="I251" t="inlineStr">
        <is>
          <t>No</t>
        </is>
      </c>
      <c r="J251" t="inlineStr">
        <is>
          <t>Yes</t>
        </is>
      </c>
    </row>
    <row r="252">
      <c r="A252" t="inlineStr">
        <is>
          <t>FFY2025</t>
        </is>
      </c>
      <c r="B252" t="inlineStr">
        <is>
          <t>FHWA Obligation</t>
        </is>
      </c>
      <c r="C252" t="inlineStr">
        <is>
          <t>02-21-0005</t>
        </is>
      </c>
      <c r="D252" t="inlineStr">
        <is>
          <t>Devon Ave - Ill 50 (Cicero Ave) to Kenton Ave/Lemont Ave</t>
        </is>
      </c>
      <c r="E252" t="inlineStr">
        <is>
          <t>Signal Systems</t>
        </is>
      </c>
      <c r="F252" t="inlineStr">
        <is>
          <t>Lincolnwood</t>
        </is>
      </c>
      <c r="G252" s="5" t="n">
        <v>996761</v>
      </c>
      <c r="H252" t="inlineStr">
        <is>
          <t>No</t>
        </is>
      </c>
      <c r="I252" t="inlineStr">
        <is>
          <t>No</t>
        </is>
      </c>
      <c r="J252" t="inlineStr">
        <is>
          <t>No</t>
        </is>
      </c>
    </row>
    <row r="253">
      <c r="A253" t="inlineStr">
        <is>
          <t>FFY2025</t>
        </is>
      </c>
      <c r="B253" t="inlineStr">
        <is>
          <t>AC Authorization</t>
        </is>
      </c>
      <c r="C253" t="inlineStr">
        <is>
          <t>12-24-0026</t>
        </is>
      </c>
      <c r="D253" t="inlineStr">
        <is>
          <t>Various - signal modernization at various locations in Cook, &amp; Will</t>
        </is>
      </c>
      <c r="E253" t="inlineStr">
        <is>
          <t>Intersection/Interchange Improvements</t>
        </is>
      </c>
      <c r="F253" t="inlineStr">
        <is>
          <t>Lynwood</t>
        </is>
      </c>
      <c r="G253" s="5" t="n">
        <v>3150000</v>
      </c>
      <c r="H253" t="inlineStr">
        <is>
          <t>No</t>
        </is>
      </c>
      <c r="I253" t="inlineStr">
        <is>
          <t>No</t>
        </is>
      </c>
      <c r="J253" t="inlineStr">
        <is>
          <t>No</t>
        </is>
      </c>
    </row>
    <row r="254">
      <c r="A254" t="inlineStr">
        <is>
          <t>FFY2025</t>
        </is>
      </c>
      <c r="B254" t="inlineStr">
        <is>
          <t>AC Authorization</t>
        </is>
      </c>
      <c r="C254" t="inlineStr">
        <is>
          <t>01-23-0027</t>
        </is>
      </c>
      <c r="D254" t="inlineStr">
        <is>
          <t>Ill 171 Archer Ave - S of Ogden Ave to W of Harlem Ave</t>
        </is>
      </c>
      <c r="E254" t="inlineStr">
        <is>
          <t>Road Maintenance</t>
        </is>
      </c>
      <c r="F254" t="inlineStr">
        <is>
          <t>Lyons</t>
        </is>
      </c>
      <c r="G254" s="5" t="n">
        <v>2361381</v>
      </c>
      <c r="H254" t="inlineStr">
        <is>
          <t>No</t>
        </is>
      </c>
      <c r="I254" t="inlineStr">
        <is>
          <t>No</t>
        </is>
      </c>
      <c r="J254" t="inlineStr">
        <is>
          <t>No</t>
        </is>
      </c>
    </row>
    <row r="255">
      <c r="A255" t="inlineStr">
        <is>
          <t>FFY2025</t>
        </is>
      </c>
      <c r="B255" t="inlineStr">
        <is>
          <t>AC Authorization</t>
        </is>
      </c>
      <c r="C255" t="inlineStr">
        <is>
          <t>05-25-0008</t>
        </is>
      </c>
      <c r="D255" t="inlineStr">
        <is>
          <t>Pershing Rd - US 34 (Ogden Ave) to W of Central Ave</t>
        </is>
      </c>
      <c r="E255" t="inlineStr">
        <is>
          <t>Road Maintenance</t>
        </is>
      </c>
      <c r="F255" t="inlineStr">
        <is>
          <t>Lyons</t>
        </is>
      </c>
      <c r="G255" s="5" t="n">
        <v>5184000</v>
      </c>
      <c r="H255" t="inlineStr">
        <is>
          <t>No</t>
        </is>
      </c>
      <c r="I255" t="inlineStr">
        <is>
          <t>No</t>
        </is>
      </c>
      <c r="J255" t="inlineStr">
        <is>
          <t>No</t>
        </is>
      </c>
    </row>
    <row r="256">
      <c r="A256" t="inlineStr">
        <is>
          <t>FFY2025</t>
        </is>
      </c>
      <c r="B256" t="inlineStr">
        <is>
          <t>FHWA Obligation</t>
        </is>
      </c>
      <c r="C256" t="inlineStr">
        <is>
          <t>01-23-0027</t>
        </is>
      </c>
      <c r="D256" t="inlineStr">
        <is>
          <t>Ill 171 Archer Ave - S of Ogden Ave to W of Harlem Ave</t>
        </is>
      </c>
      <c r="E256" t="inlineStr">
        <is>
          <t>Road Maintenance</t>
        </is>
      </c>
      <c r="F256" t="inlineStr">
        <is>
          <t>Lyons</t>
        </is>
      </c>
      <c r="G256" s="5" t="n">
        <v>2400000</v>
      </c>
      <c r="H256" t="inlineStr">
        <is>
          <t>No</t>
        </is>
      </c>
      <c r="I256" t="inlineStr">
        <is>
          <t>No</t>
        </is>
      </c>
      <c r="J256" t="inlineStr">
        <is>
          <t>No</t>
        </is>
      </c>
    </row>
    <row r="257">
      <c r="A257" t="inlineStr">
        <is>
          <t>FFY2025</t>
        </is>
      </c>
      <c r="B257" t="inlineStr">
        <is>
          <t>FHWA Obligation</t>
        </is>
      </c>
      <c r="C257" t="inlineStr">
        <is>
          <t>07-24-0037</t>
        </is>
      </c>
      <c r="D257" t="inlineStr">
        <is>
          <t>207th Street Resurfacing</t>
        </is>
      </c>
      <c r="E257" t="inlineStr">
        <is>
          <t>Road Maintenance</t>
        </is>
      </c>
      <c r="F257" t="inlineStr">
        <is>
          <t>Matteson</t>
        </is>
      </c>
      <c r="G257" s="5" t="n">
        <v>1056000</v>
      </c>
      <c r="H257" t="inlineStr">
        <is>
          <t>Yes</t>
        </is>
      </c>
      <c r="I257" t="inlineStr">
        <is>
          <t>Yes</t>
        </is>
      </c>
      <c r="J257" t="inlineStr">
        <is>
          <t>Yes</t>
        </is>
      </c>
    </row>
    <row r="258">
      <c r="A258" t="inlineStr">
        <is>
          <t>FFY2025</t>
        </is>
      </c>
      <c r="B258" t="inlineStr">
        <is>
          <t>FHWA Obligation</t>
        </is>
      </c>
      <c r="C258" t="inlineStr">
        <is>
          <t>07-24-0038</t>
        </is>
      </c>
      <c r="D258" t="inlineStr">
        <is>
          <t>Main Street Resurfacing</t>
        </is>
      </c>
      <c r="E258" t="inlineStr">
        <is>
          <t>Road Maintenance</t>
        </is>
      </c>
      <c r="F258" t="inlineStr">
        <is>
          <t>Matteson</t>
        </is>
      </c>
      <c r="G258" s="5" t="n">
        <v>690800</v>
      </c>
      <c r="H258" t="inlineStr">
        <is>
          <t>Yes</t>
        </is>
      </c>
      <c r="I258" t="inlineStr">
        <is>
          <t>Yes</t>
        </is>
      </c>
      <c r="J258" t="inlineStr">
        <is>
          <t>Yes</t>
        </is>
      </c>
    </row>
    <row r="259">
      <c r="A259" t="inlineStr">
        <is>
          <t>FFY2025</t>
        </is>
      </c>
      <c r="B259" t="inlineStr">
        <is>
          <t>AC Authorization</t>
        </is>
      </c>
      <c r="C259" t="inlineStr">
        <is>
          <t>04-24-0033</t>
        </is>
      </c>
      <c r="D259" t="inlineStr">
        <is>
          <t>Maywood SRTS Garfield Elementary School</t>
        </is>
      </c>
      <c r="E259" t="inlineStr">
        <is>
          <t>Bicycle &amp; Pedestrian</t>
        </is>
      </c>
      <c r="F259" t="inlineStr">
        <is>
          <t>Maywood</t>
        </is>
      </c>
      <c r="G259" s="5" t="n">
        <v>250000</v>
      </c>
      <c r="H259" t="inlineStr">
        <is>
          <t>Yes</t>
        </is>
      </c>
      <c r="I259" t="inlineStr">
        <is>
          <t>No</t>
        </is>
      </c>
      <c r="J259" t="inlineStr">
        <is>
          <t>No</t>
        </is>
      </c>
    </row>
    <row r="260">
      <c r="A260" t="inlineStr">
        <is>
          <t>FFY2025</t>
        </is>
      </c>
      <c r="B260" t="inlineStr">
        <is>
          <t>FHWA Obligation</t>
        </is>
      </c>
      <c r="C260" t="inlineStr">
        <is>
          <t>04-00-0023</t>
        </is>
      </c>
      <c r="D260" t="inlineStr">
        <is>
          <t>I-290 Eisenhower Expy from US 12/45/20 Mannheim Rd to Racine Ave - RSP 30</t>
        </is>
      </c>
      <c r="E260" t="inlineStr">
        <is>
          <t>Road Expansion</t>
        </is>
      </c>
      <c r="F260" t="inlineStr">
        <is>
          <t>Maywood</t>
        </is>
      </c>
      <c r="G260" s="5" t="n">
        <v>284512</v>
      </c>
      <c r="H260" t="inlineStr">
        <is>
          <t>No</t>
        </is>
      </c>
      <c r="I260" t="inlineStr">
        <is>
          <t>No</t>
        </is>
      </c>
      <c r="J260" t="inlineStr">
        <is>
          <t>Yes</t>
        </is>
      </c>
    </row>
    <row r="261">
      <c r="A261" t="inlineStr">
        <is>
          <t>FFY2025</t>
        </is>
      </c>
      <c r="B261" t="inlineStr">
        <is>
          <t>FHWA Obligation</t>
        </is>
      </c>
      <c r="C261" t="inlineStr">
        <is>
          <t>04-00-0023</t>
        </is>
      </c>
      <c r="D261" t="inlineStr">
        <is>
          <t>I-290 Eisenhower Expy from US 12/45/20 Mannheim Rd to Racine Ave - RSP 30</t>
        </is>
      </c>
      <c r="E261" t="inlineStr">
        <is>
          <t>Road Expansion</t>
        </is>
      </c>
      <c r="F261" t="inlineStr">
        <is>
          <t>Maywood</t>
        </is>
      </c>
      <c r="G261" s="5" t="n">
        <v>1085043</v>
      </c>
      <c r="H261" t="inlineStr">
        <is>
          <t>No</t>
        </is>
      </c>
      <c r="I261" t="inlineStr">
        <is>
          <t>No</t>
        </is>
      </c>
      <c r="J261" t="inlineStr">
        <is>
          <t>Yes</t>
        </is>
      </c>
    </row>
    <row r="262">
      <c r="A262" t="inlineStr">
        <is>
          <t>FFY2025</t>
        </is>
      </c>
      <c r="B262" t="inlineStr">
        <is>
          <t>AC Authorization</t>
        </is>
      </c>
      <c r="C262" t="inlineStr">
        <is>
          <t>04-24-0021</t>
        </is>
      </c>
      <c r="D262" t="inlineStr">
        <is>
          <t>17th Ave - Madison St to 23rd St</t>
        </is>
      </c>
      <c r="E262" t="inlineStr">
        <is>
          <t>Road Maintenance</t>
        </is>
      </c>
      <c r="F262" t="inlineStr">
        <is>
          <t>Maywood</t>
        </is>
      </c>
      <c r="G262" s="5" t="n">
        <v>2400000</v>
      </c>
      <c r="H262" t="inlineStr">
        <is>
          <t>Yes</t>
        </is>
      </c>
      <c r="I262" t="inlineStr">
        <is>
          <t>Yes</t>
        </is>
      </c>
      <c r="J262" t="inlineStr">
        <is>
          <t>No</t>
        </is>
      </c>
    </row>
    <row r="263">
      <c r="A263" t="inlineStr">
        <is>
          <t>FFY2025</t>
        </is>
      </c>
      <c r="B263" t="inlineStr">
        <is>
          <t>FHWA Obligation</t>
        </is>
      </c>
      <c r="C263" t="inlineStr">
        <is>
          <t>04-19-0009</t>
        </is>
      </c>
      <c r="D263" t="inlineStr">
        <is>
          <t>Maywood 19th Avenue Reconstruction - Madison Street to Oak Street</t>
        </is>
      </c>
      <c r="E263" t="inlineStr">
        <is>
          <t>Road Maintenance</t>
        </is>
      </c>
      <c r="F263" t="inlineStr">
        <is>
          <t>Maywood</t>
        </is>
      </c>
      <c r="G263" s="5" t="n">
        <v>2433000</v>
      </c>
      <c r="H263" t="inlineStr">
        <is>
          <t>Yes</t>
        </is>
      </c>
      <c r="I263" t="inlineStr">
        <is>
          <t>Yes</t>
        </is>
      </c>
      <c r="J263" t="inlineStr">
        <is>
          <t>Yes</t>
        </is>
      </c>
    </row>
    <row r="264">
      <c r="A264" t="inlineStr">
        <is>
          <t>FFY2025</t>
        </is>
      </c>
      <c r="B264" t="inlineStr">
        <is>
          <t>FHWA Obligation</t>
        </is>
      </c>
      <c r="C264" t="inlineStr">
        <is>
          <t>04-20-0032</t>
        </is>
      </c>
      <c r="D264" t="inlineStr">
        <is>
          <t>9th Avenue LAFO - Main Street to Chicago Avenue</t>
        </is>
      </c>
      <c r="E264" t="inlineStr">
        <is>
          <t>Road Maintenance</t>
        </is>
      </c>
      <c r="F264" t="inlineStr">
        <is>
          <t>Maywood</t>
        </is>
      </c>
      <c r="G264" s="5" t="n">
        <v>42462</v>
      </c>
      <c r="H264" t="inlineStr">
        <is>
          <t>Yes</t>
        </is>
      </c>
      <c r="I264" t="inlineStr">
        <is>
          <t>Yes</t>
        </is>
      </c>
      <c r="J264" t="inlineStr">
        <is>
          <t>Yes</t>
        </is>
      </c>
    </row>
    <row r="265">
      <c r="A265" t="inlineStr">
        <is>
          <t>FFY2025</t>
        </is>
      </c>
      <c r="B265" t="inlineStr">
        <is>
          <t>FHWA Obligation</t>
        </is>
      </c>
      <c r="C265" t="inlineStr">
        <is>
          <t>04-20-0032</t>
        </is>
      </c>
      <c r="D265" t="inlineStr">
        <is>
          <t>9th Avenue LAFO - Main Street to Chicago Avenue</t>
        </is>
      </c>
      <c r="E265" t="inlineStr">
        <is>
          <t>Road Maintenance</t>
        </is>
      </c>
      <c r="F265" t="inlineStr">
        <is>
          <t>Maywood</t>
        </is>
      </c>
      <c r="G265" s="5" t="n">
        <v>433538</v>
      </c>
      <c r="H265" t="inlineStr">
        <is>
          <t>Yes</t>
        </is>
      </c>
      <c r="I265" t="inlineStr">
        <is>
          <t>Yes</t>
        </is>
      </c>
      <c r="J265" t="inlineStr">
        <is>
          <t>Yes</t>
        </is>
      </c>
    </row>
    <row r="266">
      <c r="A266" t="inlineStr">
        <is>
          <t>FFY2025</t>
        </is>
      </c>
      <c r="B266" t="inlineStr">
        <is>
          <t>AC Authorization</t>
        </is>
      </c>
      <c r="C266" t="inlineStr">
        <is>
          <t>01-05-0012</t>
        </is>
      </c>
      <c r="D266" t="inlineStr">
        <is>
          <t>CREATE East-West Corridor from Argo Interlocking to CP509</t>
        </is>
      </c>
      <c r="E266" t="inlineStr">
        <is>
          <t>Freight Movement</t>
        </is>
      </c>
      <c r="F266" t="inlineStr">
        <is>
          <t>McCook</t>
        </is>
      </c>
      <c r="G266" s="5" t="n">
        <v>939469</v>
      </c>
      <c r="H266" t="inlineStr">
        <is>
          <t>Yes</t>
        </is>
      </c>
      <c r="I266" t="inlineStr">
        <is>
          <t>Yes</t>
        </is>
      </c>
      <c r="J266" t="inlineStr">
        <is>
          <t>Yes</t>
        </is>
      </c>
    </row>
    <row r="267">
      <c r="A267" t="inlineStr">
        <is>
          <t>FFY2025</t>
        </is>
      </c>
      <c r="B267" t="inlineStr">
        <is>
          <t>AC Authorization</t>
        </is>
      </c>
      <c r="C267" t="inlineStr">
        <is>
          <t>01-05-0012</t>
        </is>
      </c>
      <c r="D267" t="inlineStr">
        <is>
          <t>CREATE East-West Corridor from Argo Interlocking to CP509</t>
        </is>
      </c>
      <c r="E267" t="inlineStr">
        <is>
          <t>Freight Movement</t>
        </is>
      </c>
      <c r="F267" t="inlineStr">
        <is>
          <t>McCook</t>
        </is>
      </c>
      <c r="G267" s="5" t="n">
        <v>8841353</v>
      </c>
      <c r="H267" t="inlineStr">
        <is>
          <t>Yes</t>
        </is>
      </c>
      <c r="I267" t="inlineStr">
        <is>
          <t>Yes</t>
        </is>
      </c>
      <c r="J267" t="inlineStr">
        <is>
          <t>Yes</t>
        </is>
      </c>
    </row>
    <row r="268">
      <c r="A268" t="inlineStr">
        <is>
          <t>FFY2025</t>
        </is>
      </c>
      <c r="B268" t="inlineStr">
        <is>
          <t>AC Authorization</t>
        </is>
      </c>
      <c r="C268" t="inlineStr">
        <is>
          <t>01-05-0012</t>
        </is>
      </c>
      <c r="D268" t="inlineStr">
        <is>
          <t>CREATE East-West Corridor from Argo Interlocking to CP509</t>
        </is>
      </c>
      <c r="E268" t="inlineStr">
        <is>
          <t>Freight Movement</t>
        </is>
      </c>
      <c r="F268" t="inlineStr">
        <is>
          <t>McCook</t>
        </is>
      </c>
      <c r="G268" s="5" t="n">
        <v>439469</v>
      </c>
      <c r="H268" t="inlineStr">
        <is>
          <t>Yes</t>
        </is>
      </c>
      <c r="I268" t="inlineStr">
        <is>
          <t>Yes</t>
        </is>
      </c>
      <c r="J268" t="inlineStr">
        <is>
          <t>Yes</t>
        </is>
      </c>
    </row>
    <row r="269">
      <c r="A269" t="inlineStr">
        <is>
          <t>FFY2025</t>
        </is>
      </c>
      <c r="B269" t="inlineStr">
        <is>
          <t>AC Authorization</t>
        </is>
      </c>
      <c r="C269" t="inlineStr">
        <is>
          <t>08-24-0048</t>
        </is>
      </c>
      <c r="D269" t="inlineStr">
        <is>
          <t>Various - signal modernization at various locations in Cook, &amp; DuPage</t>
        </is>
      </c>
      <c r="E269" t="inlineStr">
        <is>
          <t>Intersection/Interchange Improvements</t>
        </is>
      </c>
      <c r="F269" t="inlineStr">
        <is>
          <t>McCook</t>
        </is>
      </c>
      <c r="G269" s="5" t="n">
        <v>2700000</v>
      </c>
      <c r="H269" t="inlineStr">
        <is>
          <t>No</t>
        </is>
      </c>
      <c r="I269" t="inlineStr">
        <is>
          <t>No</t>
        </is>
      </c>
      <c r="J269" t="inlineStr">
        <is>
          <t>No</t>
        </is>
      </c>
    </row>
    <row r="270">
      <c r="A270" t="inlineStr">
        <is>
          <t>FFY2025</t>
        </is>
      </c>
      <c r="B270" t="inlineStr">
        <is>
          <t>AC Authorization</t>
        </is>
      </c>
      <c r="C270" t="inlineStr">
        <is>
          <t>01-23-0027</t>
        </is>
      </c>
      <c r="D270" t="inlineStr">
        <is>
          <t>Ill 171 Archer Ave - S of Ogden Ave to W of Harlem Ave</t>
        </is>
      </c>
      <c r="E270" t="inlineStr">
        <is>
          <t>Road Maintenance</t>
        </is>
      </c>
      <c r="F270" t="inlineStr">
        <is>
          <t>McCook</t>
        </is>
      </c>
      <c r="G270" s="5" t="n">
        <v>2361381</v>
      </c>
      <c r="H270" t="inlineStr">
        <is>
          <t>No</t>
        </is>
      </c>
      <c r="I270" t="inlineStr">
        <is>
          <t>No</t>
        </is>
      </c>
      <c r="J270" t="inlineStr">
        <is>
          <t>No</t>
        </is>
      </c>
    </row>
    <row r="271">
      <c r="A271" t="inlineStr">
        <is>
          <t>FFY2025</t>
        </is>
      </c>
      <c r="B271" t="inlineStr">
        <is>
          <t>FHWA Obligation</t>
        </is>
      </c>
      <c r="C271" t="inlineStr">
        <is>
          <t>01-23-0027</t>
        </is>
      </c>
      <c r="D271" t="inlineStr">
        <is>
          <t>Ill 171 Archer Ave - S of Ogden Ave to W of Harlem Ave</t>
        </is>
      </c>
      <c r="E271" t="inlineStr">
        <is>
          <t>Road Maintenance</t>
        </is>
      </c>
      <c r="F271" t="inlineStr">
        <is>
          <t>McCook</t>
        </is>
      </c>
      <c r="G271" s="5" t="n">
        <v>2400000</v>
      </c>
      <c r="H271" t="inlineStr">
        <is>
          <t>No</t>
        </is>
      </c>
      <c r="I271" t="inlineStr">
        <is>
          <t>No</t>
        </is>
      </c>
      <c r="J271" t="inlineStr">
        <is>
          <t>No</t>
        </is>
      </c>
    </row>
    <row r="272">
      <c r="A272" t="inlineStr">
        <is>
          <t>FFY2025</t>
        </is>
      </c>
      <c r="B272" t="inlineStr">
        <is>
          <t>FHWA Obligation</t>
        </is>
      </c>
      <c r="C272" t="inlineStr">
        <is>
          <t>05-19-0001</t>
        </is>
      </c>
      <c r="D272" t="inlineStr">
        <is>
          <t>55th Street Transit Access Improvements</t>
        </is>
      </c>
      <c r="E272" t="inlineStr">
        <is>
          <t>Transit Station/Stop Improvements</t>
        </is>
      </c>
      <c r="F272" t="inlineStr">
        <is>
          <t>McCook</t>
        </is>
      </c>
      <c r="G272" s="5" t="n">
        <v>16195</v>
      </c>
      <c r="H272" t="inlineStr">
        <is>
          <t>Yes</t>
        </is>
      </c>
      <c r="I272" t="inlineStr">
        <is>
          <t>No</t>
        </is>
      </c>
      <c r="J272" t="inlineStr">
        <is>
          <t>No</t>
        </is>
      </c>
    </row>
    <row r="273">
      <c r="A273" t="inlineStr">
        <is>
          <t>FFY2025</t>
        </is>
      </c>
      <c r="B273" t="inlineStr">
        <is>
          <t>FHWA Obligation</t>
        </is>
      </c>
      <c r="C273" t="inlineStr">
        <is>
          <t>05-19-0001</t>
        </is>
      </c>
      <c r="D273" t="inlineStr">
        <is>
          <t>55th Street Transit Access Improvements</t>
        </is>
      </c>
      <c r="E273" t="inlineStr">
        <is>
          <t>Transit Station/Stop Improvements</t>
        </is>
      </c>
      <c r="F273" t="inlineStr">
        <is>
          <t>McCook</t>
        </is>
      </c>
      <c r="G273" s="5" t="n">
        <v>361640</v>
      </c>
      <c r="H273" t="inlineStr">
        <is>
          <t>Yes</t>
        </is>
      </c>
      <c r="I273" t="inlineStr">
        <is>
          <t>No</t>
        </is>
      </c>
      <c r="J273" t="inlineStr">
        <is>
          <t>No</t>
        </is>
      </c>
    </row>
    <row r="274">
      <c r="A274" t="inlineStr">
        <is>
          <t>FFY2025</t>
        </is>
      </c>
      <c r="B274" t="inlineStr">
        <is>
          <t>FHWA Obligation</t>
        </is>
      </c>
      <c r="C274" t="inlineStr">
        <is>
          <t>05-19-0001</t>
        </is>
      </c>
      <c r="D274" t="inlineStr">
        <is>
          <t>55th Street Transit Access Improvements</t>
        </is>
      </c>
      <c r="E274" t="inlineStr">
        <is>
          <t>Transit Station/Stop Improvements</t>
        </is>
      </c>
      <c r="F274" t="inlineStr">
        <is>
          <t>McCook</t>
        </is>
      </c>
      <c r="G274" s="5" t="n">
        <v>2446357</v>
      </c>
      <c r="H274" t="inlineStr">
        <is>
          <t>Yes</t>
        </is>
      </c>
      <c r="I274" t="inlineStr">
        <is>
          <t>No</t>
        </is>
      </c>
      <c r="J274" t="inlineStr">
        <is>
          <t>No</t>
        </is>
      </c>
    </row>
    <row r="275">
      <c r="A275" t="inlineStr">
        <is>
          <t>FFY2025</t>
        </is>
      </c>
      <c r="B275" t="inlineStr">
        <is>
          <t>FHWA Obligation</t>
        </is>
      </c>
      <c r="C275" t="inlineStr">
        <is>
          <t>04-17-0002</t>
        </is>
      </c>
      <c r="D275" t="inlineStr">
        <is>
          <t>Melrose Park - Broadway Avenue Bridge</t>
        </is>
      </c>
      <c r="E275" t="inlineStr">
        <is>
          <t>Bridge Repair, Rehab, or Replace</t>
        </is>
      </c>
      <c r="F275" t="inlineStr">
        <is>
          <t>Melrose Park</t>
        </is>
      </c>
      <c r="G275" s="5" t="n">
        <v>212000</v>
      </c>
      <c r="H275" t="inlineStr">
        <is>
          <t>No</t>
        </is>
      </c>
      <c r="I275" t="inlineStr">
        <is>
          <t>No</t>
        </is>
      </c>
      <c r="J275" t="inlineStr">
        <is>
          <t>No</t>
        </is>
      </c>
    </row>
    <row r="276">
      <c r="A276" t="inlineStr">
        <is>
          <t>FFY2025</t>
        </is>
      </c>
      <c r="B276" t="inlineStr">
        <is>
          <t>AC Authorization</t>
        </is>
      </c>
      <c r="C276" t="inlineStr">
        <is>
          <t>04-19-0014</t>
        </is>
      </c>
      <c r="D276" t="inlineStr">
        <is>
          <t>1) Ill 64 North Ave - I-294 (Tri-State Tollway) DuPage Co Line, 2) Ill 64 N Frontage Rd - 7th Ave (Hospital Entrance) to 5th Ave, 3) Ill 64 North Ave - 25th Ave to 5th Ave; 4) 5th Ave - N River Rd to Ill 64 (North Ave)</t>
        </is>
      </c>
      <c r="E276" t="inlineStr">
        <is>
          <t>Road Maintenance</t>
        </is>
      </c>
      <c r="F276" t="inlineStr">
        <is>
          <t>Melrose Park</t>
        </is>
      </c>
      <c r="G276" s="5" t="n">
        <v>10842000</v>
      </c>
      <c r="H276" t="inlineStr">
        <is>
          <t>Yes</t>
        </is>
      </c>
      <c r="I276" t="inlineStr">
        <is>
          <t>Yes</t>
        </is>
      </c>
      <c r="J276" t="inlineStr">
        <is>
          <t>No</t>
        </is>
      </c>
    </row>
    <row r="277">
      <c r="A277" t="inlineStr">
        <is>
          <t>FFY2025</t>
        </is>
      </c>
      <c r="B277" t="inlineStr">
        <is>
          <t>AC Authorization</t>
        </is>
      </c>
      <c r="C277" t="inlineStr">
        <is>
          <t>04-19-0014</t>
        </is>
      </c>
      <c r="D277" t="inlineStr">
        <is>
          <t>1) Ill 64 North Ave - I-294 (Tri-State Tollway) DuPage Co Line, 2) Ill 64 N Frontage Rd - 7th Ave (Hospital Entrance) to 5th Ave, 3) Ill 64 North Ave - 25th Ave to 5th Ave; 4) 5th Ave - N River Rd to Ill 64 (North Ave)</t>
        </is>
      </c>
      <c r="E277" t="inlineStr">
        <is>
          <t>Road Maintenance</t>
        </is>
      </c>
      <c r="F277" t="inlineStr">
        <is>
          <t>Melrose Park</t>
        </is>
      </c>
      <c r="G277" s="5" t="n">
        <v>960000</v>
      </c>
      <c r="H277" t="inlineStr">
        <is>
          <t>Yes</t>
        </is>
      </c>
      <c r="I277" t="inlineStr">
        <is>
          <t>Yes</t>
        </is>
      </c>
      <c r="J277" t="inlineStr">
        <is>
          <t>No</t>
        </is>
      </c>
    </row>
    <row r="278">
      <c r="A278" t="inlineStr">
        <is>
          <t>FFY2025</t>
        </is>
      </c>
      <c r="B278" t="inlineStr">
        <is>
          <t>AC Authorization</t>
        </is>
      </c>
      <c r="C278" t="inlineStr">
        <is>
          <t>04-19-0014</t>
        </is>
      </c>
      <c r="D278" t="inlineStr">
        <is>
          <t>1) Ill 64 North Ave - I-294 (Tri-State Tollway) DuPage Co Line, 2) Ill 64 N Frontage Rd - 7th Ave (Hospital Entrance) to 5th Ave, 3) Ill 64 North Ave - 25th Ave to 5th Ave; 4) 5th Ave - N River Rd to Ill 64 (North Ave)</t>
        </is>
      </c>
      <c r="E278" t="inlineStr">
        <is>
          <t>Road Maintenance</t>
        </is>
      </c>
      <c r="F278" t="inlineStr">
        <is>
          <t>Melrose Park</t>
        </is>
      </c>
      <c r="G278" s="5" t="n">
        <v>4000000</v>
      </c>
      <c r="H278" t="inlineStr">
        <is>
          <t>Yes</t>
        </is>
      </c>
      <c r="I278" t="inlineStr">
        <is>
          <t>Yes</t>
        </is>
      </c>
      <c r="J278" t="inlineStr">
        <is>
          <t>No</t>
        </is>
      </c>
    </row>
    <row r="279">
      <c r="A279" t="inlineStr">
        <is>
          <t>FFY2025</t>
        </is>
      </c>
      <c r="B279" t="inlineStr">
        <is>
          <t>AC Authorization</t>
        </is>
      </c>
      <c r="C279" t="inlineStr">
        <is>
          <t>05-16-0007</t>
        </is>
      </c>
      <c r="D279" t="inlineStr">
        <is>
          <t>IL 56 from IL 59 to IL 50; Cermak Rd./22nd St., Renaissance Blvd (West of) to IL 50 (Cicero Ave.)</t>
        </is>
      </c>
      <c r="E279" t="inlineStr">
        <is>
          <t>Road Maintenance</t>
        </is>
      </c>
      <c r="F279" t="inlineStr">
        <is>
          <t>Melrose Park</t>
        </is>
      </c>
      <c r="G279" s="5" t="n">
        <v>2913880</v>
      </c>
      <c r="H279" t="inlineStr">
        <is>
          <t>No</t>
        </is>
      </c>
      <c r="I279" t="inlineStr">
        <is>
          <t>No</t>
        </is>
      </c>
      <c r="J279" t="inlineStr">
        <is>
          <t>No</t>
        </is>
      </c>
    </row>
    <row r="280">
      <c r="A280" t="inlineStr">
        <is>
          <t>FFY2025</t>
        </is>
      </c>
      <c r="B280" t="inlineStr">
        <is>
          <t>FHWA Obligation</t>
        </is>
      </c>
      <c r="C280" t="inlineStr">
        <is>
          <t>04-18-0006</t>
        </is>
      </c>
      <c r="D280" t="inlineStr">
        <is>
          <t>Armitage Avenue Reconstruction</t>
        </is>
      </c>
      <c r="E280" t="inlineStr">
        <is>
          <t>Road Maintenance</t>
        </is>
      </c>
      <c r="F280" t="inlineStr">
        <is>
          <t>Melrose Park</t>
        </is>
      </c>
      <c r="G280" s="5" t="n">
        <v>38385</v>
      </c>
      <c r="H280" t="inlineStr">
        <is>
          <t>Yes</t>
        </is>
      </c>
      <c r="I280" t="inlineStr">
        <is>
          <t>Yes</t>
        </is>
      </c>
      <c r="J280" t="inlineStr">
        <is>
          <t>Yes</t>
        </is>
      </c>
    </row>
    <row r="281">
      <c r="A281" t="inlineStr">
        <is>
          <t>FFY2025</t>
        </is>
      </c>
      <c r="B281" t="inlineStr">
        <is>
          <t>FHWA Obligation</t>
        </is>
      </c>
      <c r="C281" t="inlineStr">
        <is>
          <t>04-18-0006</t>
        </is>
      </c>
      <c r="D281" t="inlineStr">
        <is>
          <t>Armitage Avenue Reconstruction</t>
        </is>
      </c>
      <c r="E281" t="inlineStr">
        <is>
          <t>Road Maintenance</t>
        </is>
      </c>
      <c r="F281" t="inlineStr">
        <is>
          <t>Melrose Park</t>
        </is>
      </c>
      <c r="G281" s="5" t="n">
        <v>321199</v>
      </c>
      <c r="H281" t="inlineStr">
        <is>
          <t>Yes</t>
        </is>
      </c>
      <c r="I281" t="inlineStr">
        <is>
          <t>Yes</t>
        </is>
      </c>
      <c r="J281" t="inlineStr">
        <is>
          <t>Yes</t>
        </is>
      </c>
    </row>
    <row r="282">
      <c r="A282" t="inlineStr">
        <is>
          <t>FFY2025</t>
        </is>
      </c>
      <c r="B282" t="inlineStr">
        <is>
          <t>FHWA Obligation</t>
        </is>
      </c>
      <c r="C282" t="inlineStr">
        <is>
          <t>04-19-0014</t>
        </is>
      </c>
      <c r="D282" t="inlineStr">
        <is>
          <t>1) Ill 64 North Ave - I-294 (Tri-State Tollway) DuPage Co Line, 2) Ill 64 N Frontage Rd - 7th Ave (Hospital Entrance) to 5th Ave, 3) Ill 64 North Ave - 25th Ave to 5th Ave; 4) 5th Ave - N River Rd to Ill 64 (North Ave)</t>
        </is>
      </c>
      <c r="E282" t="inlineStr">
        <is>
          <t>Road Maintenance</t>
        </is>
      </c>
      <c r="F282" t="inlineStr">
        <is>
          <t>Melrose Park</t>
        </is>
      </c>
      <c r="G282" s="5" t="n">
        <v>1360000</v>
      </c>
      <c r="H282" t="inlineStr">
        <is>
          <t>Yes</t>
        </is>
      </c>
      <c r="I282" t="inlineStr">
        <is>
          <t>Yes</t>
        </is>
      </c>
      <c r="J282" t="inlineStr">
        <is>
          <t>No</t>
        </is>
      </c>
    </row>
    <row r="283">
      <c r="A283" t="inlineStr">
        <is>
          <t>FFY2025</t>
        </is>
      </c>
      <c r="B283" t="inlineStr">
        <is>
          <t>FHWA Obligation</t>
        </is>
      </c>
      <c r="C283" t="inlineStr">
        <is>
          <t>04-20-0032</t>
        </is>
      </c>
      <c r="D283" t="inlineStr">
        <is>
          <t>9th Avenue LAFO - Main Street to Chicago Avenue</t>
        </is>
      </c>
      <c r="E283" t="inlineStr">
        <is>
          <t>Road Maintenance</t>
        </is>
      </c>
      <c r="F283" t="inlineStr">
        <is>
          <t>Melrose Park</t>
        </is>
      </c>
      <c r="G283" s="5" t="n">
        <v>42462</v>
      </c>
      <c r="H283" t="inlineStr">
        <is>
          <t>Yes</t>
        </is>
      </c>
      <c r="I283" t="inlineStr">
        <is>
          <t>Yes</t>
        </is>
      </c>
      <c r="J283" t="inlineStr">
        <is>
          <t>Yes</t>
        </is>
      </c>
    </row>
    <row r="284">
      <c r="A284" t="inlineStr">
        <is>
          <t>FFY2025</t>
        </is>
      </c>
      <c r="B284" t="inlineStr">
        <is>
          <t>FHWA Obligation</t>
        </is>
      </c>
      <c r="C284" t="inlineStr">
        <is>
          <t>04-20-0032</t>
        </is>
      </c>
      <c r="D284" t="inlineStr">
        <is>
          <t>9th Avenue LAFO - Main Street to Chicago Avenue</t>
        </is>
      </c>
      <c r="E284" t="inlineStr">
        <is>
          <t>Road Maintenance</t>
        </is>
      </c>
      <c r="F284" t="inlineStr">
        <is>
          <t>Melrose Park</t>
        </is>
      </c>
      <c r="G284" s="5" t="n">
        <v>433538</v>
      </c>
      <c r="H284" t="inlineStr">
        <is>
          <t>Yes</t>
        </is>
      </c>
      <c r="I284" t="inlineStr">
        <is>
          <t>Yes</t>
        </is>
      </c>
      <c r="J284" t="inlineStr">
        <is>
          <t>Yes</t>
        </is>
      </c>
    </row>
    <row r="285">
      <c r="A285" t="inlineStr">
        <is>
          <t>FFY2025</t>
        </is>
      </c>
      <c r="B285" t="inlineStr">
        <is>
          <t>FHWA Obligation</t>
        </is>
      </c>
      <c r="C285" t="inlineStr">
        <is>
          <t>05-16-0007</t>
        </is>
      </c>
      <c r="D285" t="inlineStr">
        <is>
          <t>IL 56 from IL 59 to IL 50; Cermak Rd./22nd St., Renaissance Blvd (West of) to IL 50 (Cicero Ave.)</t>
        </is>
      </c>
      <c r="E285" t="inlineStr">
        <is>
          <t>Road Maintenance</t>
        </is>
      </c>
      <c r="F285" t="inlineStr">
        <is>
          <t>Melrose Park</t>
        </is>
      </c>
      <c r="G285" s="5" t="n">
        <v>116074</v>
      </c>
      <c r="H285" t="inlineStr">
        <is>
          <t>No</t>
        </is>
      </c>
      <c r="I285" t="inlineStr">
        <is>
          <t>No</t>
        </is>
      </c>
      <c r="J285" t="inlineStr">
        <is>
          <t>No</t>
        </is>
      </c>
    </row>
    <row r="286">
      <c r="A286" t="inlineStr">
        <is>
          <t>FFY2025</t>
        </is>
      </c>
      <c r="B286" t="inlineStr">
        <is>
          <t>FHWA Obligation</t>
        </is>
      </c>
      <c r="C286" t="inlineStr">
        <is>
          <t>05-16-0007</t>
        </is>
      </c>
      <c r="D286" t="inlineStr">
        <is>
          <t>IL 56 from IL 59 to IL 50; Cermak Rd./22nd St., Renaissance Blvd (West of) to IL 50 (Cicero Ave.)</t>
        </is>
      </c>
      <c r="E286" t="inlineStr">
        <is>
          <t>Road Maintenance</t>
        </is>
      </c>
      <c r="F286" t="inlineStr">
        <is>
          <t>Melrose Park</t>
        </is>
      </c>
      <c r="G286" s="5" t="n">
        <v>16038095</v>
      </c>
      <c r="H286" t="inlineStr">
        <is>
          <t>No</t>
        </is>
      </c>
      <c r="I286" t="inlineStr">
        <is>
          <t>No</t>
        </is>
      </c>
      <c r="J286" t="inlineStr">
        <is>
          <t>No</t>
        </is>
      </c>
    </row>
    <row r="287">
      <c r="A287" t="inlineStr">
        <is>
          <t>FFY2025</t>
        </is>
      </c>
      <c r="B287" t="inlineStr">
        <is>
          <t>AC Authorization</t>
        </is>
      </c>
      <c r="C287" t="inlineStr">
        <is>
          <t>07-19-0032</t>
        </is>
      </c>
      <c r="D287" t="inlineStr">
        <is>
          <t>Midlothian Metra Station Access Improvements</t>
        </is>
      </c>
      <c r="E287" t="inlineStr">
        <is>
          <t>Bicycle &amp; Pedestrian</t>
        </is>
      </c>
      <c r="F287" t="inlineStr">
        <is>
          <t>Midlothian</t>
        </is>
      </c>
      <c r="G287" s="5" t="n">
        <v>91200</v>
      </c>
      <c r="H287" t="inlineStr">
        <is>
          <t>Yes</t>
        </is>
      </c>
      <c r="I287" t="inlineStr">
        <is>
          <t>Yes</t>
        </is>
      </c>
      <c r="J287" t="inlineStr">
        <is>
          <t>No</t>
        </is>
      </c>
    </row>
    <row r="288">
      <c r="A288" t="inlineStr">
        <is>
          <t>FFY2025</t>
        </is>
      </c>
      <c r="B288" t="inlineStr">
        <is>
          <t>AC Authorization</t>
        </is>
      </c>
      <c r="C288" t="inlineStr">
        <is>
          <t>07-23-0004</t>
        </is>
      </c>
      <c r="D288" t="inlineStr">
        <is>
          <t>Natalie Creek Trail Project</t>
        </is>
      </c>
      <c r="E288" t="inlineStr">
        <is>
          <t>Bicycle &amp; Pedestrian</t>
        </is>
      </c>
      <c r="F288" t="inlineStr">
        <is>
          <t>Midlothian</t>
        </is>
      </c>
      <c r="G288" s="5" t="n">
        <v>766440</v>
      </c>
      <c r="H288" t="inlineStr">
        <is>
          <t>Yes</t>
        </is>
      </c>
      <c r="I288" t="inlineStr">
        <is>
          <t>Yes</t>
        </is>
      </c>
      <c r="J288" t="inlineStr">
        <is>
          <t>No</t>
        </is>
      </c>
    </row>
    <row r="289">
      <c r="A289" t="inlineStr">
        <is>
          <t>FFY2025</t>
        </is>
      </c>
      <c r="B289" t="inlineStr">
        <is>
          <t>FHWA Obligation</t>
        </is>
      </c>
      <c r="C289" t="inlineStr">
        <is>
          <t>07-22-0082</t>
        </is>
      </c>
      <c r="D289" t="inlineStr">
        <is>
          <t>Ill 50 Cicero Ave - Ill 83 (147th St) to 157th St</t>
        </is>
      </c>
      <c r="E289" t="inlineStr">
        <is>
          <t>Road Maintenance</t>
        </is>
      </c>
      <c r="F289" t="inlineStr">
        <is>
          <t>Midlothian</t>
        </is>
      </c>
      <c r="G289" s="5" t="n">
        <v>1280000</v>
      </c>
      <c r="H289" t="inlineStr">
        <is>
          <t>Yes</t>
        </is>
      </c>
      <c r="I289" t="inlineStr">
        <is>
          <t>Yes</t>
        </is>
      </c>
      <c r="J289" t="inlineStr">
        <is>
          <t>No</t>
        </is>
      </c>
    </row>
    <row r="290">
      <c r="A290" t="inlineStr">
        <is>
          <t>FFY2025</t>
        </is>
      </c>
      <c r="B290" t="inlineStr">
        <is>
          <t>FHWA Obligation</t>
        </is>
      </c>
      <c r="C290" t="inlineStr">
        <is>
          <t>01-16-0023</t>
        </is>
      </c>
      <c r="D290" t="inlineStr">
        <is>
          <t>US 41(Skokie Hwy.)/I-94 (Edens Expy.), IL 173 to I-90 (Kennedy Expy.)/I-94 (Edens Expy.)</t>
        </is>
      </c>
      <c r="E290" t="inlineStr">
        <is>
          <t>Intelligent Transportation Systems</t>
        </is>
      </c>
      <c r="F290" t="inlineStr">
        <is>
          <t>Morton Grove</t>
        </is>
      </c>
      <c r="G290" s="5" t="n">
        <v>145648</v>
      </c>
      <c r="H290" t="inlineStr">
        <is>
          <t>No</t>
        </is>
      </c>
      <c r="I290" t="inlineStr">
        <is>
          <t>No</t>
        </is>
      </c>
      <c r="J290" t="inlineStr">
        <is>
          <t>Yes</t>
        </is>
      </c>
    </row>
    <row r="291">
      <c r="A291" t="inlineStr">
        <is>
          <t>FFY2025</t>
        </is>
      </c>
      <c r="B291" t="inlineStr">
        <is>
          <t>FHWA Obligation</t>
        </is>
      </c>
      <c r="C291" t="inlineStr">
        <is>
          <t>01-16-0023</t>
        </is>
      </c>
      <c r="D291" t="inlineStr">
        <is>
          <t>US 41(Skokie Hwy.)/I-94 (Edens Expy.), IL 173 to I-90 (Kennedy Expy.)/I-94 (Edens Expy.)</t>
        </is>
      </c>
      <c r="E291" t="inlineStr">
        <is>
          <t>Intelligent Transportation Systems</t>
        </is>
      </c>
      <c r="F291" t="inlineStr">
        <is>
          <t>Morton Grove</t>
        </is>
      </c>
      <c r="G291" s="5" t="n">
        <v>1956539</v>
      </c>
      <c r="H291" t="inlineStr">
        <is>
          <t>No</t>
        </is>
      </c>
      <c r="I291" t="inlineStr">
        <is>
          <t>No</t>
        </is>
      </c>
      <c r="J291" t="inlineStr">
        <is>
          <t>Yes</t>
        </is>
      </c>
    </row>
    <row r="292">
      <c r="A292" t="inlineStr">
        <is>
          <t>FFY2025</t>
        </is>
      </c>
      <c r="B292" t="inlineStr">
        <is>
          <t>AC Authorization</t>
        </is>
      </c>
      <c r="C292" t="inlineStr">
        <is>
          <t>02-25-0005</t>
        </is>
      </c>
      <c r="D292" t="inlineStr">
        <is>
          <t>Beckwith Road from Shermer Road to Austin Avenue</t>
        </is>
      </c>
      <c r="E292" t="inlineStr">
        <is>
          <t>Road Maintenance</t>
        </is>
      </c>
      <c r="F292" t="inlineStr">
        <is>
          <t>Morton Grove</t>
        </is>
      </c>
      <c r="G292" s="5" t="n">
        <v>1755525</v>
      </c>
      <c r="H292" t="inlineStr">
        <is>
          <t>No</t>
        </is>
      </c>
      <c r="I292" t="inlineStr">
        <is>
          <t>No</t>
        </is>
      </c>
      <c r="J292" t="inlineStr">
        <is>
          <t>No</t>
        </is>
      </c>
    </row>
    <row r="293">
      <c r="A293" t="inlineStr">
        <is>
          <t>FFY2025</t>
        </is>
      </c>
      <c r="B293" t="inlineStr">
        <is>
          <t>AC Authorization</t>
        </is>
      </c>
      <c r="C293" t="inlineStr">
        <is>
          <t>02-25-0006</t>
        </is>
      </c>
      <c r="D293" t="inlineStr">
        <is>
          <t>Gross Point Road from Oakton Street to Main Street</t>
        </is>
      </c>
      <c r="E293" t="inlineStr">
        <is>
          <t>Road Maintenance</t>
        </is>
      </c>
      <c r="F293" t="inlineStr">
        <is>
          <t>Morton Grove</t>
        </is>
      </c>
      <c r="G293" s="5" t="n">
        <v>906558</v>
      </c>
      <c r="H293" t="inlineStr">
        <is>
          <t>No</t>
        </is>
      </c>
      <c r="I293" t="inlineStr">
        <is>
          <t>No</t>
        </is>
      </c>
      <c r="J293" t="inlineStr">
        <is>
          <t>No</t>
        </is>
      </c>
    </row>
    <row r="294">
      <c r="A294" t="inlineStr">
        <is>
          <t>FFY2025</t>
        </is>
      </c>
      <c r="B294" t="inlineStr">
        <is>
          <t>AC Authorization</t>
        </is>
      </c>
      <c r="C294" t="inlineStr">
        <is>
          <t>02-25-0007</t>
        </is>
      </c>
      <c r="D294" t="inlineStr">
        <is>
          <t>Central Avenue from Dempster Street to Golf Road</t>
        </is>
      </c>
      <c r="E294" t="inlineStr">
        <is>
          <t>Road Maintenance</t>
        </is>
      </c>
      <c r="F294" t="inlineStr">
        <is>
          <t>Morton Grove</t>
        </is>
      </c>
      <c r="G294" s="5" t="n">
        <v>498556</v>
      </c>
      <c r="H294" t="inlineStr">
        <is>
          <t>No</t>
        </is>
      </c>
      <c r="I294" t="inlineStr">
        <is>
          <t>No</t>
        </is>
      </c>
      <c r="J294" t="inlineStr">
        <is>
          <t>No</t>
        </is>
      </c>
    </row>
    <row r="295">
      <c r="A295" t="inlineStr">
        <is>
          <t>FFY2025</t>
        </is>
      </c>
      <c r="B295" t="inlineStr">
        <is>
          <t>AC Authorization</t>
        </is>
      </c>
      <c r="C295" t="inlineStr">
        <is>
          <t>02-25-0007</t>
        </is>
      </c>
      <c r="D295" t="inlineStr">
        <is>
          <t>Central Avenue from Dempster Street to Golf Road</t>
        </is>
      </c>
      <c r="E295" t="inlineStr">
        <is>
          <t>Road Maintenance</t>
        </is>
      </c>
      <c r="F295" t="inlineStr">
        <is>
          <t>Morton Grove</t>
        </is>
      </c>
      <c r="G295" s="5" t="n">
        <v>725444</v>
      </c>
      <c r="H295" t="inlineStr">
        <is>
          <t>No</t>
        </is>
      </c>
      <c r="I295" t="inlineStr">
        <is>
          <t>No</t>
        </is>
      </c>
      <c r="J295" t="inlineStr">
        <is>
          <t>No</t>
        </is>
      </c>
    </row>
    <row r="296">
      <c r="A296" t="inlineStr">
        <is>
          <t>FFY2025</t>
        </is>
      </c>
      <c r="B296" t="inlineStr">
        <is>
          <t>AC Authorization</t>
        </is>
      </c>
      <c r="C296" t="inlineStr">
        <is>
          <t>02-25-0008</t>
        </is>
      </c>
      <c r="D296" t="inlineStr">
        <is>
          <t>Shermer Road from Harlem Avenue to Golf Road</t>
        </is>
      </c>
      <c r="E296" t="inlineStr">
        <is>
          <t>Road Maintenance</t>
        </is>
      </c>
      <c r="F296" t="inlineStr">
        <is>
          <t>Morton Grove</t>
        </is>
      </c>
      <c r="G296" s="5" t="n">
        <v>908838</v>
      </c>
      <c r="H296" t="inlineStr">
        <is>
          <t>No</t>
        </is>
      </c>
      <c r="I296" t="inlineStr">
        <is>
          <t>No</t>
        </is>
      </c>
      <c r="J296" t="inlineStr">
        <is>
          <t>Yes</t>
        </is>
      </c>
    </row>
    <row r="297">
      <c r="A297" t="inlineStr">
        <is>
          <t>FFY2025</t>
        </is>
      </c>
      <c r="B297" t="inlineStr">
        <is>
          <t>FHWA Obligation</t>
        </is>
      </c>
      <c r="C297" t="inlineStr">
        <is>
          <t>02-13-0002</t>
        </is>
      </c>
      <c r="D297" t="inlineStr">
        <is>
          <t>Austin Ave. from Lincoln Ave. to Oakton St.</t>
        </is>
      </c>
      <c r="E297" t="inlineStr">
        <is>
          <t>Road Maintenance</t>
        </is>
      </c>
      <c r="F297" t="inlineStr">
        <is>
          <t>Morton Grove</t>
        </is>
      </c>
      <c r="G297" s="5" t="n">
        <v>44680</v>
      </c>
      <c r="H297" t="inlineStr">
        <is>
          <t>No</t>
        </is>
      </c>
      <c r="I297" t="inlineStr">
        <is>
          <t>No</t>
        </is>
      </c>
      <c r="J297" t="inlineStr">
        <is>
          <t>No</t>
        </is>
      </c>
    </row>
    <row r="298">
      <c r="A298" t="inlineStr">
        <is>
          <t>FFY2025</t>
        </is>
      </c>
      <c r="B298" t="inlineStr">
        <is>
          <t>FHWA Obligation</t>
        </is>
      </c>
      <c r="C298" t="inlineStr">
        <is>
          <t>10-23-0030</t>
        </is>
      </c>
      <c r="D298" t="inlineStr">
        <is>
          <t>US 41/I-94 Skokie Hwy - Park Ave W to I- 90/94 (Kennedy Edens Junction)</t>
        </is>
      </c>
      <c r="E298" t="inlineStr">
        <is>
          <t>Safety</t>
        </is>
      </c>
      <c r="F298" t="inlineStr">
        <is>
          <t>Morton Grove</t>
        </is>
      </c>
      <c r="G298" s="5" t="n">
        <v>9188952</v>
      </c>
      <c r="H298" t="inlineStr">
        <is>
          <t>No</t>
        </is>
      </c>
      <c r="I298" t="inlineStr">
        <is>
          <t>No</t>
        </is>
      </c>
      <c r="J298" t="inlineStr">
        <is>
          <t>Yes</t>
        </is>
      </c>
    </row>
    <row r="299">
      <c r="A299" t="inlineStr">
        <is>
          <t>FFY2025</t>
        </is>
      </c>
      <c r="B299" t="inlineStr">
        <is>
          <t>AC Authorization</t>
        </is>
      </c>
      <c r="C299" t="inlineStr">
        <is>
          <t>03-21-0007</t>
        </is>
      </c>
      <c r="D299" t="inlineStr">
        <is>
          <t>Algonquin Road Bike Path from Dearborn Ct to Elmhurst Rd</t>
        </is>
      </c>
      <c r="E299" t="inlineStr">
        <is>
          <t>Bicycle &amp; Pedestrian</t>
        </is>
      </c>
      <c r="F299" t="inlineStr">
        <is>
          <t>Mount Prospect</t>
        </is>
      </c>
      <c r="G299" s="5" t="n">
        <v>196470</v>
      </c>
      <c r="H299" t="inlineStr">
        <is>
          <t>Yes</t>
        </is>
      </c>
      <c r="I299" t="inlineStr">
        <is>
          <t>No</t>
        </is>
      </c>
      <c r="J299" t="inlineStr">
        <is>
          <t>Yes</t>
        </is>
      </c>
    </row>
    <row r="300">
      <c r="A300" t="inlineStr">
        <is>
          <t>FFY2025</t>
        </is>
      </c>
      <c r="B300" t="inlineStr">
        <is>
          <t>AC Authorization</t>
        </is>
      </c>
      <c r="C300" t="inlineStr">
        <is>
          <t>03-23-0036</t>
        </is>
      </c>
      <c r="D300" t="inlineStr">
        <is>
          <t>Melas-Meadows Pedestrian Bridge</t>
        </is>
      </c>
      <c r="E300" t="inlineStr">
        <is>
          <t>Bicycle &amp; Pedestrian</t>
        </is>
      </c>
      <c r="F300" t="inlineStr">
        <is>
          <t>Mount Prospect</t>
        </is>
      </c>
      <c r="G300" s="5" t="n">
        <v>517400</v>
      </c>
      <c r="H300" t="inlineStr">
        <is>
          <t>Yes</t>
        </is>
      </c>
      <c r="I300" t="inlineStr">
        <is>
          <t>Yes</t>
        </is>
      </c>
      <c r="J300" t="inlineStr">
        <is>
          <t>Yes</t>
        </is>
      </c>
    </row>
    <row r="301">
      <c r="A301" t="inlineStr">
        <is>
          <t>FFY2025</t>
        </is>
      </c>
      <c r="B301" t="inlineStr">
        <is>
          <t>FHWA Obligation</t>
        </is>
      </c>
      <c r="C301" t="inlineStr">
        <is>
          <t>03-23-0036</t>
        </is>
      </c>
      <c r="D301" t="inlineStr">
        <is>
          <t>Melas-Meadows Pedestrian Bridge</t>
        </is>
      </c>
      <c r="E301" t="inlineStr">
        <is>
          <t>Bicycle &amp; Pedestrian</t>
        </is>
      </c>
      <c r="F301" t="inlineStr">
        <is>
          <t>Mount Prospect</t>
        </is>
      </c>
      <c r="G301" s="5" t="n">
        <v>517400</v>
      </c>
      <c r="H301" t="inlineStr">
        <is>
          <t>Yes</t>
        </is>
      </c>
      <c r="I301" t="inlineStr">
        <is>
          <t>Yes</t>
        </is>
      </c>
      <c r="J301" t="inlineStr">
        <is>
          <t>Yes</t>
        </is>
      </c>
    </row>
    <row r="302">
      <c r="A302" t="inlineStr">
        <is>
          <t>FFY2025</t>
        </is>
      </c>
      <c r="B302" t="inlineStr">
        <is>
          <t>AC Authorization</t>
        </is>
      </c>
      <c r="C302" t="inlineStr">
        <is>
          <t>03-20-0050</t>
        </is>
      </c>
      <c r="D302" t="inlineStr">
        <is>
          <t>Rand Rd-IL 83-Kensington Rd Intersection Improvements</t>
        </is>
      </c>
      <c r="E302" t="inlineStr">
        <is>
          <t>Intersection/Interchange Improvements</t>
        </is>
      </c>
      <c r="F302" t="inlineStr">
        <is>
          <t>Mount Prospect</t>
        </is>
      </c>
      <c r="G302" s="5" t="n">
        <v>1685060</v>
      </c>
      <c r="H302" t="inlineStr">
        <is>
          <t>Yes</t>
        </is>
      </c>
      <c r="I302" t="inlineStr">
        <is>
          <t>Yes</t>
        </is>
      </c>
      <c r="J302" t="inlineStr">
        <is>
          <t>Yes</t>
        </is>
      </c>
    </row>
    <row r="303">
      <c r="A303" t="inlineStr">
        <is>
          <t>FFY2025</t>
        </is>
      </c>
      <c r="B303" t="inlineStr">
        <is>
          <t>AC Authorization</t>
        </is>
      </c>
      <c r="C303" t="inlineStr">
        <is>
          <t>03-20-0050</t>
        </is>
      </c>
      <c r="D303" t="inlineStr">
        <is>
          <t>Rand Rd-IL 83-Kensington Rd Intersection Improvements</t>
        </is>
      </c>
      <c r="E303" t="inlineStr">
        <is>
          <t>Intersection/Interchange Improvements</t>
        </is>
      </c>
      <c r="F303" t="inlineStr">
        <is>
          <t>Mount Prospect</t>
        </is>
      </c>
      <c r="G303" s="5" t="n">
        <v>114940</v>
      </c>
      <c r="H303" t="inlineStr">
        <is>
          <t>Yes</t>
        </is>
      </c>
      <c r="I303" t="inlineStr">
        <is>
          <t>Yes</t>
        </is>
      </c>
      <c r="J303" t="inlineStr">
        <is>
          <t>Yes</t>
        </is>
      </c>
    </row>
    <row r="304">
      <c r="A304" t="inlineStr">
        <is>
          <t>FFY2025</t>
        </is>
      </c>
      <c r="B304" t="inlineStr">
        <is>
          <t>FHWA Obligation</t>
        </is>
      </c>
      <c r="C304" t="inlineStr">
        <is>
          <t>03-19-0011</t>
        </is>
      </c>
      <c r="D304" t="inlineStr">
        <is>
          <t>Rand-Central-Mount Prospect Road Intersections</t>
        </is>
      </c>
      <c r="E304" t="inlineStr">
        <is>
          <t>Intersection/Interchange Improvements</t>
        </is>
      </c>
      <c r="F304" t="inlineStr">
        <is>
          <t>Mount Prospect</t>
        </is>
      </c>
      <c r="G304" s="5" t="n">
        <v>125381</v>
      </c>
      <c r="H304" t="inlineStr">
        <is>
          <t>Yes</t>
        </is>
      </c>
      <c r="I304" t="inlineStr">
        <is>
          <t>Yes</t>
        </is>
      </c>
      <c r="J304" t="inlineStr">
        <is>
          <t>No</t>
        </is>
      </c>
    </row>
    <row r="305">
      <c r="A305" t="inlineStr">
        <is>
          <t>FFY2025</t>
        </is>
      </c>
      <c r="B305" t="inlineStr">
        <is>
          <t>FHWA Obligation</t>
        </is>
      </c>
      <c r="C305" t="inlineStr">
        <is>
          <t>03-19-0011</t>
        </is>
      </c>
      <c r="D305" t="inlineStr">
        <is>
          <t>Rand-Central-Mount Prospect Road Intersections</t>
        </is>
      </c>
      <c r="E305" t="inlineStr">
        <is>
          <t>Intersection/Interchange Improvements</t>
        </is>
      </c>
      <c r="F305" t="inlineStr">
        <is>
          <t>Mount Prospect</t>
        </is>
      </c>
      <c r="G305" s="5" t="n">
        <v>885901</v>
      </c>
      <c r="H305" t="inlineStr">
        <is>
          <t>Yes</t>
        </is>
      </c>
      <c r="I305" t="inlineStr">
        <is>
          <t>Yes</t>
        </is>
      </c>
      <c r="J305" t="inlineStr">
        <is>
          <t>No</t>
        </is>
      </c>
    </row>
    <row r="306">
      <c r="A306" t="inlineStr">
        <is>
          <t>FFY2025</t>
        </is>
      </c>
      <c r="B306" t="inlineStr">
        <is>
          <t>FHWA Obligation</t>
        </is>
      </c>
      <c r="C306" t="inlineStr">
        <is>
          <t>03-20-0050</t>
        </is>
      </c>
      <c r="D306" t="inlineStr">
        <is>
          <t>Rand Rd-IL 83-Kensington Rd Intersection Improvements</t>
        </is>
      </c>
      <c r="E306" t="inlineStr">
        <is>
          <t>Intersection/Interchange Improvements</t>
        </is>
      </c>
      <c r="F306" t="inlineStr">
        <is>
          <t>Mount Prospect</t>
        </is>
      </c>
      <c r="G306" s="5" t="n">
        <v>1685060</v>
      </c>
      <c r="H306" t="inlineStr">
        <is>
          <t>Yes</t>
        </is>
      </c>
      <c r="I306" t="inlineStr">
        <is>
          <t>Yes</t>
        </is>
      </c>
      <c r="J306" t="inlineStr">
        <is>
          <t>Yes</t>
        </is>
      </c>
    </row>
    <row r="307">
      <c r="A307" t="inlineStr">
        <is>
          <t>FFY2025</t>
        </is>
      </c>
      <c r="B307" t="inlineStr">
        <is>
          <t>AC Authorization</t>
        </is>
      </c>
      <c r="C307" t="inlineStr">
        <is>
          <t>03-22-0028</t>
        </is>
      </c>
      <c r="D307" t="inlineStr">
        <is>
          <t>Schoenbeck Rd from Camp McDonald Rd to US 12 Rand Rd</t>
        </is>
      </c>
      <c r="E307" t="inlineStr">
        <is>
          <t>Road Maintenance</t>
        </is>
      </c>
      <c r="F307" t="inlineStr">
        <is>
          <t>Mount Prospect</t>
        </is>
      </c>
      <c r="G307" s="5" t="n">
        <v>1478400</v>
      </c>
      <c r="H307" t="inlineStr">
        <is>
          <t>Yes</t>
        </is>
      </c>
      <c r="I307" t="inlineStr">
        <is>
          <t>No</t>
        </is>
      </c>
      <c r="J307" t="inlineStr">
        <is>
          <t>Yes</t>
        </is>
      </c>
    </row>
    <row r="308">
      <c r="A308" t="inlineStr">
        <is>
          <t>FFY2025</t>
        </is>
      </c>
      <c r="B308" t="inlineStr">
        <is>
          <t>FHWA Obligation</t>
        </is>
      </c>
      <c r="C308" t="inlineStr">
        <is>
          <t>03-23-0038</t>
        </is>
      </c>
      <c r="D308" t="inlineStr">
        <is>
          <t>Ill 83 Oakton St - Ill 72 (Higgins Rd) to W of Elmhurst Rd</t>
        </is>
      </c>
      <c r="E308" t="inlineStr">
        <is>
          <t>Road Maintenance</t>
        </is>
      </c>
      <c r="F308" t="inlineStr">
        <is>
          <t>Mount Prospect</t>
        </is>
      </c>
      <c r="G308" s="5" t="n">
        <v>650817</v>
      </c>
      <c r="H308" t="inlineStr">
        <is>
          <t>No</t>
        </is>
      </c>
      <c r="I308" t="inlineStr">
        <is>
          <t>No</t>
        </is>
      </c>
      <c r="J308" t="inlineStr">
        <is>
          <t>No</t>
        </is>
      </c>
    </row>
    <row r="309">
      <c r="A309" t="inlineStr">
        <is>
          <t>FFY2025</t>
        </is>
      </c>
      <c r="B309" t="inlineStr">
        <is>
          <t>FHWA Obligation</t>
        </is>
      </c>
      <c r="C309" t="inlineStr">
        <is>
          <t>03-22-0015</t>
        </is>
      </c>
      <c r="D309" t="inlineStr">
        <is>
          <t>Ill 21 Milwaukee Ave - At US 14 (Dempster St)</t>
        </is>
      </c>
      <c r="E309" t="inlineStr">
        <is>
          <t>Bridge Routine Maintenance</t>
        </is>
      </c>
      <c r="F309" t="inlineStr">
        <is>
          <t>Niles</t>
        </is>
      </c>
      <c r="G309" s="5" t="n">
        <v>1516633</v>
      </c>
      <c r="H309" t="inlineStr">
        <is>
          <t>No</t>
        </is>
      </c>
      <c r="I309" t="inlineStr">
        <is>
          <t>No</t>
        </is>
      </c>
      <c r="J309" t="inlineStr">
        <is>
          <t>No</t>
        </is>
      </c>
    </row>
    <row r="310">
      <c r="A310" t="inlineStr">
        <is>
          <t>FFY2025</t>
        </is>
      </c>
      <c r="B310" t="inlineStr">
        <is>
          <t>FHWA Obligation</t>
        </is>
      </c>
      <c r="C310" t="inlineStr">
        <is>
          <t>04-17-0011</t>
        </is>
      </c>
      <c r="D310" t="inlineStr">
        <is>
          <t>Des Plaines River Trail from Touhy to North Avenue</t>
        </is>
      </c>
      <c r="E310" t="inlineStr">
        <is>
          <t>Bicycle &amp; Pedestrian</t>
        </is>
      </c>
      <c r="F310" t="inlineStr">
        <is>
          <t>Norridge</t>
        </is>
      </c>
      <c r="G310" s="5" t="n">
        <v>2524900</v>
      </c>
      <c r="H310" t="inlineStr">
        <is>
          <t>Yes</t>
        </is>
      </c>
      <c r="I310" t="inlineStr">
        <is>
          <t>No</t>
        </is>
      </c>
      <c r="J310" t="inlineStr">
        <is>
          <t>No</t>
        </is>
      </c>
    </row>
    <row r="311">
      <c r="A311" t="inlineStr">
        <is>
          <t>FFY2025</t>
        </is>
      </c>
      <c r="B311" t="inlineStr">
        <is>
          <t>FHWA Obligation</t>
        </is>
      </c>
      <c r="C311" t="inlineStr">
        <is>
          <t>04-17-0011</t>
        </is>
      </c>
      <c r="D311" t="inlineStr">
        <is>
          <t>Des Plaines River Trail from Touhy to North Avenue</t>
        </is>
      </c>
      <c r="E311" t="inlineStr">
        <is>
          <t>Bicycle &amp; Pedestrian</t>
        </is>
      </c>
      <c r="F311" t="inlineStr">
        <is>
          <t>Norridge</t>
        </is>
      </c>
      <c r="G311" s="5" t="n">
        <v>257400</v>
      </c>
      <c r="H311" t="inlineStr">
        <is>
          <t>Yes</t>
        </is>
      </c>
      <c r="I311" t="inlineStr">
        <is>
          <t>No</t>
        </is>
      </c>
      <c r="J311" t="inlineStr">
        <is>
          <t>No</t>
        </is>
      </c>
    </row>
    <row r="312">
      <c r="A312" t="inlineStr">
        <is>
          <t>FFY2025</t>
        </is>
      </c>
      <c r="B312" t="inlineStr">
        <is>
          <t>FHWA Obligation</t>
        </is>
      </c>
      <c r="C312" t="inlineStr">
        <is>
          <t>04-17-0011</t>
        </is>
      </c>
      <c r="D312" t="inlineStr">
        <is>
          <t>Des Plaines River Trail from Touhy to North Avenue</t>
        </is>
      </c>
      <c r="E312" t="inlineStr">
        <is>
          <t>Bicycle &amp; Pedestrian</t>
        </is>
      </c>
      <c r="F312" t="inlineStr">
        <is>
          <t>Norridge</t>
        </is>
      </c>
      <c r="G312" s="5" t="n">
        <v>163300</v>
      </c>
      <c r="H312" t="inlineStr">
        <is>
          <t>Yes</t>
        </is>
      </c>
      <c r="I312" t="inlineStr">
        <is>
          <t>No</t>
        </is>
      </c>
      <c r="J312" t="inlineStr">
        <is>
          <t>No</t>
        </is>
      </c>
    </row>
    <row r="313">
      <c r="A313" t="inlineStr">
        <is>
          <t>FFY2025</t>
        </is>
      </c>
      <c r="B313" t="inlineStr">
        <is>
          <t>FHWA Obligation</t>
        </is>
      </c>
      <c r="C313" t="inlineStr">
        <is>
          <t>04-22-0044</t>
        </is>
      </c>
      <c r="D313" t="inlineStr">
        <is>
          <t>26th St - At Des Plaines River</t>
        </is>
      </c>
      <c r="E313" t="inlineStr">
        <is>
          <t>Bridge Routine Maintenance</t>
        </is>
      </c>
      <c r="F313" t="inlineStr">
        <is>
          <t>North Riverside</t>
        </is>
      </c>
      <c r="G313" s="5" t="n">
        <v>905939</v>
      </c>
      <c r="H313" t="inlineStr">
        <is>
          <t>No</t>
        </is>
      </c>
      <c r="I313" t="inlineStr">
        <is>
          <t>No</t>
        </is>
      </c>
      <c r="J313" t="inlineStr">
        <is>
          <t>No</t>
        </is>
      </c>
    </row>
    <row r="314">
      <c r="A314" t="inlineStr">
        <is>
          <t>FFY2025</t>
        </is>
      </c>
      <c r="B314" t="inlineStr">
        <is>
          <t>AC Authorization</t>
        </is>
      </c>
      <c r="C314" t="inlineStr">
        <is>
          <t>04-24-0021</t>
        </is>
      </c>
      <c r="D314" t="inlineStr">
        <is>
          <t>17th Ave - Madison St to 23rd St</t>
        </is>
      </c>
      <c r="E314" t="inlineStr">
        <is>
          <t>Road Maintenance</t>
        </is>
      </c>
      <c r="F314" t="inlineStr">
        <is>
          <t>North Riverside</t>
        </is>
      </c>
      <c r="G314" s="5" t="n">
        <v>2400000</v>
      </c>
      <c r="H314" t="inlineStr">
        <is>
          <t>Yes</t>
        </is>
      </c>
      <c r="I314" t="inlineStr">
        <is>
          <t>Yes</t>
        </is>
      </c>
      <c r="J314" t="inlineStr">
        <is>
          <t>No</t>
        </is>
      </c>
    </row>
    <row r="315">
      <c r="A315" t="inlineStr">
        <is>
          <t>FFY2025</t>
        </is>
      </c>
      <c r="B315" t="inlineStr">
        <is>
          <t>AC Authorization</t>
        </is>
      </c>
      <c r="C315" t="inlineStr">
        <is>
          <t>05-16-0007</t>
        </is>
      </c>
      <c r="D315" t="inlineStr">
        <is>
          <t>IL 56 from IL 59 to IL 50; Cermak Rd./22nd St., Renaissance Blvd (West of) to IL 50 (Cicero Ave.)</t>
        </is>
      </c>
      <c r="E315" t="inlineStr">
        <is>
          <t>Road Maintenance</t>
        </is>
      </c>
      <c r="F315" t="inlineStr">
        <is>
          <t>North Riverside</t>
        </is>
      </c>
      <c r="G315" s="5" t="n">
        <v>2913880</v>
      </c>
      <c r="H315" t="inlineStr">
        <is>
          <t>No</t>
        </is>
      </c>
      <c r="I315" t="inlineStr">
        <is>
          <t>No</t>
        </is>
      </c>
      <c r="J315" t="inlineStr">
        <is>
          <t>No</t>
        </is>
      </c>
    </row>
    <row r="316">
      <c r="A316" t="inlineStr">
        <is>
          <t>FFY2025</t>
        </is>
      </c>
      <c r="B316" t="inlineStr">
        <is>
          <t>FHWA Obligation</t>
        </is>
      </c>
      <c r="C316" t="inlineStr">
        <is>
          <t>05-16-0007</t>
        </is>
      </c>
      <c r="D316" t="inlineStr">
        <is>
          <t>IL 56 from IL 59 to IL 50; Cermak Rd./22nd St., Renaissance Blvd (West of) to IL 50 (Cicero Ave.)</t>
        </is>
      </c>
      <c r="E316" t="inlineStr">
        <is>
          <t>Road Maintenance</t>
        </is>
      </c>
      <c r="F316" t="inlineStr">
        <is>
          <t>North Riverside</t>
        </is>
      </c>
      <c r="G316" s="5" t="n">
        <v>116074</v>
      </c>
      <c r="H316" t="inlineStr">
        <is>
          <t>No</t>
        </is>
      </c>
      <c r="I316" t="inlineStr">
        <is>
          <t>No</t>
        </is>
      </c>
      <c r="J316" t="inlineStr">
        <is>
          <t>No</t>
        </is>
      </c>
    </row>
    <row r="317">
      <c r="A317" t="inlineStr">
        <is>
          <t>FFY2025</t>
        </is>
      </c>
      <c r="B317" t="inlineStr">
        <is>
          <t>FHWA Obligation</t>
        </is>
      </c>
      <c r="C317" t="inlineStr">
        <is>
          <t>05-16-0007</t>
        </is>
      </c>
      <c r="D317" t="inlineStr">
        <is>
          <t>IL 56 from IL 59 to IL 50; Cermak Rd./22nd St., Renaissance Blvd (West of) to IL 50 (Cicero Ave.)</t>
        </is>
      </c>
      <c r="E317" t="inlineStr">
        <is>
          <t>Road Maintenance</t>
        </is>
      </c>
      <c r="F317" t="inlineStr">
        <is>
          <t>North Riverside</t>
        </is>
      </c>
      <c r="G317" s="5" t="n">
        <v>16038095</v>
      </c>
      <c r="H317" t="inlineStr">
        <is>
          <t>No</t>
        </is>
      </c>
      <c r="I317" t="inlineStr">
        <is>
          <t>No</t>
        </is>
      </c>
      <c r="J317" t="inlineStr">
        <is>
          <t>No</t>
        </is>
      </c>
    </row>
    <row r="318">
      <c r="A318" t="inlineStr">
        <is>
          <t>FFY2025</t>
        </is>
      </c>
      <c r="B318" t="inlineStr">
        <is>
          <t>FHWA Obligation</t>
        </is>
      </c>
      <c r="C318" t="inlineStr">
        <is>
          <t>04-22-0045</t>
        </is>
      </c>
      <c r="D318" t="inlineStr">
        <is>
          <t>Des Plaines Avenue from 26th Street to Cermak Road</t>
        </is>
      </c>
      <c r="E318" t="inlineStr">
        <is>
          <t>Transportation Enhancements</t>
        </is>
      </c>
      <c r="F318" t="inlineStr">
        <is>
          <t>North Riverside</t>
        </is>
      </c>
      <c r="G318" s="5" t="n">
        <v>691619</v>
      </c>
      <c r="H318" t="inlineStr">
        <is>
          <t>No</t>
        </is>
      </c>
      <c r="I318" t="inlineStr">
        <is>
          <t>No</t>
        </is>
      </c>
      <c r="J318" t="inlineStr">
        <is>
          <t>Yes</t>
        </is>
      </c>
    </row>
    <row r="319">
      <c r="A319" t="inlineStr">
        <is>
          <t>FFY2025</t>
        </is>
      </c>
      <c r="B319" t="inlineStr">
        <is>
          <t>FHWA Obligation</t>
        </is>
      </c>
      <c r="C319" t="inlineStr">
        <is>
          <t>01-16-0023</t>
        </is>
      </c>
      <c r="D319" t="inlineStr">
        <is>
          <t>US 41(Skokie Hwy.)/I-94 (Edens Expy.), IL 173 to I-90 (Kennedy Expy.)/I-94 (Edens Expy.)</t>
        </is>
      </c>
      <c r="E319" t="inlineStr">
        <is>
          <t>Intelligent Transportation Systems</t>
        </is>
      </c>
      <c r="F319" t="inlineStr">
        <is>
          <t>Northbrook</t>
        </is>
      </c>
      <c r="G319" s="5" t="n">
        <v>145648</v>
      </c>
      <c r="H319" t="inlineStr">
        <is>
          <t>No</t>
        </is>
      </c>
      <c r="I319" t="inlineStr">
        <is>
          <t>No</t>
        </is>
      </c>
      <c r="J319" t="inlineStr">
        <is>
          <t>Yes</t>
        </is>
      </c>
    </row>
    <row r="320">
      <c r="A320" t="inlineStr">
        <is>
          <t>FFY2025</t>
        </is>
      </c>
      <c r="B320" t="inlineStr">
        <is>
          <t>FHWA Obligation</t>
        </is>
      </c>
      <c r="C320" t="inlineStr">
        <is>
          <t>01-16-0023</t>
        </is>
      </c>
      <c r="D320" t="inlineStr">
        <is>
          <t>US 41(Skokie Hwy.)/I-94 (Edens Expy.), IL 173 to I-90 (Kennedy Expy.)/I-94 (Edens Expy.)</t>
        </is>
      </c>
      <c r="E320" t="inlineStr">
        <is>
          <t>Intelligent Transportation Systems</t>
        </is>
      </c>
      <c r="F320" t="inlineStr">
        <is>
          <t>Northbrook</t>
        </is>
      </c>
      <c r="G320" s="5" t="n">
        <v>1956539</v>
      </c>
      <c r="H320" t="inlineStr">
        <is>
          <t>No</t>
        </is>
      </c>
      <c r="I320" t="inlineStr">
        <is>
          <t>No</t>
        </is>
      </c>
      <c r="J320" t="inlineStr">
        <is>
          <t>Yes</t>
        </is>
      </c>
    </row>
    <row r="321">
      <c r="A321" t="inlineStr">
        <is>
          <t>FFY2025</t>
        </is>
      </c>
      <c r="B321" t="inlineStr">
        <is>
          <t>FHWA Obligation</t>
        </is>
      </c>
      <c r="C321" t="inlineStr">
        <is>
          <t>02-22-0013</t>
        </is>
      </c>
      <c r="D321" t="inlineStr">
        <is>
          <t>Shermer Road from Willow Rd to Walters Ave</t>
        </is>
      </c>
      <c r="E321" t="inlineStr">
        <is>
          <t>Road Modernization</t>
        </is>
      </c>
      <c r="F321" t="inlineStr">
        <is>
          <t>Northbrook</t>
        </is>
      </c>
      <c r="G321" s="5" t="n">
        <v>3504200</v>
      </c>
      <c r="H321" t="inlineStr">
        <is>
          <t>Yes</t>
        </is>
      </c>
      <c r="I321" t="inlineStr">
        <is>
          <t>Yes</t>
        </is>
      </c>
      <c r="J321" t="inlineStr">
        <is>
          <t>Yes</t>
        </is>
      </c>
    </row>
    <row r="322">
      <c r="A322" t="inlineStr">
        <is>
          <t>FFY2025</t>
        </is>
      </c>
      <c r="B322" t="inlineStr">
        <is>
          <t>FHWA Obligation</t>
        </is>
      </c>
      <c r="C322" t="inlineStr">
        <is>
          <t>10-23-0030</t>
        </is>
      </c>
      <c r="D322" t="inlineStr">
        <is>
          <t>US 41/I-94 Skokie Hwy - Park Ave W to I- 90/94 (Kennedy Edens Junction)</t>
        </is>
      </c>
      <c r="E322" t="inlineStr">
        <is>
          <t>Safety</t>
        </is>
      </c>
      <c r="F322" t="inlineStr">
        <is>
          <t>Northbrook</t>
        </is>
      </c>
      <c r="G322" s="5" t="n">
        <v>9188952</v>
      </c>
      <c r="H322" t="inlineStr">
        <is>
          <t>No</t>
        </is>
      </c>
      <c r="I322" t="inlineStr">
        <is>
          <t>No</t>
        </is>
      </c>
      <c r="J322" t="inlineStr">
        <is>
          <t>Yes</t>
        </is>
      </c>
    </row>
    <row r="323">
      <c r="A323" t="inlineStr">
        <is>
          <t>FFY2025</t>
        </is>
      </c>
      <c r="B323" t="inlineStr">
        <is>
          <t>FHWA Obligation</t>
        </is>
      </c>
      <c r="C323" t="inlineStr">
        <is>
          <t>01-16-0023</t>
        </is>
      </c>
      <c r="D323" t="inlineStr">
        <is>
          <t>US 41(Skokie Hwy.)/I-94 (Edens Expy.), IL 173 to I-90 (Kennedy Expy.)/I-94 (Edens Expy.)</t>
        </is>
      </c>
      <c r="E323" t="inlineStr">
        <is>
          <t>Intelligent Transportation Systems</t>
        </is>
      </c>
      <c r="F323" t="inlineStr">
        <is>
          <t>Northfield</t>
        </is>
      </c>
      <c r="G323" s="5" t="n">
        <v>145648</v>
      </c>
      <c r="H323" t="inlineStr">
        <is>
          <t>No</t>
        </is>
      </c>
      <c r="I323" t="inlineStr">
        <is>
          <t>No</t>
        </is>
      </c>
      <c r="J323" t="inlineStr">
        <is>
          <t>Yes</t>
        </is>
      </c>
    </row>
    <row r="324">
      <c r="A324" t="inlineStr">
        <is>
          <t>FFY2025</t>
        </is>
      </c>
      <c r="B324" t="inlineStr">
        <is>
          <t>FHWA Obligation</t>
        </is>
      </c>
      <c r="C324" t="inlineStr">
        <is>
          <t>01-16-0023</t>
        </is>
      </c>
      <c r="D324" t="inlineStr">
        <is>
          <t>US 41(Skokie Hwy.)/I-94 (Edens Expy.), IL 173 to I-90 (Kennedy Expy.)/I-94 (Edens Expy.)</t>
        </is>
      </c>
      <c r="E324" t="inlineStr">
        <is>
          <t>Intelligent Transportation Systems</t>
        </is>
      </c>
      <c r="F324" t="inlineStr">
        <is>
          <t>Northfield</t>
        </is>
      </c>
      <c r="G324" s="5" t="n">
        <v>1956539</v>
      </c>
      <c r="H324" t="inlineStr">
        <is>
          <t>No</t>
        </is>
      </c>
      <c r="I324" t="inlineStr">
        <is>
          <t>No</t>
        </is>
      </c>
      <c r="J324" t="inlineStr">
        <is>
          <t>Yes</t>
        </is>
      </c>
    </row>
    <row r="325">
      <c r="A325" t="inlineStr">
        <is>
          <t>FFY2025</t>
        </is>
      </c>
      <c r="B325" t="inlineStr">
        <is>
          <t>FHWA Obligation</t>
        </is>
      </c>
      <c r="C325" t="inlineStr">
        <is>
          <t>10-23-0030</t>
        </is>
      </c>
      <c r="D325" t="inlineStr">
        <is>
          <t>US 41/I-94 Skokie Hwy - Park Ave W to I- 90/94 (Kennedy Edens Junction)</t>
        </is>
      </c>
      <c r="E325" t="inlineStr">
        <is>
          <t>Safety</t>
        </is>
      </c>
      <c r="F325" t="inlineStr">
        <is>
          <t>Northfield</t>
        </is>
      </c>
      <c r="G325" s="5" t="n">
        <v>9188952</v>
      </c>
      <c r="H325" t="inlineStr">
        <is>
          <t>No</t>
        </is>
      </c>
      <c r="I325" t="inlineStr">
        <is>
          <t>No</t>
        </is>
      </c>
      <c r="J325" t="inlineStr">
        <is>
          <t>Yes</t>
        </is>
      </c>
    </row>
    <row r="326">
      <c r="A326" t="inlineStr">
        <is>
          <t>FFY2025</t>
        </is>
      </c>
      <c r="B326" t="inlineStr">
        <is>
          <t>FHWA Obligation</t>
        </is>
      </c>
      <c r="C326" t="inlineStr">
        <is>
          <t>04-19-0012</t>
        </is>
      </c>
      <c r="D326" t="inlineStr">
        <is>
          <t>Parkview/Palmer Bridge</t>
        </is>
      </c>
      <c r="E326" t="inlineStr">
        <is>
          <t>Bridge Repair, Rehab, or Replace</t>
        </is>
      </c>
      <c r="F326" t="inlineStr">
        <is>
          <t>Northlake</t>
        </is>
      </c>
      <c r="G326" s="5" t="n">
        <v>88828</v>
      </c>
      <c r="H326" t="inlineStr">
        <is>
          <t>Yes</t>
        </is>
      </c>
      <c r="I326" t="inlineStr">
        <is>
          <t>No</t>
        </is>
      </c>
      <c r="J326" t="inlineStr">
        <is>
          <t>No</t>
        </is>
      </c>
    </row>
    <row r="327">
      <c r="A327" t="inlineStr">
        <is>
          <t>FFY2025</t>
        </is>
      </c>
      <c r="B327" t="inlineStr">
        <is>
          <t>FHWA Obligation</t>
        </is>
      </c>
      <c r="C327" t="inlineStr">
        <is>
          <t>04-19-0012</t>
        </is>
      </c>
      <c r="D327" t="inlineStr">
        <is>
          <t>Parkview/Palmer Bridge</t>
        </is>
      </c>
      <c r="E327" t="inlineStr">
        <is>
          <t>Bridge Repair, Rehab, or Replace</t>
        </is>
      </c>
      <c r="F327" t="inlineStr">
        <is>
          <t>Northlake</t>
        </is>
      </c>
      <c r="G327" s="5" t="n">
        <v>7172</v>
      </c>
      <c r="H327" t="inlineStr">
        <is>
          <t>Yes</t>
        </is>
      </c>
      <c r="I327" t="inlineStr">
        <is>
          <t>No</t>
        </is>
      </c>
      <c r="J327" t="inlineStr">
        <is>
          <t>No</t>
        </is>
      </c>
    </row>
    <row r="328">
      <c r="A328" t="inlineStr">
        <is>
          <t>FFY2025</t>
        </is>
      </c>
      <c r="B328" t="inlineStr">
        <is>
          <t>FHWA Obligation</t>
        </is>
      </c>
      <c r="C328" t="inlineStr">
        <is>
          <t>04-19-0012</t>
        </is>
      </c>
      <c r="D328" t="inlineStr">
        <is>
          <t>Parkview/Palmer Bridge</t>
        </is>
      </c>
      <c r="E328" t="inlineStr">
        <is>
          <t>Bridge Repair, Rehab, or Replace</t>
        </is>
      </c>
      <c r="F328" t="inlineStr">
        <is>
          <t>Northlake</t>
        </is>
      </c>
      <c r="G328" s="5" t="n">
        <v>449600</v>
      </c>
      <c r="H328" t="inlineStr">
        <is>
          <t>Yes</t>
        </is>
      </c>
      <c r="I328" t="inlineStr">
        <is>
          <t>No</t>
        </is>
      </c>
      <c r="J328" t="inlineStr">
        <is>
          <t>No</t>
        </is>
      </c>
    </row>
    <row r="329">
      <c r="A329" t="inlineStr">
        <is>
          <t>FFY2025</t>
        </is>
      </c>
      <c r="B329" t="inlineStr">
        <is>
          <t>AC Authorization</t>
        </is>
      </c>
      <c r="C329" t="inlineStr">
        <is>
          <t>04-19-0014</t>
        </is>
      </c>
      <c r="D329" t="inlineStr">
        <is>
          <t>1) Ill 64 North Ave - I-294 (Tri-State Tollway) DuPage Co Line, 2) Ill 64 N Frontage Rd - 7th Ave (Hospital Entrance) to 5th Ave, 3) Ill 64 North Ave - 25th Ave to 5th Ave; 4) 5th Ave - N River Rd to Ill 64 (North Ave)</t>
        </is>
      </c>
      <c r="E329" t="inlineStr">
        <is>
          <t>Road Maintenance</t>
        </is>
      </c>
      <c r="F329" t="inlineStr">
        <is>
          <t>Northlake</t>
        </is>
      </c>
      <c r="G329" s="5" t="n">
        <v>10842000</v>
      </c>
      <c r="H329" t="inlineStr">
        <is>
          <t>Yes</t>
        </is>
      </c>
      <c r="I329" t="inlineStr">
        <is>
          <t>Yes</t>
        </is>
      </c>
      <c r="J329" t="inlineStr">
        <is>
          <t>No</t>
        </is>
      </c>
    </row>
    <row r="330">
      <c r="A330" t="inlineStr">
        <is>
          <t>FFY2025</t>
        </is>
      </c>
      <c r="B330" t="inlineStr">
        <is>
          <t>AC Authorization</t>
        </is>
      </c>
      <c r="C330" t="inlineStr">
        <is>
          <t>04-19-0014</t>
        </is>
      </c>
      <c r="D330" t="inlineStr">
        <is>
          <t>1) Ill 64 North Ave - I-294 (Tri-State Tollway) DuPage Co Line, 2) Ill 64 N Frontage Rd - 7th Ave (Hospital Entrance) to 5th Ave, 3) Ill 64 North Ave - 25th Ave to 5th Ave; 4) 5th Ave - N River Rd to Ill 64 (North Ave)</t>
        </is>
      </c>
      <c r="E330" t="inlineStr">
        <is>
          <t>Road Maintenance</t>
        </is>
      </c>
      <c r="F330" t="inlineStr">
        <is>
          <t>Northlake</t>
        </is>
      </c>
      <c r="G330" s="5" t="n">
        <v>960000</v>
      </c>
      <c r="H330" t="inlineStr">
        <is>
          <t>Yes</t>
        </is>
      </c>
      <c r="I330" t="inlineStr">
        <is>
          <t>Yes</t>
        </is>
      </c>
      <c r="J330" t="inlineStr">
        <is>
          <t>No</t>
        </is>
      </c>
    </row>
    <row r="331">
      <c r="A331" t="inlineStr">
        <is>
          <t>FFY2025</t>
        </is>
      </c>
      <c r="B331" t="inlineStr">
        <is>
          <t>AC Authorization</t>
        </is>
      </c>
      <c r="C331" t="inlineStr">
        <is>
          <t>04-19-0014</t>
        </is>
      </c>
      <c r="D331" t="inlineStr">
        <is>
          <t>1) Ill 64 North Ave - I-294 (Tri-State Tollway) DuPage Co Line, 2) Ill 64 N Frontage Rd - 7th Ave (Hospital Entrance) to 5th Ave, 3) Ill 64 North Ave - 25th Ave to 5th Ave; 4) 5th Ave - N River Rd to Ill 64 (North Ave)</t>
        </is>
      </c>
      <c r="E331" t="inlineStr">
        <is>
          <t>Road Maintenance</t>
        </is>
      </c>
      <c r="F331" t="inlineStr">
        <is>
          <t>Northlake</t>
        </is>
      </c>
      <c r="G331" s="5" t="n">
        <v>4000000</v>
      </c>
      <c r="H331" t="inlineStr">
        <is>
          <t>Yes</t>
        </is>
      </c>
      <c r="I331" t="inlineStr">
        <is>
          <t>Yes</t>
        </is>
      </c>
      <c r="J331" t="inlineStr">
        <is>
          <t>No</t>
        </is>
      </c>
    </row>
    <row r="332">
      <c r="A332" t="inlineStr">
        <is>
          <t>FFY2025</t>
        </is>
      </c>
      <c r="B332" t="inlineStr">
        <is>
          <t>AC Authorization</t>
        </is>
      </c>
      <c r="C332" t="inlineStr">
        <is>
          <t>05-16-0007</t>
        </is>
      </c>
      <c r="D332" t="inlineStr">
        <is>
          <t>IL 56 from IL 59 to IL 50; Cermak Rd./22nd St., Renaissance Blvd (West of) to IL 50 (Cicero Ave.)</t>
        </is>
      </c>
      <c r="E332" t="inlineStr">
        <is>
          <t>Road Maintenance</t>
        </is>
      </c>
      <c r="F332" t="inlineStr">
        <is>
          <t>Northlake</t>
        </is>
      </c>
      <c r="G332" s="5" t="n">
        <v>2913880</v>
      </c>
      <c r="H332" t="inlineStr">
        <is>
          <t>No</t>
        </is>
      </c>
      <c r="I332" t="inlineStr">
        <is>
          <t>No</t>
        </is>
      </c>
      <c r="J332" t="inlineStr">
        <is>
          <t>No</t>
        </is>
      </c>
    </row>
    <row r="333">
      <c r="A333" t="inlineStr">
        <is>
          <t>FFY2025</t>
        </is>
      </c>
      <c r="B333" t="inlineStr">
        <is>
          <t>FHWA Obligation</t>
        </is>
      </c>
      <c r="C333" t="inlineStr">
        <is>
          <t>04-19-0014</t>
        </is>
      </c>
      <c r="D333" t="inlineStr">
        <is>
          <t>1) Ill 64 North Ave - I-294 (Tri-State Tollway) DuPage Co Line, 2) Ill 64 N Frontage Rd - 7th Ave (Hospital Entrance) to 5th Ave, 3) Ill 64 North Ave - 25th Ave to 5th Ave; 4) 5th Ave - N River Rd to Ill 64 (North Ave)</t>
        </is>
      </c>
      <c r="E333" t="inlineStr">
        <is>
          <t>Road Maintenance</t>
        </is>
      </c>
      <c r="F333" t="inlineStr">
        <is>
          <t>Northlake</t>
        </is>
      </c>
      <c r="G333" s="5" t="n">
        <v>1360000</v>
      </c>
      <c r="H333" t="inlineStr">
        <is>
          <t>Yes</t>
        </is>
      </c>
      <c r="I333" t="inlineStr">
        <is>
          <t>Yes</t>
        </is>
      </c>
      <c r="J333" t="inlineStr">
        <is>
          <t>No</t>
        </is>
      </c>
    </row>
    <row r="334">
      <c r="A334" t="inlineStr">
        <is>
          <t>FFY2025</t>
        </is>
      </c>
      <c r="B334" t="inlineStr">
        <is>
          <t>FHWA Obligation</t>
        </is>
      </c>
      <c r="C334" t="inlineStr">
        <is>
          <t>05-16-0007</t>
        </is>
      </c>
      <c r="D334" t="inlineStr">
        <is>
          <t>IL 56 from IL 59 to IL 50; Cermak Rd./22nd St., Renaissance Blvd (West of) to IL 50 (Cicero Ave.)</t>
        </is>
      </c>
      <c r="E334" t="inlineStr">
        <is>
          <t>Road Maintenance</t>
        </is>
      </c>
      <c r="F334" t="inlineStr">
        <is>
          <t>Northlake</t>
        </is>
      </c>
      <c r="G334" s="5" t="n">
        <v>116074</v>
      </c>
      <c r="H334" t="inlineStr">
        <is>
          <t>No</t>
        </is>
      </c>
      <c r="I334" t="inlineStr">
        <is>
          <t>No</t>
        </is>
      </c>
      <c r="J334" t="inlineStr">
        <is>
          <t>No</t>
        </is>
      </c>
    </row>
    <row r="335">
      <c r="A335" t="inlineStr">
        <is>
          <t>FFY2025</t>
        </is>
      </c>
      <c r="B335" t="inlineStr">
        <is>
          <t>FHWA Obligation</t>
        </is>
      </c>
      <c r="C335" t="inlineStr">
        <is>
          <t>05-16-0007</t>
        </is>
      </c>
      <c r="D335" t="inlineStr">
        <is>
          <t>IL 56 from IL 59 to IL 50; Cermak Rd./22nd St., Renaissance Blvd (West of) to IL 50 (Cicero Ave.)</t>
        </is>
      </c>
      <c r="E335" t="inlineStr">
        <is>
          <t>Road Maintenance</t>
        </is>
      </c>
      <c r="F335" t="inlineStr">
        <is>
          <t>Northlake</t>
        </is>
      </c>
      <c r="G335" s="5" t="n">
        <v>16038095</v>
      </c>
      <c r="H335" t="inlineStr">
        <is>
          <t>No</t>
        </is>
      </c>
      <c r="I335" t="inlineStr">
        <is>
          <t>No</t>
        </is>
      </c>
      <c r="J335" t="inlineStr">
        <is>
          <t>No</t>
        </is>
      </c>
    </row>
    <row r="336">
      <c r="A336" t="inlineStr">
        <is>
          <t>FFY2025</t>
        </is>
      </c>
      <c r="B336" t="inlineStr">
        <is>
          <t>FHWA Obligation</t>
        </is>
      </c>
      <c r="C336" t="inlineStr">
        <is>
          <t>04-20-0020</t>
        </is>
      </c>
      <c r="D336" t="inlineStr">
        <is>
          <t>Traffic Signal Modernization at Wolf Road and Wiltse Drive</t>
        </is>
      </c>
      <c r="E336" t="inlineStr">
        <is>
          <t>Road Modernization</t>
        </is>
      </c>
      <c r="F336" t="inlineStr">
        <is>
          <t>Northlake</t>
        </is>
      </c>
      <c r="G336" s="5" t="n">
        <v>480832</v>
      </c>
      <c r="H336" t="inlineStr">
        <is>
          <t>No</t>
        </is>
      </c>
      <c r="I336" t="inlineStr">
        <is>
          <t>No</t>
        </is>
      </c>
      <c r="J336" t="inlineStr">
        <is>
          <t>Yes</t>
        </is>
      </c>
    </row>
    <row r="337">
      <c r="A337" t="inlineStr">
        <is>
          <t>FFY2025</t>
        </is>
      </c>
      <c r="B337" t="inlineStr">
        <is>
          <t>AC Authorization</t>
        </is>
      </c>
      <c r="C337" t="inlineStr">
        <is>
          <t>04-20-0019</t>
        </is>
      </c>
      <c r="D337" t="inlineStr">
        <is>
          <t>Traffic Signal Modernization at Wolf Road and Palmer Avenue</t>
        </is>
      </c>
      <c r="E337" t="inlineStr">
        <is>
          <t>Signal Systems</t>
        </is>
      </c>
      <c r="F337" t="inlineStr">
        <is>
          <t>Northlake</t>
        </is>
      </c>
      <c r="G337" s="5" t="n">
        <v>198300</v>
      </c>
      <c r="H337" t="inlineStr">
        <is>
          <t>No</t>
        </is>
      </c>
      <c r="I337" t="inlineStr">
        <is>
          <t>No</t>
        </is>
      </c>
      <c r="J337" t="inlineStr">
        <is>
          <t>Yes</t>
        </is>
      </c>
    </row>
    <row r="338">
      <c r="A338" t="inlineStr">
        <is>
          <t>FFY2025</t>
        </is>
      </c>
      <c r="B338" t="inlineStr">
        <is>
          <t>FHWA Obligation</t>
        </is>
      </c>
      <c r="C338" t="inlineStr">
        <is>
          <t>04-20-0019</t>
        </is>
      </c>
      <c r="D338" t="inlineStr">
        <is>
          <t>Traffic Signal Modernization at Wolf Road and Palmer Avenue</t>
        </is>
      </c>
      <c r="E338" t="inlineStr">
        <is>
          <t>Signal Systems</t>
        </is>
      </c>
      <c r="F338" t="inlineStr">
        <is>
          <t>Northlake</t>
        </is>
      </c>
      <c r="G338" s="5" t="n">
        <v>92328</v>
      </c>
      <c r="H338" t="inlineStr">
        <is>
          <t>No</t>
        </is>
      </c>
      <c r="I338" t="inlineStr">
        <is>
          <t>No</t>
        </is>
      </c>
      <c r="J338" t="inlineStr">
        <is>
          <t>Yes</t>
        </is>
      </c>
    </row>
    <row r="339">
      <c r="A339" t="inlineStr">
        <is>
          <t>FFY2025</t>
        </is>
      </c>
      <c r="B339" t="inlineStr">
        <is>
          <t>FHWA Obligation</t>
        </is>
      </c>
      <c r="C339" t="inlineStr">
        <is>
          <t>04-20-0019</t>
        </is>
      </c>
      <c r="D339" t="inlineStr">
        <is>
          <t>Traffic Signal Modernization at Wolf Road and Palmer Avenue</t>
        </is>
      </c>
      <c r="E339" t="inlineStr">
        <is>
          <t>Signal Systems</t>
        </is>
      </c>
      <c r="F339" t="inlineStr">
        <is>
          <t>Northlake</t>
        </is>
      </c>
      <c r="G339" s="5" t="n">
        <v>156765</v>
      </c>
      <c r="H339" t="inlineStr">
        <is>
          <t>No</t>
        </is>
      </c>
      <c r="I339" t="inlineStr">
        <is>
          <t>No</t>
        </is>
      </c>
      <c r="J339" t="inlineStr">
        <is>
          <t>Yes</t>
        </is>
      </c>
    </row>
    <row r="340">
      <c r="A340" t="inlineStr">
        <is>
          <t>FFY2025</t>
        </is>
      </c>
      <c r="B340" t="inlineStr">
        <is>
          <t>FHWA Obligation</t>
        </is>
      </c>
      <c r="C340" t="inlineStr">
        <is>
          <t>04-21-0012</t>
        </is>
      </c>
      <c r="D340" t="inlineStr">
        <is>
          <t>US 20 Lake St - I-294 (Tri-State Tollway) to Wolf Rd</t>
        </is>
      </c>
      <c r="E340" t="inlineStr">
        <is>
          <t>Signal Systems</t>
        </is>
      </c>
      <c r="F340" t="inlineStr">
        <is>
          <t>Northlake</t>
        </is>
      </c>
      <c r="G340" s="5" t="n">
        <v>1968382</v>
      </c>
      <c r="H340" t="inlineStr">
        <is>
          <t>No</t>
        </is>
      </c>
      <c r="I340" t="inlineStr">
        <is>
          <t>No</t>
        </is>
      </c>
      <c r="J340" t="inlineStr">
        <is>
          <t>No</t>
        </is>
      </c>
    </row>
    <row r="341">
      <c r="A341" t="inlineStr">
        <is>
          <t>FFY2025</t>
        </is>
      </c>
      <c r="B341" t="inlineStr">
        <is>
          <t>FHWA Obligation</t>
        </is>
      </c>
      <c r="C341" t="inlineStr">
        <is>
          <t>07-22-0082</t>
        </is>
      </c>
      <c r="D341" t="inlineStr">
        <is>
          <t>Ill 50 Cicero Ave - Ill 83 (147th St) to 157th St</t>
        </is>
      </c>
      <c r="E341" t="inlineStr">
        <is>
          <t>Road Maintenance</t>
        </is>
      </c>
      <c r="F341" t="inlineStr">
        <is>
          <t>Oak Forest</t>
        </is>
      </c>
      <c r="G341" s="5" t="n">
        <v>1280000</v>
      </c>
      <c r="H341" t="inlineStr">
        <is>
          <t>Yes</t>
        </is>
      </c>
      <c r="I341" t="inlineStr">
        <is>
          <t>Yes</t>
        </is>
      </c>
      <c r="J341" t="inlineStr">
        <is>
          <t>No</t>
        </is>
      </c>
    </row>
    <row r="342">
      <c r="A342" t="inlineStr">
        <is>
          <t>FFY2025</t>
        </is>
      </c>
      <c r="B342" t="inlineStr">
        <is>
          <t>AC Authorization</t>
        </is>
      </c>
      <c r="C342" t="inlineStr">
        <is>
          <t>06-23-0018</t>
        </is>
      </c>
      <c r="D342" t="inlineStr">
        <is>
          <t>Ill 50 Cicero Ave - US 12/20 (95th St) to 123rd Pl</t>
        </is>
      </c>
      <c r="E342" t="inlineStr">
        <is>
          <t>Road Maintenance</t>
        </is>
      </c>
      <c r="F342" t="inlineStr">
        <is>
          <t>Oak Lawn</t>
        </is>
      </c>
      <c r="G342" s="5" t="n">
        <v>8240000</v>
      </c>
      <c r="H342" t="inlineStr">
        <is>
          <t>No</t>
        </is>
      </c>
      <c r="I342" t="inlineStr">
        <is>
          <t>No</t>
        </is>
      </c>
      <c r="J342" t="inlineStr">
        <is>
          <t>No</t>
        </is>
      </c>
    </row>
    <row r="343">
      <c r="A343" t="inlineStr">
        <is>
          <t>FFY2025</t>
        </is>
      </c>
      <c r="B343" t="inlineStr">
        <is>
          <t>AC Authorization</t>
        </is>
      </c>
      <c r="C343" t="inlineStr">
        <is>
          <t>06-24-0041</t>
        </is>
      </c>
      <c r="D343" t="inlineStr">
        <is>
          <t>Pulaski Rd/Crawford Ave - 103rd St to 123rd St</t>
        </is>
      </c>
      <c r="E343" t="inlineStr">
        <is>
          <t>Road Maintenance</t>
        </is>
      </c>
      <c r="F343" t="inlineStr">
        <is>
          <t>Oak Lawn</t>
        </is>
      </c>
      <c r="G343" s="5" t="n">
        <v>4160000</v>
      </c>
      <c r="H343" t="inlineStr">
        <is>
          <t>Yes</t>
        </is>
      </c>
      <c r="I343" t="inlineStr">
        <is>
          <t>Yes</t>
        </is>
      </c>
      <c r="J343" t="inlineStr">
        <is>
          <t>No</t>
        </is>
      </c>
    </row>
    <row r="344">
      <c r="A344" t="inlineStr">
        <is>
          <t>FFY2025</t>
        </is>
      </c>
      <c r="B344" t="inlineStr">
        <is>
          <t>AC Authorization</t>
        </is>
      </c>
      <c r="C344" t="inlineStr">
        <is>
          <t>04-24-0029</t>
        </is>
      </c>
      <c r="D344" t="inlineStr">
        <is>
          <t>Home Avenue Pedestrian Bridge over I-290</t>
        </is>
      </c>
      <c r="E344" t="inlineStr">
        <is>
          <t>Bridge Repair, Rehab, or Replace</t>
        </is>
      </c>
      <c r="F344" t="inlineStr">
        <is>
          <t>Oak Park</t>
        </is>
      </c>
      <c r="G344" s="5" t="n">
        <v>1449753</v>
      </c>
      <c r="H344" t="inlineStr">
        <is>
          <t>Yes</t>
        </is>
      </c>
      <c r="I344" t="inlineStr">
        <is>
          <t>No</t>
        </is>
      </c>
      <c r="J344" t="inlineStr">
        <is>
          <t>No</t>
        </is>
      </c>
    </row>
    <row r="345">
      <c r="A345" t="inlineStr">
        <is>
          <t>FFY2025</t>
        </is>
      </c>
      <c r="B345" t="inlineStr">
        <is>
          <t>FHWA Obligation</t>
        </is>
      </c>
      <c r="C345" t="inlineStr">
        <is>
          <t>04-00-0023</t>
        </is>
      </c>
      <c r="D345" t="inlineStr">
        <is>
          <t>I-290 Eisenhower Expy from US 12/45/20 Mannheim Rd to Racine Ave - RSP 30</t>
        </is>
      </c>
      <c r="E345" t="inlineStr">
        <is>
          <t>Road Expansion</t>
        </is>
      </c>
      <c r="F345" t="inlineStr">
        <is>
          <t>Oak Park</t>
        </is>
      </c>
      <c r="G345" s="5" t="n">
        <v>284512</v>
      </c>
      <c r="H345" t="inlineStr">
        <is>
          <t>No</t>
        </is>
      </c>
      <c r="I345" t="inlineStr">
        <is>
          <t>No</t>
        </is>
      </c>
      <c r="J345" t="inlineStr">
        <is>
          <t>Yes</t>
        </is>
      </c>
    </row>
    <row r="346">
      <c r="A346" t="inlineStr">
        <is>
          <t>FFY2025</t>
        </is>
      </c>
      <c r="B346" t="inlineStr">
        <is>
          <t>FHWA Obligation</t>
        </is>
      </c>
      <c r="C346" t="inlineStr">
        <is>
          <t>04-00-0023</t>
        </is>
      </c>
      <c r="D346" t="inlineStr">
        <is>
          <t>I-290 Eisenhower Expy from US 12/45/20 Mannheim Rd to Racine Ave - RSP 30</t>
        </is>
      </c>
      <c r="E346" t="inlineStr">
        <is>
          <t>Road Expansion</t>
        </is>
      </c>
      <c r="F346" t="inlineStr">
        <is>
          <t>Oak Park</t>
        </is>
      </c>
      <c r="G346" s="5" t="n">
        <v>1085043</v>
      </c>
      <c r="H346" t="inlineStr">
        <is>
          <t>No</t>
        </is>
      </c>
      <c r="I346" t="inlineStr">
        <is>
          <t>No</t>
        </is>
      </c>
      <c r="J346" t="inlineStr">
        <is>
          <t>Yes</t>
        </is>
      </c>
    </row>
    <row r="347">
      <c r="A347" t="inlineStr">
        <is>
          <t>FFY2025</t>
        </is>
      </c>
      <c r="B347" t="inlineStr">
        <is>
          <t>AC Authorization</t>
        </is>
      </c>
      <c r="C347" t="inlineStr">
        <is>
          <t>05-16-0007</t>
        </is>
      </c>
      <c r="D347" t="inlineStr">
        <is>
          <t>IL 56 from IL 59 to IL 50; Cermak Rd./22nd St., Renaissance Blvd (West of) to IL 50 (Cicero Ave.)</t>
        </is>
      </c>
      <c r="E347" t="inlineStr">
        <is>
          <t>Road Maintenance</t>
        </is>
      </c>
      <c r="F347" t="inlineStr">
        <is>
          <t>Oak Park</t>
        </is>
      </c>
      <c r="G347" s="5" t="n">
        <v>2913880</v>
      </c>
      <c r="H347" t="inlineStr">
        <is>
          <t>No</t>
        </is>
      </c>
      <c r="I347" t="inlineStr">
        <is>
          <t>No</t>
        </is>
      </c>
      <c r="J347" t="inlineStr">
        <is>
          <t>No</t>
        </is>
      </c>
    </row>
    <row r="348">
      <c r="A348" t="inlineStr">
        <is>
          <t>FFY2025</t>
        </is>
      </c>
      <c r="B348" t="inlineStr">
        <is>
          <t>FHWA Obligation</t>
        </is>
      </c>
      <c r="C348" t="inlineStr">
        <is>
          <t>05-16-0007</t>
        </is>
      </c>
      <c r="D348" t="inlineStr">
        <is>
          <t>IL 56 from IL 59 to IL 50; Cermak Rd./22nd St., Renaissance Blvd (West of) to IL 50 (Cicero Ave.)</t>
        </is>
      </c>
      <c r="E348" t="inlineStr">
        <is>
          <t>Road Maintenance</t>
        </is>
      </c>
      <c r="F348" t="inlineStr">
        <is>
          <t>Oak Park</t>
        </is>
      </c>
      <c r="G348" s="5" t="n">
        <v>116074</v>
      </c>
      <c r="H348" t="inlineStr">
        <is>
          <t>No</t>
        </is>
      </c>
      <c r="I348" t="inlineStr">
        <is>
          <t>No</t>
        </is>
      </c>
      <c r="J348" t="inlineStr">
        <is>
          <t>No</t>
        </is>
      </c>
    </row>
    <row r="349">
      <c r="A349" t="inlineStr">
        <is>
          <t>FFY2025</t>
        </is>
      </c>
      <c r="B349" t="inlineStr">
        <is>
          <t>FHWA Obligation</t>
        </is>
      </c>
      <c r="C349" t="inlineStr">
        <is>
          <t>05-16-0007</t>
        </is>
      </c>
      <c r="D349" t="inlineStr">
        <is>
          <t>IL 56 from IL 59 to IL 50; Cermak Rd./22nd St., Renaissance Blvd (West of) to IL 50 (Cicero Ave.)</t>
        </is>
      </c>
      <c r="E349" t="inlineStr">
        <is>
          <t>Road Maintenance</t>
        </is>
      </c>
      <c r="F349" t="inlineStr">
        <is>
          <t>Oak Park</t>
        </is>
      </c>
      <c r="G349" s="5" t="n">
        <v>16038095</v>
      </c>
      <c r="H349" t="inlineStr">
        <is>
          <t>No</t>
        </is>
      </c>
      <c r="I349" t="inlineStr">
        <is>
          <t>No</t>
        </is>
      </c>
      <c r="J349" t="inlineStr">
        <is>
          <t>No</t>
        </is>
      </c>
    </row>
    <row r="350">
      <c r="A350" t="inlineStr">
        <is>
          <t>FFY2025</t>
        </is>
      </c>
      <c r="B350" t="inlineStr">
        <is>
          <t>FHWA Obligation</t>
        </is>
      </c>
      <c r="C350" t="inlineStr">
        <is>
          <t>06-00-0042</t>
        </is>
      </c>
      <c r="D350" t="inlineStr">
        <is>
          <t>143rd Street from Wolf Road to US 45 LaGrange Rd</t>
        </is>
      </c>
      <c r="E350" t="inlineStr">
        <is>
          <t>Road Expansion</t>
        </is>
      </c>
      <c r="F350" t="inlineStr">
        <is>
          <t>Orland Park</t>
        </is>
      </c>
      <c r="G350" s="5" t="n">
        <v>1000000</v>
      </c>
      <c r="H350" t="inlineStr">
        <is>
          <t>Yes</t>
        </is>
      </c>
      <c r="I350" t="inlineStr">
        <is>
          <t>No</t>
        </is>
      </c>
      <c r="J350" t="inlineStr">
        <is>
          <t>Yes</t>
        </is>
      </c>
    </row>
    <row r="351">
      <c r="A351" t="inlineStr">
        <is>
          <t>FFY2025</t>
        </is>
      </c>
      <c r="B351" t="inlineStr">
        <is>
          <t>AC Authorization</t>
        </is>
      </c>
      <c r="C351" t="inlineStr">
        <is>
          <t>06-23-0015</t>
        </is>
      </c>
      <c r="D351" t="inlineStr">
        <is>
          <t>US 6 Southwest Hwy - S of Wolf Rd to Will- Cook Rd</t>
        </is>
      </c>
      <c r="E351" t="inlineStr">
        <is>
          <t>Road Maintenance</t>
        </is>
      </c>
      <c r="F351" t="inlineStr">
        <is>
          <t>Orland Park</t>
        </is>
      </c>
      <c r="G351" s="5" t="n">
        <v>800000</v>
      </c>
      <c r="H351" t="inlineStr">
        <is>
          <t>No</t>
        </is>
      </c>
      <c r="I351" t="inlineStr">
        <is>
          <t>No</t>
        </is>
      </c>
      <c r="J351" t="inlineStr">
        <is>
          <t>No</t>
        </is>
      </c>
    </row>
    <row r="352">
      <c r="A352" t="inlineStr">
        <is>
          <t>FFY2025</t>
        </is>
      </c>
      <c r="B352" t="inlineStr">
        <is>
          <t>FHWA Obligation</t>
        </is>
      </c>
      <c r="C352" t="inlineStr">
        <is>
          <t>06-16-0009</t>
        </is>
      </c>
      <c r="D352" t="inlineStr">
        <is>
          <t>John Humphrey Drive at 143rd St</t>
        </is>
      </c>
      <c r="E352" t="inlineStr">
        <is>
          <t>Road Modernization</t>
        </is>
      </c>
      <c r="F352" t="inlineStr">
        <is>
          <t>Orland Park</t>
        </is>
      </c>
      <c r="G352" s="5" t="n">
        <v>560000</v>
      </c>
      <c r="H352" t="inlineStr">
        <is>
          <t>No</t>
        </is>
      </c>
      <c r="I352" t="inlineStr">
        <is>
          <t>No</t>
        </is>
      </c>
      <c r="J352" t="inlineStr">
        <is>
          <t>No</t>
        </is>
      </c>
    </row>
    <row r="353">
      <c r="A353" t="inlineStr">
        <is>
          <t>FFY2025</t>
        </is>
      </c>
      <c r="B353" t="inlineStr">
        <is>
          <t>FHWA Obligation</t>
        </is>
      </c>
      <c r="C353" t="inlineStr">
        <is>
          <t>06-16-0009</t>
        </is>
      </c>
      <c r="D353" t="inlineStr">
        <is>
          <t>John Humphrey Drive at 143rd St</t>
        </is>
      </c>
      <c r="E353" t="inlineStr">
        <is>
          <t>Road Modernization</t>
        </is>
      </c>
      <c r="F353" t="inlineStr">
        <is>
          <t>Orland Park</t>
        </is>
      </c>
      <c r="G353" s="5" t="n">
        <v>3000000</v>
      </c>
      <c r="H353" t="inlineStr">
        <is>
          <t>No</t>
        </is>
      </c>
      <c r="I353" t="inlineStr">
        <is>
          <t>No</t>
        </is>
      </c>
      <c r="J353" t="inlineStr">
        <is>
          <t>No</t>
        </is>
      </c>
    </row>
    <row r="354">
      <c r="A354" t="inlineStr">
        <is>
          <t>FFY2025</t>
        </is>
      </c>
      <c r="B354" t="inlineStr">
        <is>
          <t>AC Authorization</t>
        </is>
      </c>
      <c r="C354" t="inlineStr">
        <is>
          <t>03-19-0002</t>
        </is>
      </c>
      <c r="D354" t="inlineStr">
        <is>
          <t>Ill 53 - Lake-Cook Rd to Ill 62 (Algonquin Rd) and S of US 12 (Rand Rd) to Ill 72 (Higgins Rd), At I-90 (Jane Addams Memorial Tollway), Ill 58 (Golf Rd) &amp; Woodfield Rd</t>
        </is>
      </c>
      <c r="E354" t="inlineStr">
        <is>
          <t>Bridge Repair, Rehab, or Replace</t>
        </is>
      </c>
      <c r="F354" t="inlineStr">
        <is>
          <t>Palatine</t>
        </is>
      </c>
      <c r="G354" s="5" t="n">
        <v>6875000</v>
      </c>
      <c r="H354" t="inlineStr">
        <is>
          <t>Yes</t>
        </is>
      </c>
      <c r="I354" t="inlineStr">
        <is>
          <t>Yes</t>
        </is>
      </c>
      <c r="J354" t="inlineStr">
        <is>
          <t>Yes</t>
        </is>
      </c>
    </row>
    <row r="355">
      <c r="A355" t="inlineStr">
        <is>
          <t>FFY2025</t>
        </is>
      </c>
      <c r="B355" t="inlineStr">
        <is>
          <t>FHWA Obligation</t>
        </is>
      </c>
      <c r="C355" t="inlineStr">
        <is>
          <t>03-19-0002</t>
        </is>
      </c>
      <c r="D355" t="inlineStr">
        <is>
          <t>Ill 53 - Lake-Cook Rd to Ill 62 (Algonquin Rd) and S of US 12 (Rand Rd) to Ill 72 (Higgins Rd), At I-90 (Jane Addams Memorial Tollway), Ill 58 (Golf Rd) &amp; Woodfield Rd</t>
        </is>
      </c>
      <c r="E355" t="inlineStr">
        <is>
          <t>Bridge Repair, Rehab, or Replace</t>
        </is>
      </c>
      <c r="F355" t="inlineStr">
        <is>
          <t>Palatine</t>
        </is>
      </c>
      <c r="G355" s="5" t="n">
        <v>9696318</v>
      </c>
      <c r="H355" t="inlineStr">
        <is>
          <t>Yes</t>
        </is>
      </c>
      <c r="I355" t="inlineStr">
        <is>
          <t>Yes</t>
        </is>
      </c>
      <c r="J355" t="inlineStr">
        <is>
          <t>Yes</t>
        </is>
      </c>
    </row>
    <row r="356">
      <c r="A356" t="inlineStr">
        <is>
          <t>FFY2025</t>
        </is>
      </c>
      <c r="B356" t="inlineStr">
        <is>
          <t>FHWA Obligation</t>
        </is>
      </c>
      <c r="C356" t="inlineStr">
        <is>
          <t>03-19-0002</t>
        </is>
      </c>
      <c r="D356" t="inlineStr">
        <is>
          <t>Ill 53 - Lake-Cook Rd to Ill 62 (Algonquin Rd) and S of US 12 (Rand Rd) to Ill 72 (Higgins Rd), At I-90 (Jane Addams Memorial Tollway), Ill 58 (Golf Rd) &amp; Woodfield Rd</t>
        </is>
      </c>
      <c r="E356" t="inlineStr">
        <is>
          <t>Bridge Repair, Rehab, or Replace</t>
        </is>
      </c>
      <c r="F356" t="inlineStr">
        <is>
          <t>Palatine</t>
        </is>
      </c>
      <c r="G356" s="5" t="n">
        <v>34631474</v>
      </c>
      <c r="H356" t="inlineStr">
        <is>
          <t>Yes</t>
        </is>
      </c>
      <c r="I356" t="inlineStr">
        <is>
          <t>Yes</t>
        </is>
      </c>
      <c r="J356" t="inlineStr">
        <is>
          <t>Yes</t>
        </is>
      </c>
    </row>
    <row r="357">
      <c r="A357" t="inlineStr">
        <is>
          <t>FFY2025</t>
        </is>
      </c>
      <c r="B357" t="inlineStr">
        <is>
          <t>FHWA Obligation</t>
        </is>
      </c>
      <c r="C357" t="inlineStr">
        <is>
          <t>03-19-0002</t>
        </is>
      </c>
      <c r="D357" t="inlineStr">
        <is>
          <t>Ill 53 - Lake-Cook Rd to Ill 62 (Algonquin Rd) and S of US 12 (Rand Rd) to Ill 72 (Higgins Rd), At I-90 (Jane Addams Memorial Tollway), Ill 58 (Golf Rd) &amp; Woodfield Rd</t>
        </is>
      </c>
      <c r="E357" t="inlineStr">
        <is>
          <t>Bridge Repair, Rehab, or Replace</t>
        </is>
      </c>
      <c r="F357" t="inlineStr">
        <is>
          <t>Palatine</t>
        </is>
      </c>
      <c r="G357" s="5" t="n">
        <v>16253</v>
      </c>
      <c r="H357" t="inlineStr">
        <is>
          <t>Yes</t>
        </is>
      </c>
      <c r="I357" t="inlineStr">
        <is>
          <t>Yes</t>
        </is>
      </c>
      <c r="J357" t="inlineStr">
        <is>
          <t>Yes</t>
        </is>
      </c>
    </row>
    <row r="358">
      <c r="A358" t="inlineStr">
        <is>
          <t>FFY2025</t>
        </is>
      </c>
      <c r="B358" t="inlineStr">
        <is>
          <t>FHWA Obligation</t>
        </is>
      </c>
      <c r="C358" t="inlineStr">
        <is>
          <t>03-19-0002</t>
        </is>
      </c>
      <c r="D358" t="inlineStr">
        <is>
          <t>Ill 53 - Lake-Cook Rd to Ill 62 (Algonquin Rd) and S of US 12 (Rand Rd) to Ill 72 (Higgins Rd), At I-90 (Jane Addams Memorial Tollway), Ill 58 (Golf Rd) &amp; Woodfield Rd</t>
        </is>
      </c>
      <c r="E358" t="inlineStr">
        <is>
          <t>Bridge Repair, Rehab, or Replace</t>
        </is>
      </c>
      <c r="F358" t="inlineStr">
        <is>
          <t>Palatine</t>
        </is>
      </c>
      <c r="G358" s="5" t="n">
        <v>86904481</v>
      </c>
      <c r="H358" t="inlineStr">
        <is>
          <t>Yes</t>
        </is>
      </c>
      <c r="I358" t="inlineStr">
        <is>
          <t>Yes</t>
        </is>
      </c>
      <c r="J358" t="inlineStr">
        <is>
          <t>Yes</t>
        </is>
      </c>
    </row>
    <row r="359">
      <c r="A359" t="inlineStr">
        <is>
          <t>FFY2025</t>
        </is>
      </c>
      <c r="B359" t="inlineStr">
        <is>
          <t>FHWA Obligation</t>
        </is>
      </c>
      <c r="C359" t="inlineStr">
        <is>
          <t>03-19-0020</t>
        </is>
      </c>
      <c r="D359" t="inlineStr">
        <is>
          <t>North Baldwin Rd over Buffalo Creek</t>
        </is>
      </c>
      <c r="E359" t="inlineStr">
        <is>
          <t>Bridge Repair, Rehab, or Replace</t>
        </is>
      </c>
      <c r="F359" t="inlineStr">
        <is>
          <t>Palatine</t>
        </is>
      </c>
      <c r="G359" s="5" t="n">
        <v>126755</v>
      </c>
      <c r="H359" t="inlineStr">
        <is>
          <t>Yes</t>
        </is>
      </c>
      <c r="I359" t="inlineStr">
        <is>
          <t>Yes</t>
        </is>
      </c>
      <c r="J359" t="inlineStr">
        <is>
          <t>No</t>
        </is>
      </c>
    </row>
    <row r="360">
      <c r="A360" t="inlineStr">
        <is>
          <t>FFY2025</t>
        </is>
      </c>
      <c r="B360" t="inlineStr">
        <is>
          <t>FHWA Obligation</t>
        </is>
      </c>
      <c r="C360" t="inlineStr">
        <is>
          <t>03-19-0038</t>
        </is>
      </c>
      <c r="D360" t="inlineStr">
        <is>
          <t>Ill 68 Dundee Rd - E Branch Salt Creek 0.6 Mi E of Quentin Rd</t>
        </is>
      </c>
      <c r="E360" t="inlineStr">
        <is>
          <t>Bridge Repair, Rehab, or Replace</t>
        </is>
      </c>
      <c r="F360" t="inlineStr">
        <is>
          <t>Palatine</t>
        </is>
      </c>
      <c r="G360" s="5" t="n">
        <v>2593120</v>
      </c>
      <c r="H360" t="inlineStr">
        <is>
          <t>No</t>
        </is>
      </c>
      <c r="I360" t="inlineStr">
        <is>
          <t>No</t>
        </is>
      </c>
      <c r="J360" t="inlineStr">
        <is>
          <t>No</t>
        </is>
      </c>
    </row>
    <row r="361">
      <c r="A361" t="inlineStr">
        <is>
          <t>FFY2025</t>
        </is>
      </c>
      <c r="B361" t="inlineStr">
        <is>
          <t>FHWA Obligation</t>
        </is>
      </c>
      <c r="C361" t="inlineStr">
        <is>
          <t>03-23-0041</t>
        </is>
      </c>
      <c r="D361" t="inlineStr">
        <is>
          <t>Various - Various Locations (Trombone Replacement)</t>
        </is>
      </c>
      <c r="E361" t="inlineStr">
        <is>
          <t>Intersection/Interchange Improvements</t>
        </is>
      </c>
      <c r="F361" t="inlineStr">
        <is>
          <t>Palatine</t>
        </is>
      </c>
      <c r="G361" s="5" t="n">
        <v>217590</v>
      </c>
      <c r="H361" t="inlineStr">
        <is>
          <t>No</t>
        </is>
      </c>
      <c r="I361" t="inlineStr">
        <is>
          <t>No</t>
        </is>
      </c>
      <c r="J361" t="inlineStr">
        <is>
          <t>No</t>
        </is>
      </c>
    </row>
    <row r="362">
      <c r="A362" t="inlineStr">
        <is>
          <t>FFY2025</t>
        </is>
      </c>
      <c r="B362" t="inlineStr">
        <is>
          <t>FHWA Obligation</t>
        </is>
      </c>
      <c r="C362" t="inlineStr">
        <is>
          <t>03-23-0041</t>
        </is>
      </c>
      <c r="D362" t="inlineStr">
        <is>
          <t>Various - Various Locations (Trombone Replacement)</t>
        </is>
      </c>
      <c r="E362" t="inlineStr">
        <is>
          <t>Intersection/Interchange Improvements</t>
        </is>
      </c>
      <c r="F362" t="inlineStr">
        <is>
          <t>Palatine</t>
        </is>
      </c>
      <c r="G362" s="5" t="n">
        <v>691256</v>
      </c>
      <c r="H362" t="inlineStr">
        <is>
          <t>No</t>
        </is>
      </c>
      <c r="I362" t="inlineStr">
        <is>
          <t>No</t>
        </is>
      </c>
      <c r="J362" t="inlineStr">
        <is>
          <t>No</t>
        </is>
      </c>
    </row>
    <row r="363">
      <c r="A363" t="inlineStr">
        <is>
          <t>FFY2025</t>
        </is>
      </c>
      <c r="B363" t="inlineStr">
        <is>
          <t>AC Authorization</t>
        </is>
      </c>
      <c r="C363" t="inlineStr">
        <is>
          <t>06-18-0012</t>
        </is>
      </c>
      <c r="D363" t="inlineStr">
        <is>
          <t>Cal Sag Trail and Parking Lot at Lake Katherine</t>
        </is>
      </c>
      <c r="E363" t="inlineStr">
        <is>
          <t>Bicycle &amp; Pedestrian</t>
        </is>
      </c>
      <c r="F363" t="inlineStr">
        <is>
          <t>Palos Heights</t>
        </is>
      </c>
      <c r="G363" s="5" t="n">
        <v>56000</v>
      </c>
      <c r="H363" t="inlineStr">
        <is>
          <t>Yes</t>
        </is>
      </c>
      <c r="I363" t="inlineStr">
        <is>
          <t>No</t>
        </is>
      </c>
      <c r="J363" t="inlineStr">
        <is>
          <t>No</t>
        </is>
      </c>
    </row>
    <row r="364">
      <c r="A364" t="inlineStr">
        <is>
          <t>FFY2025</t>
        </is>
      </c>
      <c r="B364" t="inlineStr">
        <is>
          <t>FHWA Obligation</t>
        </is>
      </c>
      <c r="C364" t="inlineStr">
        <is>
          <t>06-17-0002</t>
        </is>
      </c>
      <c r="D364" t="inlineStr">
        <is>
          <t>Palos Hills, Roberts Road at 111th Street</t>
        </is>
      </c>
      <c r="E364" t="inlineStr">
        <is>
          <t>Intersection/Interchange Improvements</t>
        </is>
      </c>
      <c r="F364" t="inlineStr">
        <is>
          <t>Palos Hills</t>
        </is>
      </c>
      <c r="G364" s="5" t="n">
        <v>2084760</v>
      </c>
      <c r="H364" t="inlineStr">
        <is>
          <t>No</t>
        </is>
      </c>
      <c r="I364" t="inlineStr">
        <is>
          <t>No</t>
        </is>
      </c>
      <c r="J364" t="inlineStr">
        <is>
          <t>No</t>
        </is>
      </c>
    </row>
    <row r="365">
      <c r="A365" t="inlineStr">
        <is>
          <t>FFY2025</t>
        </is>
      </c>
      <c r="B365" t="inlineStr">
        <is>
          <t>FHWA Obligation</t>
        </is>
      </c>
      <c r="C365" t="inlineStr">
        <is>
          <t>06-15-0022</t>
        </is>
      </c>
      <c r="D365" t="inlineStr">
        <is>
          <t>123rd St Over Mill Creek and between 93rd Ave and Hobart Ave</t>
        </is>
      </c>
      <c r="E365" t="inlineStr">
        <is>
          <t>Bridge Repair, Rehab, or Replace</t>
        </is>
      </c>
      <c r="F365" t="inlineStr">
        <is>
          <t>Palos Park</t>
        </is>
      </c>
      <c r="G365" s="5" t="n">
        <v>1276718</v>
      </c>
      <c r="H365" t="inlineStr">
        <is>
          <t>No</t>
        </is>
      </c>
      <c r="I365" t="inlineStr">
        <is>
          <t>No</t>
        </is>
      </c>
      <c r="J365" t="inlineStr">
        <is>
          <t>No</t>
        </is>
      </c>
    </row>
    <row r="366">
      <c r="A366" t="inlineStr">
        <is>
          <t>FFY2025</t>
        </is>
      </c>
      <c r="B366" t="inlineStr">
        <is>
          <t>FHWA Obligation</t>
        </is>
      </c>
      <c r="C366" t="inlineStr">
        <is>
          <t>07-22-0086</t>
        </is>
      </c>
      <c r="D366" t="inlineStr">
        <is>
          <t>Western Ave - At Thorn Creek</t>
        </is>
      </c>
      <c r="E366" t="inlineStr">
        <is>
          <t>Bridge Routine Maintenance</t>
        </is>
      </c>
      <c r="F366" t="inlineStr">
        <is>
          <t>Park Forest</t>
        </is>
      </c>
      <c r="G366" s="5" t="n">
        <v>440000</v>
      </c>
      <c r="H366" t="inlineStr">
        <is>
          <t>No</t>
        </is>
      </c>
      <c r="I366" t="inlineStr">
        <is>
          <t>No</t>
        </is>
      </c>
      <c r="J366" t="inlineStr">
        <is>
          <t>No</t>
        </is>
      </c>
    </row>
    <row r="367">
      <c r="A367" t="inlineStr">
        <is>
          <t>FFY2025</t>
        </is>
      </c>
      <c r="B367" t="inlineStr">
        <is>
          <t>AC Authorization</t>
        </is>
      </c>
      <c r="C367" t="inlineStr">
        <is>
          <t>07-20-0049</t>
        </is>
      </c>
      <c r="D367" t="inlineStr">
        <is>
          <t>Park Forest: Westwood / Norwood Drive - Sauk Trail to Western Ave</t>
        </is>
      </c>
      <c r="E367" t="inlineStr">
        <is>
          <t>Road Maintenance</t>
        </is>
      </c>
      <c r="F367" t="inlineStr">
        <is>
          <t>Park Forest</t>
        </is>
      </c>
      <c r="G367" s="5" t="n">
        <v>419071</v>
      </c>
      <c r="H367" t="inlineStr">
        <is>
          <t>Yes</t>
        </is>
      </c>
      <c r="I367" t="inlineStr">
        <is>
          <t>Yes</t>
        </is>
      </c>
      <c r="J367" t="inlineStr">
        <is>
          <t>Yes</t>
        </is>
      </c>
    </row>
    <row r="368">
      <c r="A368" t="inlineStr">
        <is>
          <t>FFY2025</t>
        </is>
      </c>
      <c r="B368" t="inlineStr">
        <is>
          <t>FHWA Obligation</t>
        </is>
      </c>
      <c r="C368" t="inlineStr">
        <is>
          <t>04-17-0011</t>
        </is>
      </c>
      <c r="D368" t="inlineStr">
        <is>
          <t>Des Plaines River Trail from Touhy to North Avenue</t>
        </is>
      </c>
      <c r="E368" t="inlineStr">
        <is>
          <t>Bicycle &amp; Pedestrian</t>
        </is>
      </c>
      <c r="F368" t="inlineStr">
        <is>
          <t>Park Ridge</t>
        </is>
      </c>
      <c r="G368" s="5" t="n">
        <v>2524900</v>
      </c>
      <c r="H368" t="inlineStr">
        <is>
          <t>Yes</t>
        </is>
      </c>
      <c r="I368" t="inlineStr">
        <is>
          <t>No</t>
        </is>
      </c>
      <c r="J368" t="inlineStr">
        <is>
          <t>No</t>
        </is>
      </c>
    </row>
    <row r="369">
      <c r="A369" t="inlineStr">
        <is>
          <t>FFY2025</t>
        </is>
      </c>
      <c r="B369" t="inlineStr">
        <is>
          <t>FHWA Obligation</t>
        </is>
      </c>
      <c r="C369" t="inlineStr">
        <is>
          <t>04-17-0011</t>
        </is>
      </c>
      <c r="D369" t="inlineStr">
        <is>
          <t>Des Plaines River Trail from Touhy to North Avenue</t>
        </is>
      </c>
      <c r="E369" t="inlineStr">
        <is>
          <t>Bicycle &amp; Pedestrian</t>
        </is>
      </c>
      <c r="F369" t="inlineStr">
        <is>
          <t>Park Ridge</t>
        </is>
      </c>
      <c r="G369" s="5" t="n">
        <v>257400</v>
      </c>
      <c r="H369" t="inlineStr">
        <is>
          <t>Yes</t>
        </is>
      </c>
      <c r="I369" t="inlineStr">
        <is>
          <t>No</t>
        </is>
      </c>
      <c r="J369" t="inlineStr">
        <is>
          <t>No</t>
        </is>
      </c>
    </row>
    <row r="370">
      <c r="A370" t="inlineStr">
        <is>
          <t>FFY2025</t>
        </is>
      </c>
      <c r="B370" t="inlineStr">
        <is>
          <t>FHWA Obligation</t>
        </is>
      </c>
      <c r="C370" t="inlineStr">
        <is>
          <t>04-17-0011</t>
        </is>
      </c>
      <c r="D370" t="inlineStr">
        <is>
          <t>Des Plaines River Trail from Touhy to North Avenue</t>
        </is>
      </c>
      <c r="E370" t="inlineStr">
        <is>
          <t>Bicycle &amp; Pedestrian</t>
        </is>
      </c>
      <c r="F370" t="inlineStr">
        <is>
          <t>Park Ridge</t>
        </is>
      </c>
      <c r="G370" s="5" t="n">
        <v>163300</v>
      </c>
      <c r="H370" t="inlineStr">
        <is>
          <t>Yes</t>
        </is>
      </c>
      <c r="I370" t="inlineStr">
        <is>
          <t>No</t>
        </is>
      </c>
      <c r="J370" t="inlineStr">
        <is>
          <t>No</t>
        </is>
      </c>
    </row>
    <row r="371">
      <c r="A371" t="inlineStr">
        <is>
          <t>FFY2025</t>
        </is>
      </c>
      <c r="B371" t="inlineStr">
        <is>
          <t>AC Authorization</t>
        </is>
      </c>
      <c r="C371" t="inlineStr">
        <is>
          <t>03-24-0009</t>
        </is>
      </c>
      <c r="D371" t="inlineStr">
        <is>
          <t>Dee Road Resurfacing</t>
        </is>
      </c>
      <c r="E371" t="inlineStr">
        <is>
          <t>Road Maintenance</t>
        </is>
      </c>
      <c r="F371" t="inlineStr">
        <is>
          <t>Park Ridge</t>
        </is>
      </c>
      <c r="G371" s="5" t="n">
        <v>2752076</v>
      </c>
      <c r="H371" t="inlineStr">
        <is>
          <t>Yes</t>
        </is>
      </c>
      <c r="I371" t="inlineStr">
        <is>
          <t>Yes</t>
        </is>
      </c>
      <c r="J371" t="inlineStr">
        <is>
          <t>Yes</t>
        </is>
      </c>
    </row>
    <row r="372">
      <c r="A372" t="inlineStr">
        <is>
          <t>FFY2025</t>
        </is>
      </c>
      <c r="B372" t="inlineStr">
        <is>
          <t>FHWA Obligation</t>
        </is>
      </c>
      <c r="C372" t="inlineStr">
        <is>
          <t>03-18-0014</t>
        </is>
      </c>
      <c r="D372" t="inlineStr">
        <is>
          <t>Busse Hwy - US 14 (Miner St) to Touhy Ave</t>
        </is>
      </c>
      <c r="E372" t="inlineStr">
        <is>
          <t>Road Maintenance</t>
        </is>
      </c>
      <c r="F372" t="inlineStr">
        <is>
          <t>Park Ridge</t>
        </is>
      </c>
      <c r="G372" s="5" t="n">
        <v>4621448</v>
      </c>
      <c r="H372" t="inlineStr">
        <is>
          <t>Yes</t>
        </is>
      </c>
      <c r="I372" t="inlineStr">
        <is>
          <t>Yes</t>
        </is>
      </c>
      <c r="J372" t="inlineStr">
        <is>
          <t>No</t>
        </is>
      </c>
    </row>
    <row r="373">
      <c r="A373" t="inlineStr">
        <is>
          <t>FFY2025</t>
        </is>
      </c>
      <c r="B373" t="inlineStr">
        <is>
          <t>FHWA Obligation</t>
        </is>
      </c>
      <c r="C373" t="inlineStr">
        <is>
          <t>03-22-0009</t>
        </is>
      </c>
      <c r="D373" t="inlineStr">
        <is>
          <t>Prospect Heights Metra Station and Pace Route Access Improvements</t>
        </is>
      </c>
      <c r="E373" t="inlineStr">
        <is>
          <t>Bicycle &amp; Pedestrian</t>
        </is>
      </c>
      <c r="F373" t="inlineStr">
        <is>
          <t>Prospect Heights</t>
        </is>
      </c>
      <c r="G373" s="5" t="n">
        <v>593573</v>
      </c>
      <c r="H373" t="inlineStr">
        <is>
          <t>Yes</t>
        </is>
      </c>
      <c r="I373" t="inlineStr">
        <is>
          <t>Yes</t>
        </is>
      </c>
      <c r="J373" t="inlineStr">
        <is>
          <t>No</t>
        </is>
      </c>
    </row>
    <row r="374">
      <c r="A374" t="inlineStr">
        <is>
          <t>FFY2025</t>
        </is>
      </c>
      <c r="B374" t="inlineStr">
        <is>
          <t>FHWA Obligation</t>
        </is>
      </c>
      <c r="C374" t="inlineStr">
        <is>
          <t>03-22-0009</t>
        </is>
      </c>
      <c r="D374" t="inlineStr">
        <is>
          <t>Prospect Heights Metra Station and Pace Route Access Improvements</t>
        </is>
      </c>
      <c r="E374" t="inlineStr">
        <is>
          <t>Bicycle &amp; Pedestrian</t>
        </is>
      </c>
      <c r="F374" t="inlineStr">
        <is>
          <t>Prospect Heights</t>
        </is>
      </c>
      <c r="G374" s="5" t="n">
        <v>113766</v>
      </c>
      <c r="H374" t="inlineStr">
        <is>
          <t>Yes</t>
        </is>
      </c>
      <c r="I374" t="inlineStr">
        <is>
          <t>Yes</t>
        </is>
      </c>
      <c r="J374" t="inlineStr">
        <is>
          <t>No</t>
        </is>
      </c>
    </row>
    <row r="375">
      <c r="A375" t="inlineStr">
        <is>
          <t>FFY2025</t>
        </is>
      </c>
      <c r="B375" t="inlineStr">
        <is>
          <t>AC Authorization</t>
        </is>
      </c>
      <c r="C375" t="inlineStr">
        <is>
          <t>07-24-0043</t>
        </is>
      </c>
      <c r="D375" t="inlineStr">
        <is>
          <t>Various - at Various Intersection Locations in Cook Co.</t>
        </is>
      </c>
      <c r="E375" t="inlineStr">
        <is>
          <t>Intersection/Interchange Improvements</t>
        </is>
      </c>
      <c r="F375" t="inlineStr">
        <is>
          <t>Richton Park</t>
        </is>
      </c>
      <c r="G375" s="5" t="n">
        <v>2250000</v>
      </c>
      <c r="H375" t="inlineStr">
        <is>
          <t>No</t>
        </is>
      </c>
      <c r="I375" t="inlineStr">
        <is>
          <t>No</t>
        </is>
      </c>
      <c r="J375" t="inlineStr">
        <is>
          <t>No</t>
        </is>
      </c>
    </row>
    <row r="376">
      <c r="A376" t="inlineStr">
        <is>
          <t>FFY2025</t>
        </is>
      </c>
      <c r="B376" t="inlineStr">
        <is>
          <t>AC Authorization</t>
        </is>
      </c>
      <c r="C376" t="inlineStr">
        <is>
          <t>07-09-0025</t>
        </is>
      </c>
      <c r="D376" t="inlineStr">
        <is>
          <t>IL 50 Cicero Ave from N of Steger Rd (Village Limits) to University Pkwy</t>
        </is>
      </c>
      <c r="E376" t="inlineStr">
        <is>
          <t>Transportation Enhancements</t>
        </is>
      </c>
      <c r="F376" t="inlineStr">
        <is>
          <t>Richton Park</t>
        </is>
      </c>
      <c r="G376" s="5" t="n">
        <v>1139994</v>
      </c>
      <c r="H376" t="inlineStr">
        <is>
          <t>Yes</t>
        </is>
      </c>
      <c r="I376" t="inlineStr">
        <is>
          <t>No</t>
        </is>
      </c>
      <c r="J376" t="inlineStr">
        <is>
          <t>Yes</t>
        </is>
      </c>
    </row>
    <row r="377">
      <c r="A377" t="inlineStr">
        <is>
          <t>FFY2025</t>
        </is>
      </c>
      <c r="B377" t="inlineStr">
        <is>
          <t>AC Authorization</t>
        </is>
      </c>
      <c r="C377" t="inlineStr">
        <is>
          <t>04-19-0014</t>
        </is>
      </c>
      <c r="D377" t="inlineStr">
        <is>
          <t>1) Ill 64 North Ave - I-294 (Tri-State Tollway) DuPage Co Line, 2) Ill 64 N Frontage Rd - 7th Ave (Hospital Entrance) to 5th Ave, 3) Ill 64 North Ave - 25th Ave to 5th Ave; 4) 5th Ave - N River Rd to Ill 64 (North Ave)</t>
        </is>
      </c>
      <c r="E377" t="inlineStr">
        <is>
          <t>Road Maintenance</t>
        </is>
      </c>
      <c r="F377" t="inlineStr">
        <is>
          <t>River Forest</t>
        </is>
      </c>
      <c r="G377" s="5" t="n">
        <v>10842000</v>
      </c>
      <c r="H377" t="inlineStr">
        <is>
          <t>Yes</t>
        </is>
      </c>
      <c r="I377" t="inlineStr">
        <is>
          <t>Yes</t>
        </is>
      </c>
      <c r="J377" t="inlineStr">
        <is>
          <t>No</t>
        </is>
      </c>
    </row>
    <row r="378">
      <c r="A378" t="inlineStr">
        <is>
          <t>FFY2025</t>
        </is>
      </c>
      <c r="B378" t="inlineStr">
        <is>
          <t>AC Authorization</t>
        </is>
      </c>
      <c r="C378" t="inlineStr">
        <is>
          <t>04-19-0014</t>
        </is>
      </c>
      <c r="D378" t="inlineStr">
        <is>
          <t>1) Ill 64 North Ave - I-294 (Tri-State Tollway) DuPage Co Line, 2) Ill 64 N Frontage Rd - 7th Ave (Hospital Entrance) to 5th Ave, 3) Ill 64 North Ave - 25th Ave to 5th Ave; 4) 5th Ave - N River Rd to Ill 64 (North Ave)</t>
        </is>
      </c>
      <c r="E378" t="inlineStr">
        <is>
          <t>Road Maintenance</t>
        </is>
      </c>
      <c r="F378" t="inlineStr">
        <is>
          <t>River Forest</t>
        </is>
      </c>
      <c r="G378" s="5" t="n">
        <v>960000</v>
      </c>
      <c r="H378" t="inlineStr">
        <is>
          <t>Yes</t>
        </is>
      </c>
      <c r="I378" t="inlineStr">
        <is>
          <t>Yes</t>
        </is>
      </c>
      <c r="J378" t="inlineStr">
        <is>
          <t>No</t>
        </is>
      </c>
    </row>
    <row r="379">
      <c r="A379" t="inlineStr">
        <is>
          <t>FFY2025</t>
        </is>
      </c>
      <c r="B379" t="inlineStr">
        <is>
          <t>AC Authorization</t>
        </is>
      </c>
      <c r="C379" t="inlineStr">
        <is>
          <t>04-19-0014</t>
        </is>
      </c>
      <c r="D379" t="inlineStr">
        <is>
          <t>1) Ill 64 North Ave - I-294 (Tri-State Tollway) DuPage Co Line, 2) Ill 64 N Frontage Rd - 7th Ave (Hospital Entrance) to 5th Ave, 3) Ill 64 North Ave - 25th Ave to 5th Ave; 4) 5th Ave - N River Rd to Ill 64 (North Ave)</t>
        </is>
      </c>
      <c r="E379" t="inlineStr">
        <is>
          <t>Road Maintenance</t>
        </is>
      </c>
      <c r="F379" t="inlineStr">
        <is>
          <t>River Forest</t>
        </is>
      </c>
      <c r="G379" s="5" t="n">
        <v>4000000</v>
      </c>
      <c r="H379" t="inlineStr">
        <is>
          <t>Yes</t>
        </is>
      </c>
      <c r="I379" t="inlineStr">
        <is>
          <t>Yes</t>
        </is>
      </c>
      <c r="J379" t="inlineStr">
        <is>
          <t>No</t>
        </is>
      </c>
    </row>
    <row r="380">
      <c r="A380" t="inlineStr">
        <is>
          <t>FFY2025</t>
        </is>
      </c>
      <c r="B380" t="inlineStr">
        <is>
          <t>AC Authorization</t>
        </is>
      </c>
      <c r="C380" t="inlineStr">
        <is>
          <t>05-16-0007</t>
        </is>
      </c>
      <c r="D380" t="inlineStr">
        <is>
          <t>IL 56 from IL 59 to IL 50; Cermak Rd./22nd St., Renaissance Blvd (West of) to IL 50 (Cicero Ave.)</t>
        </is>
      </c>
      <c r="E380" t="inlineStr">
        <is>
          <t>Road Maintenance</t>
        </is>
      </c>
      <c r="F380" t="inlineStr">
        <is>
          <t>River Forest</t>
        </is>
      </c>
      <c r="G380" s="5" t="n">
        <v>2913880</v>
      </c>
      <c r="H380" t="inlineStr">
        <is>
          <t>No</t>
        </is>
      </c>
      <c r="I380" t="inlineStr">
        <is>
          <t>No</t>
        </is>
      </c>
      <c r="J380" t="inlineStr">
        <is>
          <t>No</t>
        </is>
      </c>
    </row>
    <row r="381">
      <c r="A381" t="inlineStr">
        <is>
          <t>FFY2025</t>
        </is>
      </c>
      <c r="B381" t="inlineStr">
        <is>
          <t>FHWA Obligation</t>
        </is>
      </c>
      <c r="C381" t="inlineStr">
        <is>
          <t>04-19-0014</t>
        </is>
      </c>
      <c r="D381" t="inlineStr">
        <is>
          <t>1) Ill 64 North Ave - I-294 (Tri-State Tollway) DuPage Co Line, 2) Ill 64 N Frontage Rd - 7th Ave (Hospital Entrance) to 5th Ave, 3) Ill 64 North Ave - 25th Ave to 5th Ave; 4) 5th Ave - N River Rd to Ill 64 (North Ave)</t>
        </is>
      </c>
      <c r="E381" t="inlineStr">
        <is>
          <t>Road Maintenance</t>
        </is>
      </c>
      <c r="F381" t="inlineStr">
        <is>
          <t>River Forest</t>
        </is>
      </c>
      <c r="G381" s="5" t="n">
        <v>1360000</v>
      </c>
      <c r="H381" t="inlineStr">
        <is>
          <t>Yes</t>
        </is>
      </c>
      <c r="I381" t="inlineStr">
        <is>
          <t>Yes</t>
        </is>
      </c>
      <c r="J381" t="inlineStr">
        <is>
          <t>No</t>
        </is>
      </c>
    </row>
    <row r="382">
      <c r="A382" t="inlineStr">
        <is>
          <t>FFY2025</t>
        </is>
      </c>
      <c r="B382" t="inlineStr">
        <is>
          <t>FHWA Obligation</t>
        </is>
      </c>
      <c r="C382" t="inlineStr">
        <is>
          <t>05-16-0007</t>
        </is>
      </c>
      <c r="D382" t="inlineStr">
        <is>
          <t>IL 56 from IL 59 to IL 50; Cermak Rd./22nd St., Renaissance Blvd (West of) to IL 50 (Cicero Ave.)</t>
        </is>
      </c>
      <c r="E382" t="inlineStr">
        <is>
          <t>Road Maintenance</t>
        </is>
      </c>
      <c r="F382" t="inlineStr">
        <is>
          <t>River Forest</t>
        </is>
      </c>
      <c r="G382" s="5" t="n">
        <v>116074</v>
      </c>
      <c r="H382" t="inlineStr">
        <is>
          <t>No</t>
        </is>
      </c>
      <c r="I382" t="inlineStr">
        <is>
          <t>No</t>
        </is>
      </c>
      <c r="J382" t="inlineStr">
        <is>
          <t>No</t>
        </is>
      </c>
    </row>
    <row r="383">
      <c r="A383" t="inlineStr">
        <is>
          <t>FFY2025</t>
        </is>
      </c>
      <c r="B383" t="inlineStr">
        <is>
          <t>FHWA Obligation</t>
        </is>
      </c>
      <c r="C383" t="inlineStr">
        <is>
          <t>05-16-0007</t>
        </is>
      </c>
      <c r="D383" t="inlineStr">
        <is>
          <t>IL 56 from IL 59 to IL 50; Cermak Rd./22nd St., Renaissance Blvd (West of) to IL 50 (Cicero Ave.)</t>
        </is>
      </c>
      <c r="E383" t="inlineStr">
        <is>
          <t>Road Maintenance</t>
        </is>
      </c>
      <c r="F383" t="inlineStr">
        <is>
          <t>River Forest</t>
        </is>
      </c>
      <c r="G383" s="5" t="n">
        <v>16038095</v>
      </c>
      <c r="H383" t="inlineStr">
        <is>
          <t>No</t>
        </is>
      </c>
      <c r="I383" t="inlineStr">
        <is>
          <t>No</t>
        </is>
      </c>
      <c r="J383" t="inlineStr">
        <is>
          <t>No</t>
        </is>
      </c>
    </row>
    <row r="384">
      <c r="A384" t="inlineStr">
        <is>
          <t>FFY2025</t>
        </is>
      </c>
      <c r="B384" t="inlineStr">
        <is>
          <t>FHWA Obligation</t>
        </is>
      </c>
      <c r="C384" t="inlineStr">
        <is>
          <t>04-17-0011</t>
        </is>
      </c>
      <c r="D384" t="inlineStr">
        <is>
          <t>Des Plaines River Trail from Touhy to North Avenue</t>
        </is>
      </c>
      <c r="E384" t="inlineStr">
        <is>
          <t>Bicycle &amp; Pedestrian</t>
        </is>
      </c>
      <c r="F384" t="inlineStr">
        <is>
          <t>River Grove</t>
        </is>
      </c>
      <c r="G384" s="5" t="n">
        <v>2524900</v>
      </c>
      <c r="H384" t="inlineStr">
        <is>
          <t>Yes</t>
        </is>
      </c>
      <c r="I384" t="inlineStr">
        <is>
          <t>No</t>
        </is>
      </c>
      <c r="J384" t="inlineStr">
        <is>
          <t>No</t>
        </is>
      </c>
    </row>
    <row r="385">
      <c r="A385" t="inlineStr">
        <is>
          <t>FFY2025</t>
        </is>
      </c>
      <c r="B385" t="inlineStr">
        <is>
          <t>FHWA Obligation</t>
        </is>
      </c>
      <c r="C385" t="inlineStr">
        <is>
          <t>04-17-0011</t>
        </is>
      </c>
      <c r="D385" t="inlineStr">
        <is>
          <t>Des Plaines River Trail from Touhy to North Avenue</t>
        </is>
      </c>
      <c r="E385" t="inlineStr">
        <is>
          <t>Bicycle &amp; Pedestrian</t>
        </is>
      </c>
      <c r="F385" t="inlineStr">
        <is>
          <t>River Grove</t>
        </is>
      </c>
      <c r="G385" s="5" t="n">
        <v>257400</v>
      </c>
      <c r="H385" t="inlineStr">
        <is>
          <t>Yes</t>
        </is>
      </c>
      <c r="I385" t="inlineStr">
        <is>
          <t>No</t>
        </is>
      </c>
      <c r="J385" t="inlineStr">
        <is>
          <t>No</t>
        </is>
      </c>
    </row>
    <row r="386">
      <c r="A386" t="inlineStr">
        <is>
          <t>FFY2025</t>
        </is>
      </c>
      <c r="B386" t="inlineStr">
        <is>
          <t>FHWA Obligation</t>
        </is>
      </c>
      <c r="C386" t="inlineStr">
        <is>
          <t>04-17-0011</t>
        </is>
      </c>
      <c r="D386" t="inlineStr">
        <is>
          <t>Des Plaines River Trail from Touhy to North Avenue</t>
        </is>
      </c>
      <c r="E386" t="inlineStr">
        <is>
          <t>Bicycle &amp; Pedestrian</t>
        </is>
      </c>
      <c r="F386" t="inlineStr">
        <is>
          <t>River Grove</t>
        </is>
      </c>
      <c r="G386" s="5" t="n">
        <v>163300</v>
      </c>
      <c r="H386" t="inlineStr">
        <is>
          <t>Yes</t>
        </is>
      </c>
      <c r="I386" t="inlineStr">
        <is>
          <t>No</t>
        </is>
      </c>
      <c r="J386" t="inlineStr">
        <is>
          <t>No</t>
        </is>
      </c>
    </row>
    <row r="387">
      <c r="A387" t="inlineStr">
        <is>
          <t>FFY2025</t>
        </is>
      </c>
      <c r="B387" t="inlineStr">
        <is>
          <t>AC Authorization</t>
        </is>
      </c>
      <c r="C387" t="inlineStr">
        <is>
          <t>04-19-0014</t>
        </is>
      </c>
      <c r="D387" t="inlineStr">
        <is>
          <t>1) Ill 64 North Ave - I-294 (Tri-State Tollway) DuPage Co Line, 2) Ill 64 N Frontage Rd - 7th Ave (Hospital Entrance) to 5th Ave, 3) Ill 64 North Ave - 25th Ave to 5th Ave; 4) 5th Ave - N River Rd to Ill 64 (North Ave)</t>
        </is>
      </c>
      <c r="E387" t="inlineStr">
        <is>
          <t>Road Maintenance</t>
        </is>
      </c>
      <c r="F387" t="inlineStr">
        <is>
          <t>River Grove</t>
        </is>
      </c>
      <c r="G387" s="5" t="n">
        <v>10842000</v>
      </c>
      <c r="H387" t="inlineStr">
        <is>
          <t>Yes</t>
        </is>
      </c>
      <c r="I387" t="inlineStr">
        <is>
          <t>Yes</t>
        </is>
      </c>
      <c r="J387" t="inlineStr">
        <is>
          <t>No</t>
        </is>
      </c>
    </row>
    <row r="388">
      <c r="A388" t="inlineStr">
        <is>
          <t>FFY2025</t>
        </is>
      </c>
      <c r="B388" t="inlineStr">
        <is>
          <t>AC Authorization</t>
        </is>
      </c>
      <c r="C388" t="inlineStr">
        <is>
          <t>04-19-0014</t>
        </is>
      </c>
      <c r="D388" t="inlineStr">
        <is>
          <t>1) Ill 64 North Ave - I-294 (Tri-State Tollway) DuPage Co Line, 2) Ill 64 N Frontage Rd - 7th Ave (Hospital Entrance) to 5th Ave, 3) Ill 64 North Ave - 25th Ave to 5th Ave; 4) 5th Ave - N River Rd to Ill 64 (North Ave)</t>
        </is>
      </c>
      <c r="E388" t="inlineStr">
        <is>
          <t>Road Maintenance</t>
        </is>
      </c>
      <c r="F388" t="inlineStr">
        <is>
          <t>River Grove</t>
        </is>
      </c>
      <c r="G388" s="5" t="n">
        <v>960000</v>
      </c>
      <c r="H388" t="inlineStr">
        <is>
          <t>Yes</t>
        </is>
      </c>
      <c r="I388" t="inlineStr">
        <is>
          <t>Yes</t>
        </is>
      </c>
      <c r="J388" t="inlineStr">
        <is>
          <t>No</t>
        </is>
      </c>
    </row>
    <row r="389">
      <c r="A389" t="inlineStr">
        <is>
          <t>FFY2025</t>
        </is>
      </c>
      <c r="B389" t="inlineStr">
        <is>
          <t>AC Authorization</t>
        </is>
      </c>
      <c r="C389" t="inlineStr">
        <is>
          <t>04-19-0014</t>
        </is>
      </c>
      <c r="D389" t="inlineStr">
        <is>
          <t>1) Ill 64 North Ave - I-294 (Tri-State Tollway) DuPage Co Line, 2) Ill 64 N Frontage Rd - 7th Ave (Hospital Entrance) to 5th Ave, 3) Ill 64 North Ave - 25th Ave to 5th Ave; 4) 5th Ave - N River Rd to Ill 64 (North Ave)</t>
        </is>
      </c>
      <c r="E389" t="inlineStr">
        <is>
          <t>Road Maintenance</t>
        </is>
      </c>
      <c r="F389" t="inlineStr">
        <is>
          <t>River Grove</t>
        </is>
      </c>
      <c r="G389" s="5" t="n">
        <v>4000000</v>
      </c>
      <c r="H389" t="inlineStr">
        <is>
          <t>Yes</t>
        </is>
      </c>
      <c r="I389" t="inlineStr">
        <is>
          <t>Yes</t>
        </is>
      </c>
      <c r="J389" t="inlineStr">
        <is>
          <t>No</t>
        </is>
      </c>
    </row>
    <row r="390">
      <c r="A390" t="inlineStr">
        <is>
          <t>FFY2025</t>
        </is>
      </c>
      <c r="B390" t="inlineStr">
        <is>
          <t>AC Authorization</t>
        </is>
      </c>
      <c r="C390" t="inlineStr">
        <is>
          <t>05-16-0007</t>
        </is>
      </c>
      <c r="D390" t="inlineStr">
        <is>
          <t>IL 56 from IL 59 to IL 50; Cermak Rd./22nd St., Renaissance Blvd (West of) to IL 50 (Cicero Ave.)</t>
        </is>
      </c>
      <c r="E390" t="inlineStr">
        <is>
          <t>Road Maintenance</t>
        </is>
      </c>
      <c r="F390" t="inlineStr">
        <is>
          <t>River Grove</t>
        </is>
      </c>
      <c r="G390" s="5" t="n">
        <v>2913880</v>
      </c>
      <c r="H390" t="inlineStr">
        <is>
          <t>No</t>
        </is>
      </c>
      <c r="I390" t="inlineStr">
        <is>
          <t>No</t>
        </is>
      </c>
      <c r="J390" t="inlineStr">
        <is>
          <t>No</t>
        </is>
      </c>
    </row>
    <row r="391">
      <c r="A391" t="inlineStr">
        <is>
          <t>FFY2025</t>
        </is>
      </c>
      <c r="B391" t="inlineStr">
        <is>
          <t>FHWA Obligation</t>
        </is>
      </c>
      <c r="C391" t="inlineStr">
        <is>
          <t>04-19-0014</t>
        </is>
      </c>
      <c r="D391" t="inlineStr">
        <is>
          <t>1) Ill 64 North Ave - I-294 (Tri-State Tollway) DuPage Co Line, 2) Ill 64 N Frontage Rd - 7th Ave (Hospital Entrance) to 5th Ave, 3) Ill 64 North Ave - 25th Ave to 5th Ave; 4) 5th Ave - N River Rd to Ill 64 (North Ave)</t>
        </is>
      </c>
      <c r="E391" t="inlineStr">
        <is>
          <t>Road Maintenance</t>
        </is>
      </c>
      <c r="F391" t="inlineStr">
        <is>
          <t>River Grove</t>
        </is>
      </c>
      <c r="G391" s="5" t="n">
        <v>1360000</v>
      </c>
      <c r="H391" t="inlineStr">
        <is>
          <t>Yes</t>
        </is>
      </c>
      <c r="I391" t="inlineStr">
        <is>
          <t>Yes</t>
        </is>
      </c>
      <c r="J391" t="inlineStr">
        <is>
          <t>No</t>
        </is>
      </c>
    </row>
    <row r="392">
      <c r="A392" t="inlineStr">
        <is>
          <t>FFY2025</t>
        </is>
      </c>
      <c r="B392" t="inlineStr">
        <is>
          <t>FHWA Obligation</t>
        </is>
      </c>
      <c r="C392" t="inlineStr">
        <is>
          <t>05-16-0007</t>
        </is>
      </c>
      <c r="D392" t="inlineStr">
        <is>
          <t>IL 56 from IL 59 to IL 50; Cermak Rd./22nd St., Renaissance Blvd (West of) to IL 50 (Cicero Ave.)</t>
        </is>
      </c>
      <c r="E392" t="inlineStr">
        <is>
          <t>Road Maintenance</t>
        </is>
      </c>
      <c r="F392" t="inlineStr">
        <is>
          <t>River Grove</t>
        </is>
      </c>
      <c r="G392" s="5" t="n">
        <v>116074</v>
      </c>
      <c r="H392" t="inlineStr">
        <is>
          <t>No</t>
        </is>
      </c>
      <c r="I392" t="inlineStr">
        <is>
          <t>No</t>
        </is>
      </c>
      <c r="J392" t="inlineStr">
        <is>
          <t>No</t>
        </is>
      </c>
    </row>
    <row r="393">
      <c r="A393" t="inlineStr">
        <is>
          <t>FFY2025</t>
        </is>
      </c>
      <c r="B393" t="inlineStr">
        <is>
          <t>FHWA Obligation</t>
        </is>
      </c>
      <c r="C393" t="inlineStr">
        <is>
          <t>05-16-0007</t>
        </is>
      </c>
      <c r="D393" t="inlineStr">
        <is>
          <t>IL 56 from IL 59 to IL 50; Cermak Rd./22nd St., Renaissance Blvd (West of) to IL 50 (Cicero Ave.)</t>
        </is>
      </c>
      <c r="E393" t="inlineStr">
        <is>
          <t>Road Maintenance</t>
        </is>
      </c>
      <c r="F393" t="inlineStr">
        <is>
          <t>River Grove</t>
        </is>
      </c>
      <c r="G393" s="5" t="n">
        <v>16038095</v>
      </c>
      <c r="H393" t="inlineStr">
        <is>
          <t>No</t>
        </is>
      </c>
      <c r="I393" t="inlineStr">
        <is>
          <t>No</t>
        </is>
      </c>
      <c r="J393" t="inlineStr">
        <is>
          <t>No</t>
        </is>
      </c>
    </row>
    <row r="394">
      <c r="A394" t="inlineStr">
        <is>
          <t>FFY2025</t>
        </is>
      </c>
      <c r="B394" t="inlineStr">
        <is>
          <t>FHWA Obligation</t>
        </is>
      </c>
      <c r="C394" t="inlineStr">
        <is>
          <t>04-23-0002</t>
        </is>
      </c>
      <c r="D394" t="inlineStr">
        <is>
          <t>Ill 171 Thatcher Ave - S of Belmont Ave</t>
        </is>
      </c>
      <c r="E394" t="inlineStr">
        <is>
          <t>Safety</t>
        </is>
      </c>
      <c r="F394" t="inlineStr">
        <is>
          <t>River Grove</t>
        </is>
      </c>
      <c r="G394" s="5" t="n">
        <v>900000</v>
      </c>
      <c r="H394" t="inlineStr">
        <is>
          <t>No</t>
        </is>
      </c>
      <c r="I394" t="inlineStr">
        <is>
          <t>No</t>
        </is>
      </c>
      <c r="J394" t="inlineStr">
        <is>
          <t>Yes</t>
        </is>
      </c>
    </row>
    <row r="395">
      <c r="A395" t="inlineStr">
        <is>
          <t>FFY2025</t>
        </is>
      </c>
      <c r="B395" t="inlineStr">
        <is>
          <t>FHWA Obligation</t>
        </is>
      </c>
      <c r="C395" t="inlineStr">
        <is>
          <t>07-12-0006</t>
        </is>
      </c>
      <c r="D395" t="inlineStr">
        <is>
          <t>IL 1 Halsted St over IHB Railroad over CSX Railroad</t>
        </is>
      </c>
      <c r="E395" t="inlineStr">
        <is>
          <t>Bridge Repair, Rehab, or Replace</t>
        </is>
      </c>
      <c r="F395" t="inlineStr">
        <is>
          <t>Riverdale</t>
        </is>
      </c>
      <c r="G395" s="5" t="n">
        <v>7621393</v>
      </c>
      <c r="H395" t="inlineStr">
        <is>
          <t>Yes</t>
        </is>
      </c>
      <c r="I395" t="inlineStr">
        <is>
          <t>No</t>
        </is>
      </c>
      <c r="J395" t="inlineStr">
        <is>
          <t>No</t>
        </is>
      </c>
    </row>
    <row r="396">
      <c r="A396" t="inlineStr">
        <is>
          <t>FFY2025</t>
        </is>
      </c>
      <c r="B396" t="inlineStr">
        <is>
          <t>FHWA Obligation</t>
        </is>
      </c>
      <c r="C396" t="inlineStr">
        <is>
          <t>07-24-0003</t>
        </is>
      </c>
      <c r="D396" t="inlineStr">
        <is>
          <t>Ill 1 Halsted St - Over IHB RR &amp; Over CSX RR</t>
        </is>
      </c>
      <c r="E396" t="inlineStr">
        <is>
          <t>Bridge Repair, Rehab, or Replace</t>
        </is>
      </c>
      <c r="F396" t="inlineStr">
        <is>
          <t>Riverdale</t>
        </is>
      </c>
      <c r="G396" s="5" t="n">
        <v>7621393</v>
      </c>
      <c r="H396" t="inlineStr">
        <is>
          <t>No</t>
        </is>
      </c>
      <c r="I396" t="inlineStr">
        <is>
          <t>No</t>
        </is>
      </c>
      <c r="J396" t="inlineStr">
        <is>
          <t>No</t>
        </is>
      </c>
    </row>
    <row r="397">
      <c r="A397" t="inlineStr">
        <is>
          <t>FFY2025</t>
        </is>
      </c>
      <c r="B397" t="inlineStr">
        <is>
          <t>AC Authorization</t>
        </is>
      </c>
      <c r="C397" t="inlineStr">
        <is>
          <t>07-23-0004</t>
        </is>
      </c>
      <c r="D397" t="inlineStr">
        <is>
          <t>Natalie Creek Trail Project</t>
        </is>
      </c>
      <c r="E397" t="inlineStr">
        <is>
          <t>Bicycle &amp; Pedestrian</t>
        </is>
      </c>
      <c r="F397" t="inlineStr">
        <is>
          <t>Robbins</t>
        </is>
      </c>
      <c r="G397" s="5" t="n">
        <v>766440</v>
      </c>
      <c r="H397" t="inlineStr">
        <is>
          <t>Yes</t>
        </is>
      </c>
      <c r="I397" t="inlineStr">
        <is>
          <t>Yes</t>
        </is>
      </c>
      <c r="J397" t="inlineStr">
        <is>
          <t>No</t>
        </is>
      </c>
    </row>
    <row r="398">
      <c r="A398" t="inlineStr">
        <is>
          <t>FFY2025</t>
        </is>
      </c>
      <c r="B398" t="inlineStr">
        <is>
          <t>FHWA Obligation</t>
        </is>
      </c>
      <c r="C398" t="inlineStr">
        <is>
          <t>03-22-0002</t>
        </is>
      </c>
      <c r="D398" t="inlineStr">
        <is>
          <t>Hicks Rd/Euclid Rd Bike Path</t>
        </is>
      </c>
      <c r="E398" t="inlineStr">
        <is>
          <t>Bicycle &amp; Pedestrian</t>
        </is>
      </c>
      <c r="F398" t="inlineStr">
        <is>
          <t>Rolling Meadows</t>
        </is>
      </c>
      <c r="G398" s="5" t="n">
        <v>127031</v>
      </c>
      <c r="H398" t="inlineStr">
        <is>
          <t>Yes</t>
        </is>
      </c>
      <c r="I398" t="inlineStr">
        <is>
          <t>No</t>
        </is>
      </c>
      <c r="J398" t="inlineStr">
        <is>
          <t>No</t>
        </is>
      </c>
    </row>
    <row r="399">
      <c r="A399" t="inlineStr">
        <is>
          <t>FFY2025</t>
        </is>
      </c>
      <c r="B399" t="inlineStr">
        <is>
          <t>AC Authorization</t>
        </is>
      </c>
      <c r="C399" t="inlineStr">
        <is>
          <t>03-19-0002</t>
        </is>
      </c>
      <c r="D399" t="inlineStr">
        <is>
          <t>Ill 53 - Lake-Cook Rd to Ill 62 (Algonquin Rd) and S of US 12 (Rand Rd) to Ill 72 (Higgins Rd), At I-90 (Jane Addams Memorial Tollway), Ill 58 (Golf Rd) &amp; Woodfield Rd</t>
        </is>
      </c>
      <c r="E399" t="inlineStr">
        <is>
          <t>Bridge Repair, Rehab, or Replace</t>
        </is>
      </c>
      <c r="F399" t="inlineStr">
        <is>
          <t>Rolling Meadows</t>
        </is>
      </c>
      <c r="G399" s="5" t="n">
        <v>6875000</v>
      </c>
      <c r="H399" t="inlineStr">
        <is>
          <t>Yes</t>
        </is>
      </c>
      <c r="I399" t="inlineStr">
        <is>
          <t>Yes</t>
        </is>
      </c>
      <c r="J399" t="inlineStr">
        <is>
          <t>Yes</t>
        </is>
      </c>
    </row>
    <row r="400">
      <c r="A400" t="inlineStr">
        <is>
          <t>FFY2025</t>
        </is>
      </c>
      <c r="B400" t="inlineStr">
        <is>
          <t>FHWA Obligation</t>
        </is>
      </c>
      <c r="C400" t="inlineStr">
        <is>
          <t>03-19-0002</t>
        </is>
      </c>
      <c r="D400" t="inlineStr">
        <is>
          <t>Ill 53 - Lake-Cook Rd to Ill 62 (Algonquin Rd) and S of US 12 (Rand Rd) to Ill 72 (Higgins Rd), At I-90 (Jane Addams Memorial Tollway), Ill 58 (Golf Rd) &amp; Woodfield Rd</t>
        </is>
      </c>
      <c r="E400" t="inlineStr">
        <is>
          <t>Bridge Repair, Rehab, or Replace</t>
        </is>
      </c>
      <c r="F400" t="inlineStr">
        <is>
          <t>Rolling Meadows</t>
        </is>
      </c>
      <c r="G400" s="5" t="n">
        <v>9696318</v>
      </c>
      <c r="H400" t="inlineStr">
        <is>
          <t>Yes</t>
        </is>
      </c>
      <c r="I400" t="inlineStr">
        <is>
          <t>Yes</t>
        </is>
      </c>
      <c r="J400" t="inlineStr">
        <is>
          <t>Yes</t>
        </is>
      </c>
    </row>
    <row r="401">
      <c r="A401" t="inlineStr">
        <is>
          <t>FFY2025</t>
        </is>
      </c>
      <c r="B401" t="inlineStr">
        <is>
          <t>FHWA Obligation</t>
        </is>
      </c>
      <c r="C401" t="inlineStr">
        <is>
          <t>03-19-0002</t>
        </is>
      </c>
      <c r="D401" t="inlineStr">
        <is>
          <t>Ill 53 - Lake-Cook Rd to Ill 62 (Algonquin Rd) and S of US 12 (Rand Rd) to Ill 72 (Higgins Rd), At I-90 (Jane Addams Memorial Tollway), Ill 58 (Golf Rd) &amp; Woodfield Rd</t>
        </is>
      </c>
      <c r="E401" t="inlineStr">
        <is>
          <t>Bridge Repair, Rehab, or Replace</t>
        </is>
      </c>
      <c r="F401" t="inlineStr">
        <is>
          <t>Rolling Meadows</t>
        </is>
      </c>
      <c r="G401" s="5" t="n">
        <v>34631474</v>
      </c>
      <c r="H401" t="inlineStr">
        <is>
          <t>Yes</t>
        </is>
      </c>
      <c r="I401" t="inlineStr">
        <is>
          <t>Yes</t>
        </is>
      </c>
      <c r="J401" t="inlineStr">
        <is>
          <t>Yes</t>
        </is>
      </c>
    </row>
    <row r="402">
      <c r="A402" t="inlineStr">
        <is>
          <t>FFY2025</t>
        </is>
      </c>
      <c r="B402" t="inlineStr">
        <is>
          <t>FHWA Obligation</t>
        </is>
      </c>
      <c r="C402" t="inlineStr">
        <is>
          <t>03-19-0002</t>
        </is>
      </c>
      <c r="D402" t="inlineStr">
        <is>
          <t>Ill 53 - Lake-Cook Rd to Ill 62 (Algonquin Rd) and S of US 12 (Rand Rd) to Ill 72 (Higgins Rd), At I-90 (Jane Addams Memorial Tollway), Ill 58 (Golf Rd) &amp; Woodfield Rd</t>
        </is>
      </c>
      <c r="E402" t="inlineStr">
        <is>
          <t>Bridge Repair, Rehab, or Replace</t>
        </is>
      </c>
      <c r="F402" t="inlineStr">
        <is>
          <t>Rolling Meadows</t>
        </is>
      </c>
      <c r="G402" s="5" t="n">
        <v>16253</v>
      </c>
      <c r="H402" t="inlineStr">
        <is>
          <t>Yes</t>
        </is>
      </c>
      <c r="I402" t="inlineStr">
        <is>
          <t>Yes</t>
        </is>
      </c>
      <c r="J402" t="inlineStr">
        <is>
          <t>Yes</t>
        </is>
      </c>
    </row>
    <row r="403">
      <c r="A403" t="inlineStr">
        <is>
          <t>FFY2025</t>
        </is>
      </c>
      <c r="B403" t="inlineStr">
        <is>
          <t>FHWA Obligation</t>
        </is>
      </c>
      <c r="C403" t="inlineStr">
        <is>
          <t>03-19-0002</t>
        </is>
      </c>
      <c r="D403" t="inlineStr">
        <is>
          <t>Ill 53 - Lake-Cook Rd to Ill 62 (Algonquin Rd) and S of US 12 (Rand Rd) to Ill 72 (Higgins Rd), At I-90 (Jane Addams Memorial Tollway), Ill 58 (Golf Rd) &amp; Woodfield Rd</t>
        </is>
      </c>
      <c r="E403" t="inlineStr">
        <is>
          <t>Bridge Repair, Rehab, or Replace</t>
        </is>
      </c>
      <c r="F403" t="inlineStr">
        <is>
          <t>Rolling Meadows</t>
        </is>
      </c>
      <c r="G403" s="5" t="n">
        <v>86904481</v>
      </c>
      <c r="H403" t="inlineStr">
        <is>
          <t>Yes</t>
        </is>
      </c>
      <c r="I403" t="inlineStr">
        <is>
          <t>Yes</t>
        </is>
      </c>
      <c r="J403" t="inlineStr">
        <is>
          <t>Yes</t>
        </is>
      </c>
    </row>
    <row r="404">
      <c r="A404" t="inlineStr">
        <is>
          <t>FFY2025</t>
        </is>
      </c>
      <c r="B404" t="inlineStr">
        <is>
          <t>FHWA Obligation</t>
        </is>
      </c>
      <c r="C404" t="inlineStr">
        <is>
          <t>03-21-0010</t>
        </is>
      </c>
      <c r="D404" t="inlineStr">
        <is>
          <t>Meadowbrook Drive over Salt Creek</t>
        </is>
      </c>
      <c r="E404" t="inlineStr">
        <is>
          <t>Bridge Repair, Rehab, or Replace</t>
        </is>
      </c>
      <c r="F404" t="inlineStr">
        <is>
          <t>Rolling Meadows</t>
        </is>
      </c>
      <c r="G404" s="5" t="n">
        <v>88225</v>
      </c>
      <c r="H404" t="inlineStr">
        <is>
          <t>No</t>
        </is>
      </c>
      <c r="I404" t="inlineStr">
        <is>
          <t>No</t>
        </is>
      </c>
      <c r="J404" t="inlineStr">
        <is>
          <t>No</t>
        </is>
      </c>
    </row>
    <row r="405">
      <c r="A405" t="inlineStr">
        <is>
          <t>FFY2025</t>
        </is>
      </c>
      <c r="B405" t="inlineStr">
        <is>
          <t>AC Authorization</t>
        </is>
      </c>
      <c r="C405" t="inlineStr">
        <is>
          <t>03-06-0006</t>
        </is>
      </c>
      <c r="D405" t="inlineStr">
        <is>
          <t>IL 62 Algonquin Rd at New Wilke Rd</t>
        </is>
      </c>
      <c r="E405" t="inlineStr">
        <is>
          <t>Intersection/Interchange Improvements</t>
        </is>
      </c>
      <c r="F405" t="inlineStr">
        <is>
          <t>Rolling Meadows</t>
        </is>
      </c>
      <c r="G405" s="5" t="n">
        <v>2956000</v>
      </c>
      <c r="H405" t="inlineStr">
        <is>
          <t>Yes</t>
        </is>
      </c>
      <c r="I405" t="inlineStr">
        <is>
          <t>Yes</t>
        </is>
      </c>
      <c r="J405" t="inlineStr">
        <is>
          <t>No</t>
        </is>
      </c>
    </row>
    <row r="406">
      <c r="A406" t="inlineStr">
        <is>
          <t>FFY2025</t>
        </is>
      </c>
      <c r="B406" t="inlineStr">
        <is>
          <t>FHWA Obligation</t>
        </is>
      </c>
      <c r="C406" t="inlineStr">
        <is>
          <t>03-06-0006</t>
        </is>
      </c>
      <c r="D406" t="inlineStr">
        <is>
          <t>IL 62 Algonquin Rd at New Wilke Rd</t>
        </is>
      </c>
      <c r="E406" t="inlineStr">
        <is>
          <t>Intersection/Interchange Improvements</t>
        </is>
      </c>
      <c r="F406" t="inlineStr">
        <is>
          <t>Rolling Meadows</t>
        </is>
      </c>
      <c r="G406" s="5" t="n">
        <v>152000</v>
      </c>
      <c r="H406" t="inlineStr">
        <is>
          <t>Yes</t>
        </is>
      </c>
      <c r="I406" t="inlineStr">
        <is>
          <t>Yes</t>
        </is>
      </c>
      <c r="J406" t="inlineStr">
        <is>
          <t>No</t>
        </is>
      </c>
    </row>
    <row r="407">
      <c r="A407" t="inlineStr">
        <is>
          <t>FFY2025</t>
        </is>
      </c>
      <c r="B407" t="inlineStr">
        <is>
          <t>FHWA Obligation</t>
        </is>
      </c>
      <c r="C407" t="inlineStr">
        <is>
          <t>03-06-0006</t>
        </is>
      </c>
      <c r="D407" t="inlineStr">
        <is>
          <t>IL 62 Algonquin Rd at New Wilke Rd</t>
        </is>
      </c>
      <c r="E407" t="inlineStr">
        <is>
          <t>Intersection/Interchange Improvements</t>
        </is>
      </c>
      <c r="F407" t="inlineStr">
        <is>
          <t>Rolling Meadows</t>
        </is>
      </c>
      <c r="G407" s="5" t="n">
        <v>2956000</v>
      </c>
      <c r="H407" t="inlineStr">
        <is>
          <t>Yes</t>
        </is>
      </c>
      <c r="I407" t="inlineStr">
        <is>
          <t>Yes</t>
        </is>
      </c>
      <c r="J407" t="inlineStr">
        <is>
          <t>No</t>
        </is>
      </c>
    </row>
    <row r="408">
      <c r="A408" t="inlineStr">
        <is>
          <t>FFY2025</t>
        </is>
      </c>
      <c r="B408" t="inlineStr">
        <is>
          <t>FHWA Obligation</t>
        </is>
      </c>
      <c r="C408" t="inlineStr">
        <is>
          <t>03-20-0052</t>
        </is>
      </c>
      <c r="D408" t="inlineStr">
        <is>
          <t>Weber Dr from Central Rd to Algonquin Rd</t>
        </is>
      </c>
      <c r="E408" t="inlineStr">
        <is>
          <t>Road Modernization</t>
        </is>
      </c>
      <c r="F408" t="inlineStr">
        <is>
          <t>Rolling Meadows</t>
        </is>
      </c>
      <c r="G408" s="5" t="n">
        <v>99000</v>
      </c>
      <c r="H408" t="inlineStr">
        <is>
          <t>Yes</t>
        </is>
      </c>
      <c r="I408" t="inlineStr">
        <is>
          <t>Yes</t>
        </is>
      </c>
      <c r="J408" t="inlineStr">
        <is>
          <t>No</t>
        </is>
      </c>
    </row>
    <row r="409">
      <c r="A409" t="inlineStr">
        <is>
          <t>FFY2025</t>
        </is>
      </c>
      <c r="B409" t="inlineStr">
        <is>
          <t>FHWA Obligation</t>
        </is>
      </c>
      <c r="C409" t="inlineStr">
        <is>
          <t>04-17-0011</t>
        </is>
      </c>
      <c r="D409" t="inlineStr">
        <is>
          <t>Des Plaines River Trail from Touhy to North Avenue</t>
        </is>
      </c>
      <c r="E409" t="inlineStr">
        <is>
          <t>Bicycle &amp; Pedestrian</t>
        </is>
      </c>
      <c r="F409" t="inlineStr">
        <is>
          <t>Rosemont</t>
        </is>
      </c>
      <c r="G409" s="5" t="n">
        <v>2524900</v>
      </c>
      <c r="H409" t="inlineStr">
        <is>
          <t>Yes</t>
        </is>
      </c>
      <c r="I409" t="inlineStr">
        <is>
          <t>No</t>
        </is>
      </c>
      <c r="J409" t="inlineStr">
        <is>
          <t>No</t>
        </is>
      </c>
    </row>
    <row r="410">
      <c r="A410" t="inlineStr">
        <is>
          <t>FFY2025</t>
        </is>
      </c>
      <c r="B410" t="inlineStr">
        <is>
          <t>FHWA Obligation</t>
        </is>
      </c>
      <c r="C410" t="inlineStr">
        <is>
          <t>04-17-0011</t>
        </is>
      </c>
      <c r="D410" t="inlineStr">
        <is>
          <t>Des Plaines River Trail from Touhy to North Avenue</t>
        </is>
      </c>
      <c r="E410" t="inlineStr">
        <is>
          <t>Bicycle &amp; Pedestrian</t>
        </is>
      </c>
      <c r="F410" t="inlineStr">
        <is>
          <t>Rosemont</t>
        </is>
      </c>
      <c r="G410" s="5" t="n">
        <v>257400</v>
      </c>
      <c r="H410" t="inlineStr">
        <is>
          <t>Yes</t>
        </is>
      </c>
      <c r="I410" t="inlineStr">
        <is>
          <t>No</t>
        </is>
      </c>
      <c r="J410" t="inlineStr">
        <is>
          <t>No</t>
        </is>
      </c>
    </row>
    <row r="411">
      <c r="A411" t="inlineStr">
        <is>
          <t>FFY2025</t>
        </is>
      </c>
      <c r="B411" t="inlineStr">
        <is>
          <t>FHWA Obligation</t>
        </is>
      </c>
      <c r="C411" t="inlineStr">
        <is>
          <t>04-17-0011</t>
        </is>
      </c>
      <c r="D411" t="inlineStr">
        <is>
          <t>Des Plaines River Trail from Touhy to North Avenue</t>
        </is>
      </c>
      <c r="E411" t="inlineStr">
        <is>
          <t>Bicycle &amp; Pedestrian</t>
        </is>
      </c>
      <c r="F411" t="inlineStr">
        <is>
          <t>Rosemont</t>
        </is>
      </c>
      <c r="G411" s="5" t="n">
        <v>163300</v>
      </c>
      <c r="H411" t="inlineStr">
        <is>
          <t>Yes</t>
        </is>
      </c>
      <c r="I411" t="inlineStr">
        <is>
          <t>No</t>
        </is>
      </c>
      <c r="J411" t="inlineStr">
        <is>
          <t>No</t>
        </is>
      </c>
    </row>
    <row r="412">
      <c r="A412" t="inlineStr">
        <is>
          <t>FFY2025</t>
        </is>
      </c>
      <c r="B412" t="inlineStr">
        <is>
          <t>AC Authorization</t>
        </is>
      </c>
      <c r="C412" t="inlineStr">
        <is>
          <t>04-19-0001</t>
        </is>
      </c>
      <c r="D412" t="inlineStr">
        <is>
          <t>Rosemont Traffic Signals and Pedestrian Improvements</t>
        </is>
      </c>
      <c r="E412" t="inlineStr">
        <is>
          <t>Road Modernization</t>
        </is>
      </c>
      <c r="F412" t="inlineStr">
        <is>
          <t>Rosemont</t>
        </is>
      </c>
      <c r="G412" s="5" t="n">
        <v>3784050</v>
      </c>
      <c r="H412" t="inlineStr">
        <is>
          <t>Yes</t>
        </is>
      </c>
      <c r="I412" t="inlineStr">
        <is>
          <t>No</t>
        </is>
      </c>
      <c r="J412" t="inlineStr">
        <is>
          <t>Yes</t>
        </is>
      </c>
    </row>
    <row r="413">
      <c r="A413" t="inlineStr">
        <is>
          <t>FFY2025</t>
        </is>
      </c>
      <c r="B413" t="inlineStr">
        <is>
          <t>FHWA Obligation</t>
        </is>
      </c>
      <c r="C413" t="inlineStr">
        <is>
          <t>04-19-0001</t>
        </is>
      </c>
      <c r="D413" t="inlineStr">
        <is>
          <t>Rosemont Traffic Signals and Pedestrian Improvements</t>
        </is>
      </c>
      <c r="E413" t="inlineStr">
        <is>
          <t>Road Modernization</t>
        </is>
      </c>
      <c r="F413" t="inlineStr">
        <is>
          <t>Rosemont</t>
        </is>
      </c>
      <c r="G413" s="5" t="n">
        <v>159373</v>
      </c>
      <c r="H413" t="inlineStr">
        <is>
          <t>Yes</t>
        </is>
      </c>
      <c r="I413" t="inlineStr">
        <is>
          <t>No</t>
        </is>
      </c>
      <c r="J413" t="inlineStr">
        <is>
          <t>Yes</t>
        </is>
      </c>
    </row>
    <row r="414">
      <c r="A414" t="inlineStr">
        <is>
          <t>FFY2025</t>
        </is>
      </c>
      <c r="B414" t="inlineStr">
        <is>
          <t>AC Authorization</t>
        </is>
      </c>
      <c r="C414" t="inlineStr">
        <is>
          <t>07-16-0001</t>
        </is>
      </c>
      <c r="D414" t="inlineStr">
        <is>
          <t>Sauk Village Multi-use Path</t>
        </is>
      </c>
      <c r="E414" t="inlineStr">
        <is>
          <t>Bicycle &amp; Pedestrian</t>
        </is>
      </c>
      <c r="F414" t="inlineStr">
        <is>
          <t>Sauk Village</t>
        </is>
      </c>
      <c r="G414" s="5" t="n">
        <v>124800</v>
      </c>
      <c r="H414" t="inlineStr">
        <is>
          <t>Yes</t>
        </is>
      </c>
      <c r="I414" t="inlineStr">
        <is>
          <t>No</t>
        </is>
      </c>
      <c r="J414" t="inlineStr">
        <is>
          <t>No</t>
        </is>
      </c>
    </row>
    <row r="415">
      <c r="A415" t="inlineStr">
        <is>
          <t>FFY2025</t>
        </is>
      </c>
      <c r="B415" t="inlineStr">
        <is>
          <t>AC Authorization</t>
        </is>
      </c>
      <c r="C415" t="inlineStr">
        <is>
          <t>03-19-0022</t>
        </is>
      </c>
      <c r="D415" t="inlineStr">
        <is>
          <t>Golf Road and Meacham Road Multiuse Path</t>
        </is>
      </c>
      <c r="E415" t="inlineStr">
        <is>
          <t>Bicycle &amp; Pedestrian</t>
        </is>
      </c>
      <c r="F415" t="inlineStr">
        <is>
          <t>Schaumburg</t>
        </is>
      </c>
      <c r="G415" s="5" t="n">
        <v>1120000</v>
      </c>
      <c r="H415" t="inlineStr">
        <is>
          <t>Yes</t>
        </is>
      </c>
      <c r="I415" t="inlineStr">
        <is>
          <t>Yes</t>
        </is>
      </c>
      <c r="J415" t="inlineStr">
        <is>
          <t>No</t>
        </is>
      </c>
    </row>
    <row r="416">
      <c r="A416" t="inlineStr">
        <is>
          <t>FFY2025</t>
        </is>
      </c>
      <c r="B416" t="inlineStr">
        <is>
          <t>FHWA Obligation</t>
        </is>
      </c>
      <c r="C416" t="inlineStr">
        <is>
          <t>03-16-0015</t>
        </is>
      </c>
      <c r="D416" t="inlineStr">
        <is>
          <t>Roselle Rd from Central Rd to Hillcrest Blvd</t>
        </is>
      </c>
      <c r="E416" t="inlineStr">
        <is>
          <t>Bicycle &amp; Pedestrian</t>
        </is>
      </c>
      <c r="F416" t="inlineStr">
        <is>
          <t>Schaumburg</t>
        </is>
      </c>
      <c r="G416" s="5" t="n">
        <v>516000</v>
      </c>
      <c r="H416" t="inlineStr">
        <is>
          <t>Yes</t>
        </is>
      </c>
      <c r="I416" t="inlineStr">
        <is>
          <t>No</t>
        </is>
      </c>
      <c r="J416" t="inlineStr">
        <is>
          <t>No</t>
        </is>
      </c>
    </row>
    <row r="417">
      <c r="A417" t="inlineStr">
        <is>
          <t>FFY2025</t>
        </is>
      </c>
      <c r="B417" t="inlineStr">
        <is>
          <t>AC Authorization</t>
        </is>
      </c>
      <c r="C417" t="inlineStr">
        <is>
          <t>03-24-0007</t>
        </is>
      </c>
      <c r="D417" t="inlineStr">
        <is>
          <t>Ill 72/83 Higgins Rd - I-290 (Eisenhower Expwy) Ramps (NB) to NW of Landmeier Rd</t>
        </is>
      </c>
      <c r="E417" t="inlineStr">
        <is>
          <t>Road Maintenance</t>
        </is>
      </c>
      <c r="F417" t="inlineStr">
        <is>
          <t>Schaumburg</t>
        </is>
      </c>
      <c r="G417" s="5" t="n">
        <v>6560000</v>
      </c>
      <c r="H417" t="inlineStr">
        <is>
          <t>No</t>
        </is>
      </c>
      <c r="I417" t="inlineStr">
        <is>
          <t>No</t>
        </is>
      </c>
      <c r="J417" t="inlineStr">
        <is>
          <t>No</t>
        </is>
      </c>
    </row>
    <row r="418">
      <c r="A418" t="inlineStr">
        <is>
          <t>FFY2025</t>
        </is>
      </c>
      <c r="B418" t="inlineStr">
        <is>
          <t>AC Authorization</t>
        </is>
      </c>
      <c r="C418" t="inlineStr">
        <is>
          <t>03-24-0007</t>
        </is>
      </c>
      <c r="D418" t="inlineStr">
        <is>
          <t>Ill 72/83 Higgins Rd - I-290 (Eisenhower Expwy) Ramps (NB) to NW of Landmeier Rd</t>
        </is>
      </c>
      <c r="E418" t="inlineStr">
        <is>
          <t>Road Maintenance</t>
        </is>
      </c>
      <c r="F418" t="inlineStr">
        <is>
          <t>Schaumburg</t>
        </is>
      </c>
      <c r="G418" s="5" t="n">
        <v>1040000</v>
      </c>
      <c r="H418" t="inlineStr">
        <is>
          <t>No</t>
        </is>
      </c>
      <c r="I418" t="inlineStr">
        <is>
          <t>No</t>
        </is>
      </c>
      <c r="J418" t="inlineStr">
        <is>
          <t>No</t>
        </is>
      </c>
    </row>
    <row r="419">
      <c r="A419" t="inlineStr">
        <is>
          <t>FFY2025</t>
        </is>
      </c>
      <c r="B419" t="inlineStr">
        <is>
          <t>AC Authorization</t>
        </is>
      </c>
      <c r="C419" t="inlineStr">
        <is>
          <t>03-24-0008</t>
        </is>
      </c>
      <c r="D419" t="inlineStr">
        <is>
          <t>Ill 72 Higgins Rd - Audubon St to Lexington Dr</t>
        </is>
      </c>
      <c r="E419" t="inlineStr">
        <is>
          <t>Road Maintenance</t>
        </is>
      </c>
      <c r="F419" t="inlineStr">
        <is>
          <t>Schaumburg</t>
        </is>
      </c>
      <c r="G419" s="5" t="n">
        <v>2448000</v>
      </c>
      <c r="H419" t="inlineStr">
        <is>
          <t>Yes</t>
        </is>
      </c>
      <c r="I419" t="inlineStr">
        <is>
          <t>Yes</t>
        </is>
      </c>
      <c r="J419" t="inlineStr">
        <is>
          <t>No</t>
        </is>
      </c>
    </row>
    <row r="420">
      <c r="A420" t="inlineStr">
        <is>
          <t>FFY2025</t>
        </is>
      </c>
      <c r="B420" t="inlineStr">
        <is>
          <t>FHWA Obligation</t>
        </is>
      </c>
      <c r="C420" t="inlineStr">
        <is>
          <t>03-24-0008</t>
        </is>
      </c>
      <c r="D420" t="inlineStr">
        <is>
          <t>Ill 72 Higgins Rd - Audubon St to Lexington Dr</t>
        </is>
      </c>
      <c r="E420" t="inlineStr">
        <is>
          <t>Road Maintenance</t>
        </is>
      </c>
      <c r="F420" t="inlineStr">
        <is>
          <t>Schaumburg</t>
        </is>
      </c>
      <c r="G420" s="5" t="n">
        <v>200000</v>
      </c>
      <c r="H420" t="inlineStr">
        <is>
          <t>Yes</t>
        </is>
      </c>
      <c r="I420" t="inlineStr">
        <is>
          <t>Yes</t>
        </is>
      </c>
      <c r="J420" t="inlineStr">
        <is>
          <t>No</t>
        </is>
      </c>
    </row>
    <row r="421">
      <c r="A421" t="inlineStr">
        <is>
          <t>FFY2025</t>
        </is>
      </c>
      <c r="B421" t="inlineStr">
        <is>
          <t>FHWA Obligation</t>
        </is>
      </c>
      <c r="C421" t="inlineStr">
        <is>
          <t>08-22-0042</t>
        </is>
      </c>
      <c r="D421" t="inlineStr">
        <is>
          <t>Ill 19 Irving Park Rd - E of Wise Rd to Roselle Rd</t>
        </is>
      </c>
      <c r="E421" t="inlineStr">
        <is>
          <t>Road Maintenance</t>
        </is>
      </c>
      <c r="F421" t="inlineStr">
        <is>
          <t>Schaumburg</t>
        </is>
      </c>
      <c r="G421" s="5" t="n">
        <v>173600</v>
      </c>
      <c r="H421" t="inlineStr">
        <is>
          <t>Yes</t>
        </is>
      </c>
      <c r="I421" t="inlineStr">
        <is>
          <t>Yes</t>
        </is>
      </c>
      <c r="J421" t="inlineStr">
        <is>
          <t>Yes</t>
        </is>
      </c>
    </row>
    <row r="422">
      <c r="A422" t="inlineStr">
        <is>
          <t>FFY2025</t>
        </is>
      </c>
      <c r="B422" t="inlineStr">
        <is>
          <t>FHWA Obligation</t>
        </is>
      </c>
      <c r="C422" t="inlineStr">
        <is>
          <t>08-22-0042</t>
        </is>
      </c>
      <c r="D422" t="inlineStr">
        <is>
          <t>Ill 19 Irving Park Rd - E of Wise Rd to Roselle Rd</t>
        </is>
      </c>
      <c r="E422" t="inlineStr">
        <is>
          <t>Road Maintenance</t>
        </is>
      </c>
      <c r="F422" t="inlineStr">
        <is>
          <t>Schaumburg</t>
        </is>
      </c>
      <c r="G422" s="5" t="n">
        <v>1560000</v>
      </c>
      <c r="H422" t="inlineStr">
        <is>
          <t>Yes</t>
        </is>
      </c>
      <c r="I422" t="inlineStr">
        <is>
          <t>Yes</t>
        </is>
      </c>
      <c r="J422" t="inlineStr">
        <is>
          <t>Yes</t>
        </is>
      </c>
    </row>
    <row r="423">
      <c r="A423" t="inlineStr">
        <is>
          <t>FFY2025</t>
        </is>
      </c>
      <c r="B423" t="inlineStr">
        <is>
          <t>AC Authorization</t>
        </is>
      </c>
      <c r="C423" t="inlineStr">
        <is>
          <t>03-20-0041</t>
        </is>
      </c>
      <c r="D423" t="inlineStr">
        <is>
          <t>Woodfield Rd from Plum Grove Rd to Meacham Rd</t>
        </is>
      </c>
      <c r="E423" t="inlineStr">
        <is>
          <t>Road Modernization</t>
        </is>
      </c>
      <c r="F423" t="inlineStr">
        <is>
          <t>Schaumburg</t>
        </is>
      </c>
      <c r="G423" s="5" t="n">
        <v>2947707</v>
      </c>
      <c r="H423" t="inlineStr">
        <is>
          <t>Yes</t>
        </is>
      </c>
      <c r="I423" t="inlineStr">
        <is>
          <t>Yes</t>
        </is>
      </c>
      <c r="J423" t="inlineStr">
        <is>
          <t>Yes</t>
        </is>
      </c>
    </row>
    <row r="424">
      <c r="A424" t="inlineStr">
        <is>
          <t>FFY2025</t>
        </is>
      </c>
      <c r="B424" t="inlineStr">
        <is>
          <t>AC Authorization</t>
        </is>
      </c>
      <c r="C424" t="inlineStr">
        <is>
          <t>03-25-0002</t>
        </is>
      </c>
      <c r="D424" t="inlineStr">
        <is>
          <t>McConnor Parkway Reconstruction from Meacham Rd to Roosevelt Blvd</t>
        </is>
      </c>
      <c r="E424" t="inlineStr">
        <is>
          <t>Road Modernization</t>
        </is>
      </c>
      <c r="F424" t="inlineStr">
        <is>
          <t>Schaumburg</t>
        </is>
      </c>
      <c r="G424" s="5" t="n">
        <v>4526999</v>
      </c>
      <c r="H424" t="inlineStr">
        <is>
          <t>Yes</t>
        </is>
      </c>
      <c r="I424" t="inlineStr">
        <is>
          <t>Yes</t>
        </is>
      </c>
      <c r="J424" t="inlineStr">
        <is>
          <t>Yes</t>
        </is>
      </c>
    </row>
    <row r="425">
      <c r="A425" t="inlineStr">
        <is>
          <t>FFY2025</t>
        </is>
      </c>
      <c r="B425" t="inlineStr">
        <is>
          <t>AC Authorization</t>
        </is>
      </c>
      <c r="C425" t="inlineStr">
        <is>
          <t>03-25-0002</t>
        </is>
      </c>
      <c r="D425" t="inlineStr">
        <is>
          <t>McConnor Parkway Reconstruction from Meacham Rd to Roosevelt Blvd</t>
        </is>
      </c>
      <c r="E425" t="inlineStr">
        <is>
          <t>Road Modernization</t>
        </is>
      </c>
      <c r="F425" t="inlineStr">
        <is>
          <t>Schaumburg</t>
        </is>
      </c>
      <c r="G425" s="5" t="n">
        <v>473001</v>
      </c>
      <c r="H425" t="inlineStr">
        <is>
          <t>Yes</t>
        </is>
      </c>
      <c r="I425" t="inlineStr">
        <is>
          <t>Yes</t>
        </is>
      </c>
      <c r="J425" t="inlineStr">
        <is>
          <t>Yes</t>
        </is>
      </c>
    </row>
    <row r="426">
      <c r="A426" t="inlineStr">
        <is>
          <t>FFY2025</t>
        </is>
      </c>
      <c r="B426" t="inlineStr">
        <is>
          <t>AC Authorization</t>
        </is>
      </c>
      <c r="C426" t="inlineStr">
        <is>
          <t>03-25-0003</t>
        </is>
      </c>
      <c r="D426" t="inlineStr">
        <is>
          <t>McConnor Parkway Reconstruction Roosevelt to Golf</t>
        </is>
      </c>
      <c r="E426" t="inlineStr">
        <is>
          <t>Road Modernization</t>
        </is>
      </c>
      <c r="F426" t="inlineStr">
        <is>
          <t>Schaumburg</t>
        </is>
      </c>
      <c r="G426" s="5" t="n">
        <v>5000000</v>
      </c>
      <c r="H426" t="inlineStr">
        <is>
          <t>Yes</t>
        </is>
      </c>
      <c r="I426" t="inlineStr">
        <is>
          <t>Yes</t>
        </is>
      </c>
      <c r="J426" t="inlineStr">
        <is>
          <t>Yes</t>
        </is>
      </c>
    </row>
    <row r="427">
      <c r="A427" t="inlineStr">
        <is>
          <t>FFY2025</t>
        </is>
      </c>
      <c r="B427" t="inlineStr">
        <is>
          <t>FHWA Obligation</t>
        </is>
      </c>
      <c r="C427" t="inlineStr">
        <is>
          <t>03-03-0102</t>
        </is>
      </c>
      <c r="D427" t="inlineStr">
        <is>
          <t>IL 62 Algonquin Rd from Plum Grove Rd to IL Route 53</t>
        </is>
      </c>
      <c r="E427" t="inlineStr">
        <is>
          <t>Road Modernization</t>
        </is>
      </c>
      <c r="F427" t="inlineStr">
        <is>
          <t>Schaumburg</t>
        </is>
      </c>
      <c r="G427" s="5" t="n">
        <v>1200000</v>
      </c>
      <c r="H427" t="inlineStr">
        <is>
          <t>No</t>
        </is>
      </c>
      <c r="I427" t="inlineStr">
        <is>
          <t>No</t>
        </is>
      </c>
      <c r="J427" t="inlineStr">
        <is>
          <t>No</t>
        </is>
      </c>
    </row>
    <row r="428">
      <c r="A428" t="inlineStr">
        <is>
          <t>FFY2025</t>
        </is>
      </c>
      <c r="B428" t="inlineStr">
        <is>
          <t>FHWA Obligation</t>
        </is>
      </c>
      <c r="C428" t="inlineStr">
        <is>
          <t>03-03-0102</t>
        </is>
      </c>
      <c r="D428" t="inlineStr">
        <is>
          <t>IL 62 Algonquin Rd from Plum Grove Rd to IL Route 53</t>
        </is>
      </c>
      <c r="E428" t="inlineStr">
        <is>
          <t>Road Modernization</t>
        </is>
      </c>
      <c r="F428" t="inlineStr">
        <is>
          <t>Schaumburg</t>
        </is>
      </c>
      <c r="G428" s="5" t="n">
        <v>625000</v>
      </c>
      <c r="H428" t="inlineStr">
        <is>
          <t>No</t>
        </is>
      </c>
      <c r="I428" t="inlineStr">
        <is>
          <t>No</t>
        </is>
      </c>
      <c r="J428" t="inlineStr">
        <is>
          <t>No</t>
        </is>
      </c>
    </row>
    <row r="429">
      <c r="A429" t="inlineStr">
        <is>
          <t>FFY2025</t>
        </is>
      </c>
      <c r="B429" t="inlineStr">
        <is>
          <t>FHWA Obligation</t>
        </is>
      </c>
      <c r="C429" t="inlineStr">
        <is>
          <t>03-20-0042</t>
        </is>
      </c>
      <c r="D429" t="inlineStr">
        <is>
          <t>Weathersfield Way from Braintree Dr to Salem Dr</t>
        </is>
      </c>
      <c r="E429" t="inlineStr">
        <is>
          <t>Road Modernization</t>
        </is>
      </c>
      <c r="F429" t="inlineStr">
        <is>
          <t>Schaumburg</t>
        </is>
      </c>
      <c r="G429" s="5" t="n">
        <v>52296</v>
      </c>
      <c r="H429" t="inlineStr">
        <is>
          <t>Yes</t>
        </is>
      </c>
      <c r="I429" t="inlineStr">
        <is>
          <t>Yes</t>
        </is>
      </c>
      <c r="J429" t="inlineStr">
        <is>
          <t>Yes</t>
        </is>
      </c>
    </row>
    <row r="430">
      <c r="A430" t="inlineStr">
        <is>
          <t>FFY2025</t>
        </is>
      </c>
      <c r="B430" t="inlineStr">
        <is>
          <t>FHWA Obligation</t>
        </is>
      </c>
      <c r="C430" t="inlineStr">
        <is>
          <t>03-24-0017</t>
        </is>
      </c>
      <c r="D430" t="inlineStr">
        <is>
          <t>Salem Drive Reconstruction</t>
        </is>
      </c>
      <c r="E430" t="inlineStr">
        <is>
          <t>Road Modernization</t>
        </is>
      </c>
      <c r="F430" t="inlineStr">
        <is>
          <t>Schaumburg</t>
        </is>
      </c>
      <c r="G430" s="5" t="n">
        <v>3200000</v>
      </c>
      <c r="H430" t="inlineStr">
        <is>
          <t>Yes</t>
        </is>
      </c>
      <c r="I430" t="inlineStr">
        <is>
          <t>Yes</t>
        </is>
      </c>
      <c r="J430" t="inlineStr">
        <is>
          <t>Yes</t>
        </is>
      </c>
    </row>
    <row r="431">
      <c r="A431" t="inlineStr">
        <is>
          <t>FFY2025</t>
        </is>
      </c>
      <c r="B431" t="inlineStr">
        <is>
          <t>FHWA Obligation</t>
        </is>
      </c>
      <c r="C431" t="inlineStr">
        <is>
          <t>04-17-0011</t>
        </is>
      </c>
      <c r="D431" t="inlineStr">
        <is>
          <t>Des Plaines River Trail from Touhy to North Avenue</t>
        </is>
      </c>
      <c r="E431" t="inlineStr">
        <is>
          <t>Bicycle &amp; Pedestrian</t>
        </is>
      </c>
      <c r="F431" t="inlineStr">
        <is>
          <t>Schiller Park</t>
        </is>
      </c>
      <c r="G431" s="5" t="n">
        <v>2524900</v>
      </c>
      <c r="H431" t="inlineStr">
        <is>
          <t>Yes</t>
        </is>
      </c>
      <c r="I431" t="inlineStr">
        <is>
          <t>No</t>
        </is>
      </c>
      <c r="J431" t="inlineStr">
        <is>
          <t>No</t>
        </is>
      </c>
    </row>
    <row r="432">
      <c r="A432" t="inlineStr">
        <is>
          <t>FFY2025</t>
        </is>
      </c>
      <c r="B432" t="inlineStr">
        <is>
          <t>FHWA Obligation</t>
        </is>
      </c>
      <c r="C432" t="inlineStr">
        <is>
          <t>04-17-0011</t>
        </is>
      </c>
      <c r="D432" t="inlineStr">
        <is>
          <t>Des Plaines River Trail from Touhy to North Avenue</t>
        </is>
      </c>
      <c r="E432" t="inlineStr">
        <is>
          <t>Bicycle &amp; Pedestrian</t>
        </is>
      </c>
      <c r="F432" t="inlineStr">
        <is>
          <t>Schiller Park</t>
        </is>
      </c>
      <c r="G432" s="5" t="n">
        <v>257400</v>
      </c>
      <c r="H432" t="inlineStr">
        <is>
          <t>Yes</t>
        </is>
      </c>
      <c r="I432" t="inlineStr">
        <is>
          <t>No</t>
        </is>
      </c>
      <c r="J432" t="inlineStr">
        <is>
          <t>No</t>
        </is>
      </c>
    </row>
    <row r="433">
      <c r="A433" t="inlineStr">
        <is>
          <t>FFY2025</t>
        </is>
      </c>
      <c r="B433" t="inlineStr">
        <is>
          <t>FHWA Obligation</t>
        </is>
      </c>
      <c r="C433" t="inlineStr">
        <is>
          <t>04-17-0011</t>
        </is>
      </c>
      <c r="D433" t="inlineStr">
        <is>
          <t>Des Plaines River Trail from Touhy to North Avenue</t>
        </is>
      </c>
      <c r="E433" t="inlineStr">
        <is>
          <t>Bicycle &amp; Pedestrian</t>
        </is>
      </c>
      <c r="F433" t="inlineStr">
        <is>
          <t>Schiller Park</t>
        </is>
      </c>
      <c r="G433" s="5" t="n">
        <v>163300</v>
      </c>
      <c r="H433" t="inlineStr">
        <is>
          <t>Yes</t>
        </is>
      </c>
      <c r="I433" t="inlineStr">
        <is>
          <t>No</t>
        </is>
      </c>
      <c r="J433" t="inlineStr">
        <is>
          <t>No</t>
        </is>
      </c>
    </row>
    <row r="434">
      <c r="A434" t="inlineStr">
        <is>
          <t>FFY2025</t>
        </is>
      </c>
      <c r="B434" t="inlineStr">
        <is>
          <t>AC Authorization</t>
        </is>
      </c>
      <c r="C434" t="inlineStr">
        <is>
          <t>04-25-0013</t>
        </is>
      </c>
      <c r="D434" t="inlineStr">
        <is>
          <t>Ill 19 Irving Park Rd - at Des Plaines River</t>
        </is>
      </c>
      <c r="E434" t="inlineStr">
        <is>
          <t>Bridge Routine Maintenance</t>
        </is>
      </c>
      <c r="F434" t="inlineStr">
        <is>
          <t>Schiller Park</t>
        </is>
      </c>
      <c r="G434" s="5" t="n">
        <v>1200000</v>
      </c>
      <c r="H434" t="inlineStr">
        <is>
          <t>No</t>
        </is>
      </c>
      <c r="I434" t="inlineStr">
        <is>
          <t>No</t>
        </is>
      </c>
      <c r="J434" t="inlineStr">
        <is>
          <t>No</t>
        </is>
      </c>
    </row>
    <row r="435">
      <c r="A435" t="inlineStr">
        <is>
          <t>FFY2025</t>
        </is>
      </c>
      <c r="B435" t="inlineStr">
        <is>
          <t>FHWA Obligation</t>
        </is>
      </c>
      <c r="C435" t="inlineStr">
        <is>
          <t>04-16-0002</t>
        </is>
      </c>
      <c r="D435" t="inlineStr">
        <is>
          <t>Irving Park Road at Old River Road</t>
        </is>
      </c>
      <c r="E435" t="inlineStr">
        <is>
          <t>Intersection/Interchange Improvements</t>
        </is>
      </c>
      <c r="F435" t="inlineStr">
        <is>
          <t>Schiller Park</t>
        </is>
      </c>
      <c r="G435" s="5" t="n">
        <v>2592000</v>
      </c>
      <c r="H435" t="inlineStr">
        <is>
          <t>No</t>
        </is>
      </c>
      <c r="I435" t="inlineStr">
        <is>
          <t>No</t>
        </is>
      </c>
      <c r="J435" t="inlineStr">
        <is>
          <t>No</t>
        </is>
      </c>
    </row>
    <row r="436">
      <c r="A436" t="inlineStr">
        <is>
          <t>FFY2025</t>
        </is>
      </c>
      <c r="B436" t="inlineStr">
        <is>
          <t>FHWA Obligation</t>
        </is>
      </c>
      <c r="C436" t="inlineStr">
        <is>
          <t>04-16-0002</t>
        </is>
      </c>
      <c r="D436" t="inlineStr">
        <is>
          <t>Irving Park Road at Old River Road</t>
        </is>
      </c>
      <c r="E436" t="inlineStr">
        <is>
          <t>Intersection/Interchange Improvements</t>
        </is>
      </c>
      <c r="F436" t="inlineStr">
        <is>
          <t>Schiller Park</t>
        </is>
      </c>
      <c r="G436" s="5" t="n">
        <v>224000</v>
      </c>
      <c r="H436" t="inlineStr">
        <is>
          <t>No</t>
        </is>
      </c>
      <c r="I436" t="inlineStr">
        <is>
          <t>No</t>
        </is>
      </c>
      <c r="J436" t="inlineStr">
        <is>
          <t>No</t>
        </is>
      </c>
    </row>
    <row r="437">
      <c r="A437" t="inlineStr">
        <is>
          <t>FFY2025</t>
        </is>
      </c>
      <c r="B437" t="inlineStr">
        <is>
          <t>AC Authorization</t>
        </is>
      </c>
      <c r="C437" t="inlineStr">
        <is>
          <t>02-14-0003</t>
        </is>
      </c>
      <c r="D437" t="inlineStr">
        <is>
          <t>Church St. from Linder Av to Mccormick Blv</t>
        </is>
      </c>
      <c r="E437" t="inlineStr">
        <is>
          <t>Bicycle &amp; Pedestrian</t>
        </is>
      </c>
      <c r="F437" t="inlineStr">
        <is>
          <t>Skokie</t>
        </is>
      </c>
      <c r="G437" s="5" t="n">
        <v>760000</v>
      </c>
      <c r="H437" t="inlineStr">
        <is>
          <t>Yes</t>
        </is>
      </c>
      <c r="I437" t="inlineStr">
        <is>
          <t>No</t>
        </is>
      </c>
      <c r="J437" t="inlineStr">
        <is>
          <t>Yes</t>
        </is>
      </c>
    </row>
    <row r="438">
      <c r="A438" t="inlineStr">
        <is>
          <t>FFY2025</t>
        </is>
      </c>
      <c r="B438" t="inlineStr">
        <is>
          <t>AC Authorization</t>
        </is>
      </c>
      <c r="C438" t="inlineStr">
        <is>
          <t>02-14-0003</t>
        </is>
      </c>
      <c r="D438" t="inlineStr">
        <is>
          <t>Church St. from Linder Av to Mccormick Blv</t>
        </is>
      </c>
      <c r="E438" t="inlineStr">
        <is>
          <t>Bicycle &amp; Pedestrian</t>
        </is>
      </c>
      <c r="F438" t="inlineStr">
        <is>
          <t>Skokie</t>
        </is>
      </c>
      <c r="G438" s="5" t="n">
        <v>840000</v>
      </c>
      <c r="H438" t="inlineStr">
        <is>
          <t>Yes</t>
        </is>
      </c>
      <c r="I438" t="inlineStr">
        <is>
          <t>No</t>
        </is>
      </c>
      <c r="J438" t="inlineStr">
        <is>
          <t>Yes</t>
        </is>
      </c>
    </row>
    <row r="439">
      <c r="A439" t="inlineStr">
        <is>
          <t>FFY2025</t>
        </is>
      </c>
      <c r="B439" t="inlineStr">
        <is>
          <t>FHWA Obligation</t>
        </is>
      </c>
      <c r="C439" t="inlineStr">
        <is>
          <t>02-14-0003</t>
        </is>
      </c>
      <c r="D439" t="inlineStr">
        <is>
          <t>Church St. from Linder Av to Mccormick Blv</t>
        </is>
      </c>
      <c r="E439" t="inlineStr">
        <is>
          <t>Bicycle &amp; Pedestrian</t>
        </is>
      </c>
      <c r="F439" t="inlineStr">
        <is>
          <t>Skokie</t>
        </is>
      </c>
      <c r="G439" s="5" t="n">
        <v>1600000</v>
      </c>
      <c r="H439" t="inlineStr">
        <is>
          <t>Yes</t>
        </is>
      </c>
      <c r="I439" t="inlineStr">
        <is>
          <t>No</t>
        </is>
      </c>
      <c r="J439" t="inlineStr">
        <is>
          <t>Yes</t>
        </is>
      </c>
    </row>
    <row r="440">
      <c r="A440" t="inlineStr">
        <is>
          <t>FFY2025</t>
        </is>
      </c>
      <c r="B440" t="inlineStr">
        <is>
          <t>FHWA Obligation</t>
        </is>
      </c>
      <c r="C440" t="inlineStr">
        <is>
          <t>01-16-0023</t>
        </is>
      </c>
      <c r="D440" t="inlineStr">
        <is>
          <t>US 41(Skokie Hwy.)/I-94 (Edens Expy.), IL 173 to I-90 (Kennedy Expy.)/I-94 (Edens Expy.)</t>
        </is>
      </c>
      <c r="E440" t="inlineStr">
        <is>
          <t>Intelligent Transportation Systems</t>
        </is>
      </c>
      <c r="F440" t="inlineStr">
        <is>
          <t>Skokie</t>
        </is>
      </c>
      <c r="G440" s="5" t="n">
        <v>145648</v>
      </c>
      <c r="H440" t="inlineStr">
        <is>
          <t>No</t>
        </is>
      </c>
      <c r="I440" t="inlineStr">
        <is>
          <t>No</t>
        </is>
      </c>
      <c r="J440" t="inlineStr">
        <is>
          <t>Yes</t>
        </is>
      </c>
    </row>
    <row r="441">
      <c r="A441" t="inlineStr">
        <is>
          <t>FFY2025</t>
        </is>
      </c>
      <c r="B441" t="inlineStr">
        <is>
          <t>FHWA Obligation</t>
        </is>
      </c>
      <c r="C441" t="inlineStr">
        <is>
          <t>01-16-0023</t>
        </is>
      </c>
      <c r="D441" t="inlineStr">
        <is>
          <t>US 41(Skokie Hwy.)/I-94 (Edens Expy.), IL 173 to I-90 (Kennedy Expy.)/I-94 (Edens Expy.)</t>
        </is>
      </c>
      <c r="E441" t="inlineStr">
        <is>
          <t>Intelligent Transportation Systems</t>
        </is>
      </c>
      <c r="F441" t="inlineStr">
        <is>
          <t>Skokie</t>
        </is>
      </c>
      <c r="G441" s="5" t="n">
        <v>1956539</v>
      </c>
      <c r="H441" t="inlineStr">
        <is>
          <t>No</t>
        </is>
      </c>
      <c r="I441" t="inlineStr">
        <is>
          <t>No</t>
        </is>
      </c>
      <c r="J441" t="inlineStr">
        <is>
          <t>Yes</t>
        </is>
      </c>
    </row>
    <row r="442">
      <c r="A442" t="inlineStr">
        <is>
          <t>FFY2025</t>
        </is>
      </c>
      <c r="B442" t="inlineStr">
        <is>
          <t>AC Authorization</t>
        </is>
      </c>
      <c r="C442" t="inlineStr">
        <is>
          <t>02-23-0016</t>
        </is>
      </c>
      <c r="D442" t="inlineStr">
        <is>
          <t>US 41 Skokie Blvd - S of Old Glenview Rd to N of Golf Rd</t>
        </is>
      </c>
      <c r="E442" t="inlineStr">
        <is>
          <t>Road Maintenance</t>
        </is>
      </c>
      <c r="F442" t="inlineStr">
        <is>
          <t>Skokie</t>
        </is>
      </c>
      <c r="G442" s="5" t="n">
        <v>1040000</v>
      </c>
      <c r="H442" t="inlineStr">
        <is>
          <t>Yes</t>
        </is>
      </c>
      <c r="I442" t="inlineStr">
        <is>
          <t>Yes</t>
        </is>
      </c>
      <c r="J442" t="inlineStr">
        <is>
          <t>No</t>
        </is>
      </c>
    </row>
    <row r="443">
      <c r="A443" t="inlineStr">
        <is>
          <t>FFY2025</t>
        </is>
      </c>
      <c r="B443" t="inlineStr">
        <is>
          <t>AC Authorization</t>
        </is>
      </c>
      <c r="C443" t="inlineStr">
        <is>
          <t>02-97-0006</t>
        </is>
      </c>
      <c r="D443" t="inlineStr">
        <is>
          <t>Old Orchard Rd from Woods Drive to Skokie Blvd (HPP1809)</t>
        </is>
      </c>
      <c r="E443" t="inlineStr">
        <is>
          <t>Road Modernization</t>
        </is>
      </c>
      <c r="F443" t="inlineStr">
        <is>
          <t>Skokie</t>
        </is>
      </c>
      <c r="G443" s="5" t="n">
        <v>2624606</v>
      </c>
      <c r="H443" t="inlineStr">
        <is>
          <t>No</t>
        </is>
      </c>
      <c r="I443" t="inlineStr">
        <is>
          <t>No</t>
        </is>
      </c>
      <c r="J443" t="inlineStr">
        <is>
          <t>No</t>
        </is>
      </c>
    </row>
    <row r="444">
      <c r="A444" t="inlineStr">
        <is>
          <t>FFY2025</t>
        </is>
      </c>
      <c r="B444" t="inlineStr">
        <is>
          <t>AC Authorization</t>
        </is>
      </c>
      <c r="C444" t="inlineStr">
        <is>
          <t>02-97-0006</t>
        </is>
      </c>
      <c r="D444" t="inlineStr">
        <is>
          <t>Old Orchard Rd from Woods Drive to Skokie Blvd (HPP1809)</t>
        </is>
      </c>
      <c r="E444" t="inlineStr">
        <is>
          <t>Road Modernization</t>
        </is>
      </c>
      <c r="F444" t="inlineStr">
        <is>
          <t>Skokie</t>
        </is>
      </c>
      <c r="G444" s="5" t="n">
        <v>2797889</v>
      </c>
      <c r="H444" t="inlineStr">
        <is>
          <t>No</t>
        </is>
      </c>
      <c r="I444" t="inlineStr">
        <is>
          <t>No</t>
        </is>
      </c>
      <c r="J444" t="inlineStr">
        <is>
          <t>No</t>
        </is>
      </c>
    </row>
    <row r="445">
      <c r="A445" t="inlineStr">
        <is>
          <t>FFY2025</t>
        </is>
      </c>
      <c r="B445" t="inlineStr">
        <is>
          <t>FHWA Obligation</t>
        </is>
      </c>
      <c r="C445" t="inlineStr">
        <is>
          <t>10-23-0030</t>
        </is>
      </c>
      <c r="D445" t="inlineStr">
        <is>
          <t>US 41/I-94 Skokie Hwy - Park Ave W to I- 90/94 (Kennedy Edens Junction)</t>
        </is>
      </c>
      <c r="E445" t="inlineStr">
        <is>
          <t>Safety</t>
        </is>
      </c>
      <c r="F445" t="inlineStr">
        <is>
          <t>Skokie</t>
        </is>
      </c>
      <c r="G445" s="5" t="n">
        <v>9188952</v>
      </c>
      <c r="H445" t="inlineStr">
        <is>
          <t>No</t>
        </is>
      </c>
      <c r="I445" t="inlineStr">
        <is>
          <t>No</t>
        </is>
      </c>
      <c r="J445" t="inlineStr">
        <is>
          <t>Yes</t>
        </is>
      </c>
    </row>
    <row r="446">
      <c r="A446" t="inlineStr">
        <is>
          <t>FFY2025</t>
        </is>
      </c>
      <c r="B446" t="inlineStr">
        <is>
          <t>FHWA Obligation</t>
        </is>
      </c>
      <c r="C446" t="inlineStr">
        <is>
          <t>02-21-0004</t>
        </is>
      </c>
      <c r="D446" t="inlineStr">
        <is>
          <t>US 41 at Church St and Church St at Niles Center Rd</t>
        </is>
      </c>
      <c r="E446" t="inlineStr">
        <is>
          <t>Signal Systems</t>
        </is>
      </c>
      <c r="F446" t="inlineStr">
        <is>
          <t>Skokie</t>
        </is>
      </c>
      <c r="G446" s="5" t="n">
        <v>996761</v>
      </c>
      <c r="H446" t="inlineStr">
        <is>
          <t>No</t>
        </is>
      </c>
      <c r="I446" t="inlineStr">
        <is>
          <t>No</t>
        </is>
      </c>
      <c r="J446" t="inlineStr">
        <is>
          <t>No</t>
        </is>
      </c>
    </row>
    <row r="447">
      <c r="A447" t="inlineStr">
        <is>
          <t>FFY2025</t>
        </is>
      </c>
      <c r="B447" t="inlineStr">
        <is>
          <t>FHWA Obligation</t>
        </is>
      </c>
      <c r="C447" t="inlineStr">
        <is>
          <t>02-21-0006</t>
        </is>
      </c>
      <c r="D447" t="inlineStr">
        <is>
          <t>US 41 at Main St</t>
        </is>
      </c>
      <c r="E447" t="inlineStr">
        <is>
          <t>Signal Systems</t>
        </is>
      </c>
      <c r="F447" t="inlineStr">
        <is>
          <t>Skokie</t>
        </is>
      </c>
      <c r="G447" s="5" t="n">
        <v>996761</v>
      </c>
      <c r="H447" t="inlineStr">
        <is>
          <t>No</t>
        </is>
      </c>
      <c r="I447" t="inlineStr">
        <is>
          <t>No</t>
        </is>
      </c>
      <c r="J447" t="inlineStr">
        <is>
          <t>No</t>
        </is>
      </c>
    </row>
    <row r="448">
      <c r="A448" t="inlineStr">
        <is>
          <t>FFY2025</t>
        </is>
      </c>
      <c r="B448" t="inlineStr">
        <is>
          <t>FHWA Obligation</t>
        </is>
      </c>
      <c r="C448" t="inlineStr">
        <is>
          <t>13-16-0005</t>
        </is>
      </c>
      <c r="D448" t="inlineStr">
        <is>
          <t>Barrington Rd from IL 62 to Central Rd</t>
        </is>
      </c>
      <c r="E448" t="inlineStr">
        <is>
          <t>Road Expansion</t>
        </is>
      </c>
      <c r="F448" t="inlineStr">
        <is>
          <t>South Barrington</t>
        </is>
      </c>
      <c r="G448" s="5" t="n">
        <v>428644</v>
      </c>
      <c r="H448" t="inlineStr">
        <is>
          <t>Yes</t>
        </is>
      </c>
      <c r="I448" t="inlineStr">
        <is>
          <t>No</t>
        </is>
      </c>
      <c r="J448" t="inlineStr">
        <is>
          <t>No</t>
        </is>
      </c>
    </row>
    <row r="449">
      <c r="A449" t="inlineStr">
        <is>
          <t>FFY2025</t>
        </is>
      </c>
      <c r="B449" t="inlineStr">
        <is>
          <t>AC Authorization</t>
        </is>
      </c>
      <c r="C449" t="inlineStr">
        <is>
          <t>07-25-0003</t>
        </is>
      </c>
      <c r="D449" t="inlineStr">
        <is>
          <t>State St - Sauk Trail to 34th St/ Steger Rd</t>
        </is>
      </c>
      <c r="E449" t="inlineStr">
        <is>
          <t>Road Maintenance</t>
        </is>
      </c>
      <c r="F449" t="inlineStr">
        <is>
          <t>South Chicago Heights</t>
        </is>
      </c>
      <c r="G449" s="5" t="n">
        <v>1280000</v>
      </c>
      <c r="H449" t="inlineStr">
        <is>
          <t>No</t>
        </is>
      </c>
      <c r="I449" t="inlineStr">
        <is>
          <t>No</t>
        </is>
      </c>
      <c r="J449" t="inlineStr">
        <is>
          <t>No</t>
        </is>
      </c>
    </row>
    <row r="450">
      <c r="A450" t="inlineStr">
        <is>
          <t>FFY2025</t>
        </is>
      </c>
      <c r="B450" t="inlineStr">
        <is>
          <t>AC Authorization</t>
        </is>
      </c>
      <c r="C450" t="inlineStr">
        <is>
          <t>07-12-0007</t>
        </is>
      </c>
      <c r="D450" t="inlineStr">
        <is>
          <t>I-94 Bishop Ford Expy - At US 6 (159th St), at 154th St &amp; Michigan City Rd</t>
        </is>
      </c>
      <c r="E450" t="inlineStr">
        <is>
          <t>Bridge Repair, Rehab, or Replace</t>
        </is>
      </c>
      <c r="F450" t="inlineStr">
        <is>
          <t>South Holland</t>
        </is>
      </c>
      <c r="G450" s="5" t="n">
        <v>10800000</v>
      </c>
      <c r="H450" t="inlineStr">
        <is>
          <t>No</t>
        </is>
      </c>
      <c r="I450" t="inlineStr">
        <is>
          <t>No</t>
        </is>
      </c>
      <c r="J450" t="inlineStr">
        <is>
          <t>No</t>
        </is>
      </c>
    </row>
    <row r="451">
      <c r="A451" t="inlineStr">
        <is>
          <t>FFY2025</t>
        </is>
      </c>
      <c r="B451" t="inlineStr">
        <is>
          <t>AC Authorization</t>
        </is>
      </c>
      <c r="C451" t="inlineStr">
        <is>
          <t>07-12-0007</t>
        </is>
      </c>
      <c r="D451" t="inlineStr">
        <is>
          <t>I-94 Bishop Ford Expy - At US 6 (159th St), at 154th St &amp; Michigan City Rd</t>
        </is>
      </c>
      <c r="E451" t="inlineStr">
        <is>
          <t>Bridge Repair, Rehab, or Replace</t>
        </is>
      </c>
      <c r="F451" t="inlineStr">
        <is>
          <t>South Holland</t>
        </is>
      </c>
      <c r="G451" s="5" t="n">
        <v>702000</v>
      </c>
      <c r="H451" t="inlineStr">
        <is>
          <t>No</t>
        </is>
      </c>
      <c r="I451" t="inlineStr">
        <is>
          <t>No</t>
        </is>
      </c>
      <c r="J451" t="inlineStr">
        <is>
          <t>No</t>
        </is>
      </c>
    </row>
    <row r="452">
      <c r="A452" t="inlineStr">
        <is>
          <t>FFY2025</t>
        </is>
      </c>
      <c r="B452" t="inlineStr">
        <is>
          <t>AC Authorization</t>
        </is>
      </c>
      <c r="C452" t="inlineStr">
        <is>
          <t>01-18-0022</t>
        </is>
      </c>
      <c r="D452" t="inlineStr">
        <is>
          <t>I-94 Bishop Ford Expwy - W of Martin Luther King Dr to US 6 (159th St)</t>
        </is>
      </c>
      <c r="E452" t="inlineStr">
        <is>
          <t>Bridge Routine Maintenance</t>
        </is>
      </c>
      <c r="F452" t="inlineStr">
        <is>
          <t>South Holland</t>
        </is>
      </c>
      <c r="G452" s="5" t="n">
        <v>45000000</v>
      </c>
      <c r="H452" t="inlineStr">
        <is>
          <t>No</t>
        </is>
      </c>
      <c r="I452" t="inlineStr">
        <is>
          <t>No</t>
        </is>
      </c>
      <c r="J452" t="inlineStr">
        <is>
          <t>Yes</t>
        </is>
      </c>
    </row>
    <row r="453">
      <c r="A453" t="inlineStr">
        <is>
          <t>FFY2025</t>
        </is>
      </c>
      <c r="B453" t="inlineStr">
        <is>
          <t>AC Authorization</t>
        </is>
      </c>
      <c r="C453" t="inlineStr">
        <is>
          <t>01-18-0022</t>
        </is>
      </c>
      <c r="D453" t="inlineStr">
        <is>
          <t>I-94 Bishop Ford Expwy - W of Martin Luther King Dr to US 6 (159th St)</t>
        </is>
      </c>
      <c r="E453" t="inlineStr">
        <is>
          <t>Bridge Routine Maintenance</t>
        </is>
      </c>
      <c r="F453" t="inlineStr">
        <is>
          <t>South Holland</t>
        </is>
      </c>
      <c r="G453" s="5" t="n">
        <v>5850000</v>
      </c>
      <c r="H453" t="inlineStr">
        <is>
          <t>No</t>
        </is>
      </c>
      <c r="I453" t="inlineStr">
        <is>
          <t>No</t>
        </is>
      </c>
      <c r="J453" t="inlineStr">
        <is>
          <t>Yes</t>
        </is>
      </c>
    </row>
    <row r="454">
      <c r="A454" t="inlineStr">
        <is>
          <t>FFY2025</t>
        </is>
      </c>
      <c r="B454" t="inlineStr">
        <is>
          <t>FHWA Obligation</t>
        </is>
      </c>
      <c r="C454" t="inlineStr">
        <is>
          <t>01-18-0022</t>
        </is>
      </c>
      <c r="D454" t="inlineStr">
        <is>
          <t>I-94 Bishop Ford Expwy - W of Martin Luther King Dr to US 6 (159th St)</t>
        </is>
      </c>
      <c r="E454" t="inlineStr">
        <is>
          <t>Bridge Routine Maintenance</t>
        </is>
      </c>
      <c r="F454" t="inlineStr">
        <is>
          <t>South Holland</t>
        </is>
      </c>
      <c r="G454" s="5" t="n">
        <v>28262658</v>
      </c>
      <c r="H454" t="inlineStr">
        <is>
          <t>No</t>
        </is>
      </c>
      <c r="I454" t="inlineStr">
        <is>
          <t>No</t>
        </is>
      </c>
      <c r="J454" t="inlineStr">
        <is>
          <t>Yes</t>
        </is>
      </c>
    </row>
    <row r="455">
      <c r="A455" t="inlineStr">
        <is>
          <t>FFY2025</t>
        </is>
      </c>
      <c r="B455" t="inlineStr">
        <is>
          <t>FHWA Obligation</t>
        </is>
      </c>
      <c r="C455" t="inlineStr">
        <is>
          <t>01-18-0022</t>
        </is>
      </c>
      <c r="D455" t="inlineStr">
        <is>
          <t>I-94 Bishop Ford Expwy - W of Martin Luther King Dr to US 6 (159th St)</t>
        </is>
      </c>
      <c r="E455" t="inlineStr">
        <is>
          <t>Bridge Routine Maintenance</t>
        </is>
      </c>
      <c r="F455" t="inlineStr">
        <is>
          <t>South Holland</t>
        </is>
      </c>
      <c r="G455" s="5" t="n">
        <v>28800</v>
      </c>
      <c r="H455" t="inlineStr">
        <is>
          <t>No</t>
        </is>
      </c>
      <c r="I455" t="inlineStr">
        <is>
          <t>No</t>
        </is>
      </c>
      <c r="J455" t="inlineStr">
        <is>
          <t>Yes</t>
        </is>
      </c>
    </row>
    <row r="456">
      <c r="A456" t="inlineStr">
        <is>
          <t>FFY2025</t>
        </is>
      </c>
      <c r="B456" t="inlineStr">
        <is>
          <t>FHWA Obligation</t>
        </is>
      </c>
      <c r="C456" t="inlineStr">
        <is>
          <t>01-18-0022</t>
        </is>
      </c>
      <c r="D456" t="inlineStr">
        <is>
          <t>I-94 Bishop Ford Expwy - W of Martin Luther King Dr to US 6 (159th St)</t>
        </is>
      </c>
      <c r="E456" t="inlineStr">
        <is>
          <t>Bridge Routine Maintenance</t>
        </is>
      </c>
      <c r="F456" t="inlineStr">
        <is>
          <t>South Holland</t>
        </is>
      </c>
      <c r="G456" s="5" t="n">
        <v>34466</v>
      </c>
      <c r="H456" t="inlineStr">
        <is>
          <t>No</t>
        </is>
      </c>
      <c r="I456" t="inlineStr">
        <is>
          <t>No</t>
        </is>
      </c>
      <c r="J456" t="inlineStr">
        <is>
          <t>Yes</t>
        </is>
      </c>
    </row>
    <row r="457">
      <c r="A457" t="inlineStr">
        <is>
          <t>FFY2025</t>
        </is>
      </c>
      <c r="B457" t="inlineStr">
        <is>
          <t>FHWA Obligation</t>
        </is>
      </c>
      <c r="C457" t="inlineStr">
        <is>
          <t>01-18-0022</t>
        </is>
      </c>
      <c r="D457" t="inlineStr">
        <is>
          <t>I-94 Bishop Ford Expwy - W of Martin Luther King Dr to US 6 (159th St)</t>
        </is>
      </c>
      <c r="E457" t="inlineStr">
        <is>
          <t>Bridge Routine Maintenance</t>
        </is>
      </c>
      <c r="F457" t="inlineStr">
        <is>
          <t>South Holland</t>
        </is>
      </c>
      <c r="G457" s="5" t="n">
        <v>58500</v>
      </c>
      <c r="H457" t="inlineStr">
        <is>
          <t>No</t>
        </is>
      </c>
      <c r="I457" t="inlineStr">
        <is>
          <t>No</t>
        </is>
      </c>
      <c r="J457" t="inlineStr">
        <is>
          <t>Yes</t>
        </is>
      </c>
    </row>
    <row r="458">
      <c r="A458" t="inlineStr">
        <is>
          <t>FFY2025</t>
        </is>
      </c>
      <c r="B458" t="inlineStr">
        <is>
          <t>FHWA Obligation</t>
        </is>
      </c>
      <c r="C458" t="inlineStr">
        <is>
          <t>07-24-0011</t>
        </is>
      </c>
      <c r="D458" t="inlineStr">
        <is>
          <t>Taft Drive (FAU 1044) Resurfacing</t>
        </is>
      </c>
      <c r="E458" t="inlineStr">
        <is>
          <t>Road Maintenance</t>
        </is>
      </c>
      <c r="F458" t="inlineStr">
        <is>
          <t>South Holland</t>
        </is>
      </c>
      <c r="G458" s="5" t="n">
        <v>281698</v>
      </c>
      <c r="H458" t="inlineStr">
        <is>
          <t>Yes</t>
        </is>
      </c>
      <c r="I458" t="inlineStr">
        <is>
          <t>Yes</t>
        </is>
      </c>
      <c r="J458" t="inlineStr">
        <is>
          <t>Yes</t>
        </is>
      </c>
    </row>
    <row r="459">
      <c r="A459" t="inlineStr">
        <is>
          <t>FFY2025</t>
        </is>
      </c>
      <c r="B459" t="inlineStr">
        <is>
          <t>FHWA Obligation</t>
        </is>
      </c>
      <c r="C459" t="inlineStr">
        <is>
          <t>07-24-0011</t>
        </is>
      </c>
      <c r="D459" t="inlineStr">
        <is>
          <t>Taft Drive (FAU 1044) Resurfacing</t>
        </is>
      </c>
      <c r="E459" t="inlineStr">
        <is>
          <t>Road Maintenance</t>
        </is>
      </c>
      <c r="F459" t="inlineStr">
        <is>
          <t>South Holland</t>
        </is>
      </c>
      <c r="G459" s="5" t="n">
        <v>79102</v>
      </c>
      <c r="H459" t="inlineStr">
        <is>
          <t>Yes</t>
        </is>
      </c>
      <c r="I459" t="inlineStr">
        <is>
          <t>Yes</t>
        </is>
      </c>
      <c r="J459" t="inlineStr">
        <is>
          <t>Yes</t>
        </is>
      </c>
    </row>
    <row r="460">
      <c r="A460" t="inlineStr">
        <is>
          <t>FFY2025</t>
        </is>
      </c>
      <c r="B460" t="inlineStr">
        <is>
          <t>AC Authorization</t>
        </is>
      </c>
      <c r="C460" t="inlineStr">
        <is>
          <t>05-25-0008</t>
        </is>
      </c>
      <c r="D460" t="inlineStr">
        <is>
          <t>Pershing Rd - US 34 (Ogden Ave) to W of Central Ave</t>
        </is>
      </c>
      <c r="E460" t="inlineStr">
        <is>
          <t>Road Maintenance</t>
        </is>
      </c>
      <c r="F460" t="inlineStr">
        <is>
          <t>Stickney</t>
        </is>
      </c>
      <c r="G460" s="5" t="n">
        <v>5184000</v>
      </c>
      <c r="H460" t="inlineStr">
        <is>
          <t>No</t>
        </is>
      </c>
      <c r="I460" t="inlineStr">
        <is>
          <t>No</t>
        </is>
      </c>
      <c r="J460" t="inlineStr">
        <is>
          <t>No</t>
        </is>
      </c>
    </row>
    <row r="461">
      <c r="A461" t="inlineStr">
        <is>
          <t>FFY2025</t>
        </is>
      </c>
      <c r="B461" t="inlineStr">
        <is>
          <t>FHWA Obligation</t>
        </is>
      </c>
      <c r="C461" t="inlineStr">
        <is>
          <t>03-21-0003</t>
        </is>
      </c>
      <c r="D461" t="inlineStr">
        <is>
          <t>IL 59 Bicycle and Pedestrian Overpass</t>
        </is>
      </c>
      <c r="E461" t="inlineStr">
        <is>
          <t>Bicycle &amp; Pedestrian</t>
        </is>
      </c>
      <c r="F461" t="inlineStr">
        <is>
          <t>Streamwood</t>
        </is>
      </c>
      <c r="G461" s="5" t="n">
        <v>184000</v>
      </c>
      <c r="H461" t="inlineStr">
        <is>
          <t>Yes</t>
        </is>
      </c>
      <c r="I461" t="inlineStr">
        <is>
          <t>Yes</t>
        </is>
      </c>
      <c r="J461" t="inlineStr">
        <is>
          <t>No</t>
        </is>
      </c>
    </row>
    <row r="462">
      <c r="A462" t="inlineStr">
        <is>
          <t>FFY2025</t>
        </is>
      </c>
      <c r="B462" t="inlineStr">
        <is>
          <t>FHWA Obligation</t>
        </is>
      </c>
      <c r="C462" t="inlineStr">
        <is>
          <t>03-09-0073</t>
        </is>
      </c>
      <c r="D462" t="inlineStr">
        <is>
          <t>IL 19 Irving Park Road from Schaumburg Road to Bartlett Road</t>
        </is>
      </c>
      <c r="E462" t="inlineStr">
        <is>
          <t>Road Expansion</t>
        </is>
      </c>
      <c r="F462" t="inlineStr">
        <is>
          <t>Streamwood</t>
        </is>
      </c>
      <c r="G462" s="5" t="n">
        <v>3150000</v>
      </c>
      <c r="H462" t="inlineStr">
        <is>
          <t>Yes</t>
        </is>
      </c>
      <c r="I462" t="inlineStr">
        <is>
          <t>Yes</t>
        </is>
      </c>
      <c r="J462" t="inlineStr">
        <is>
          <t>Yes</t>
        </is>
      </c>
    </row>
    <row r="463">
      <c r="A463" t="inlineStr">
        <is>
          <t>FFY2025</t>
        </is>
      </c>
      <c r="B463" t="inlineStr">
        <is>
          <t>FHWA Obligation</t>
        </is>
      </c>
      <c r="C463" t="inlineStr">
        <is>
          <t>03-09-0073</t>
        </is>
      </c>
      <c r="D463" t="inlineStr">
        <is>
          <t>IL 19 Irving Park Road from Schaumburg Road to Bartlett Road</t>
        </is>
      </c>
      <c r="E463" t="inlineStr">
        <is>
          <t>Road Expansion</t>
        </is>
      </c>
      <c r="F463" t="inlineStr">
        <is>
          <t>Streamwood</t>
        </is>
      </c>
      <c r="G463" s="5" t="n">
        <v>29601</v>
      </c>
      <c r="H463" t="inlineStr">
        <is>
          <t>Yes</t>
        </is>
      </c>
      <c r="I463" t="inlineStr">
        <is>
          <t>Yes</t>
        </is>
      </c>
      <c r="J463" t="inlineStr">
        <is>
          <t>Yes</t>
        </is>
      </c>
    </row>
    <row r="464">
      <c r="A464" t="inlineStr">
        <is>
          <t>FFY2025</t>
        </is>
      </c>
      <c r="B464" t="inlineStr">
        <is>
          <t>FHWA Obligation</t>
        </is>
      </c>
      <c r="C464" t="inlineStr">
        <is>
          <t>05-22-0019</t>
        </is>
      </c>
      <c r="D464" t="inlineStr">
        <is>
          <t>Ill 171 Archer Ave - At IHB RR</t>
        </is>
      </c>
      <c r="E464" t="inlineStr">
        <is>
          <t>Bridge Routine Maintenance</t>
        </is>
      </c>
      <c r="F464" t="inlineStr">
        <is>
          <t>Summit</t>
        </is>
      </c>
      <c r="G464" s="5" t="n">
        <v>471200</v>
      </c>
      <c r="H464" t="inlineStr">
        <is>
          <t>No</t>
        </is>
      </c>
      <c r="I464" t="inlineStr">
        <is>
          <t>No</t>
        </is>
      </c>
      <c r="J464" t="inlineStr">
        <is>
          <t>No</t>
        </is>
      </c>
    </row>
    <row r="465">
      <c r="A465" t="inlineStr">
        <is>
          <t>FFY2025</t>
        </is>
      </c>
      <c r="B465" t="inlineStr">
        <is>
          <t>AC Authorization</t>
        </is>
      </c>
      <c r="C465" t="inlineStr">
        <is>
          <t>01-05-0012</t>
        </is>
      </c>
      <c r="D465" t="inlineStr">
        <is>
          <t>CREATE East-West Corridor from Argo Interlocking to CP509</t>
        </is>
      </c>
      <c r="E465" t="inlineStr">
        <is>
          <t>Freight Movement</t>
        </is>
      </c>
      <c r="F465" t="inlineStr">
        <is>
          <t>Summit</t>
        </is>
      </c>
      <c r="G465" s="5" t="n">
        <v>939469</v>
      </c>
      <c r="H465" t="inlineStr">
        <is>
          <t>Yes</t>
        </is>
      </c>
      <c r="I465" t="inlineStr">
        <is>
          <t>Yes</t>
        </is>
      </c>
      <c r="J465" t="inlineStr">
        <is>
          <t>Yes</t>
        </is>
      </c>
    </row>
    <row r="466">
      <c r="A466" t="inlineStr">
        <is>
          <t>FFY2025</t>
        </is>
      </c>
      <c r="B466" t="inlineStr">
        <is>
          <t>AC Authorization</t>
        </is>
      </c>
      <c r="C466" t="inlineStr">
        <is>
          <t>01-05-0012</t>
        </is>
      </c>
      <c r="D466" t="inlineStr">
        <is>
          <t>CREATE East-West Corridor from Argo Interlocking to CP509</t>
        </is>
      </c>
      <c r="E466" t="inlineStr">
        <is>
          <t>Freight Movement</t>
        </is>
      </c>
      <c r="F466" t="inlineStr">
        <is>
          <t>Summit</t>
        </is>
      </c>
      <c r="G466" s="5" t="n">
        <v>8841353</v>
      </c>
      <c r="H466" t="inlineStr">
        <is>
          <t>Yes</t>
        </is>
      </c>
      <c r="I466" t="inlineStr">
        <is>
          <t>Yes</t>
        </is>
      </c>
      <c r="J466" t="inlineStr">
        <is>
          <t>Yes</t>
        </is>
      </c>
    </row>
    <row r="467">
      <c r="A467" t="inlineStr">
        <is>
          <t>FFY2025</t>
        </is>
      </c>
      <c r="B467" t="inlineStr">
        <is>
          <t>AC Authorization</t>
        </is>
      </c>
      <c r="C467" t="inlineStr">
        <is>
          <t>01-05-0012</t>
        </is>
      </c>
      <c r="D467" t="inlineStr">
        <is>
          <t>CREATE East-West Corridor from Argo Interlocking to CP509</t>
        </is>
      </c>
      <c r="E467" t="inlineStr">
        <is>
          <t>Freight Movement</t>
        </is>
      </c>
      <c r="F467" t="inlineStr">
        <is>
          <t>Summit</t>
        </is>
      </c>
      <c r="G467" s="5" t="n">
        <v>439469</v>
      </c>
      <c r="H467" t="inlineStr">
        <is>
          <t>Yes</t>
        </is>
      </c>
      <c r="I467" t="inlineStr">
        <is>
          <t>Yes</t>
        </is>
      </c>
      <c r="J467" t="inlineStr">
        <is>
          <t>Yes</t>
        </is>
      </c>
    </row>
    <row r="468">
      <c r="A468" t="inlineStr">
        <is>
          <t>FFY2025</t>
        </is>
      </c>
      <c r="B468" t="inlineStr">
        <is>
          <t>AC Authorization</t>
        </is>
      </c>
      <c r="C468" t="inlineStr">
        <is>
          <t>01-23-0027</t>
        </is>
      </c>
      <c r="D468" t="inlineStr">
        <is>
          <t>Ill 171 Archer Ave - S of Ogden Ave to W of Harlem Ave</t>
        </is>
      </c>
      <c r="E468" t="inlineStr">
        <is>
          <t>Road Maintenance</t>
        </is>
      </c>
      <c r="F468" t="inlineStr">
        <is>
          <t>Summit</t>
        </is>
      </c>
      <c r="G468" s="5" t="n">
        <v>2361381</v>
      </c>
      <c r="H468" t="inlineStr">
        <is>
          <t>No</t>
        </is>
      </c>
      <c r="I468" t="inlineStr">
        <is>
          <t>No</t>
        </is>
      </c>
      <c r="J468" t="inlineStr">
        <is>
          <t>No</t>
        </is>
      </c>
    </row>
    <row r="469">
      <c r="A469" t="inlineStr">
        <is>
          <t>FFY2025</t>
        </is>
      </c>
      <c r="B469" t="inlineStr">
        <is>
          <t>FHWA Obligation</t>
        </is>
      </c>
      <c r="C469" t="inlineStr">
        <is>
          <t>01-23-0027</t>
        </is>
      </c>
      <c r="D469" t="inlineStr">
        <is>
          <t>Ill 171 Archer Ave - S of Ogden Ave to W of Harlem Ave</t>
        </is>
      </c>
      <c r="E469" t="inlineStr">
        <is>
          <t>Road Maintenance</t>
        </is>
      </c>
      <c r="F469" t="inlineStr">
        <is>
          <t>Summit</t>
        </is>
      </c>
      <c r="G469" s="5" t="n">
        <v>2400000</v>
      </c>
      <c r="H469" t="inlineStr">
        <is>
          <t>No</t>
        </is>
      </c>
      <c r="I469" t="inlineStr">
        <is>
          <t>No</t>
        </is>
      </c>
      <c r="J469" t="inlineStr">
        <is>
          <t>No</t>
        </is>
      </c>
    </row>
    <row r="470">
      <c r="A470" t="inlineStr">
        <is>
          <t>FFY2025</t>
        </is>
      </c>
      <c r="B470" t="inlineStr">
        <is>
          <t>AC Authorization</t>
        </is>
      </c>
      <c r="C470" t="inlineStr">
        <is>
          <t>15-16-0006</t>
        </is>
      </c>
      <c r="D470" t="inlineStr">
        <is>
          <t>IL 171 (Archer Ave.) At 95th St.</t>
        </is>
      </c>
      <c r="E470" t="inlineStr">
        <is>
          <t>Intersection/Interchange Improvements</t>
        </is>
      </c>
      <c r="F470" t="inlineStr">
        <is>
          <t>Unincorporated (Cook)</t>
        </is>
      </c>
      <c r="G470" s="5" t="n">
        <v>10800000</v>
      </c>
      <c r="H470" t="inlineStr">
        <is>
          <t>Yes</t>
        </is>
      </c>
      <c r="I470" t="inlineStr">
        <is>
          <t>No</t>
        </is>
      </c>
      <c r="J470" t="inlineStr">
        <is>
          <t>No</t>
        </is>
      </c>
    </row>
    <row r="471">
      <c r="A471" t="inlineStr">
        <is>
          <t>FFY2025</t>
        </is>
      </c>
      <c r="B471" t="inlineStr">
        <is>
          <t>FHWA Obligation</t>
        </is>
      </c>
      <c r="C471" t="inlineStr">
        <is>
          <t>15-24-0002</t>
        </is>
      </c>
      <c r="D471" t="inlineStr">
        <is>
          <t>Ill 43 Harlem Ave at 143rd St</t>
        </is>
      </c>
      <c r="E471" t="inlineStr">
        <is>
          <t>Intersection/Interchange Improvements</t>
        </is>
      </c>
      <c r="F471" t="inlineStr">
        <is>
          <t>Unincorporated (Cook)</t>
        </is>
      </c>
      <c r="G471" s="5" t="n">
        <v>729944</v>
      </c>
      <c r="H471" t="inlineStr">
        <is>
          <t>No</t>
        </is>
      </c>
      <c r="I471" t="inlineStr">
        <is>
          <t>No</t>
        </is>
      </c>
      <c r="J471" t="inlineStr">
        <is>
          <t>No</t>
        </is>
      </c>
    </row>
    <row r="472">
      <c r="A472" t="inlineStr">
        <is>
          <t>FFY2025</t>
        </is>
      </c>
      <c r="B472" t="inlineStr">
        <is>
          <t>AC Authorization</t>
        </is>
      </c>
      <c r="C472" t="inlineStr">
        <is>
          <t>04-21-0016</t>
        </is>
      </c>
      <c r="D472" t="inlineStr">
        <is>
          <t>Westchester Wedgwood Avenue Bridge</t>
        </is>
      </c>
      <c r="E472" t="inlineStr">
        <is>
          <t>Bridge Repair, Rehab, or Replace</t>
        </is>
      </c>
      <c r="F472" t="inlineStr">
        <is>
          <t>Westchester</t>
        </is>
      </c>
      <c r="G472" s="5" t="n">
        <v>124000</v>
      </c>
      <c r="H472" t="inlineStr">
        <is>
          <t>No</t>
        </is>
      </c>
      <c r="I472" t="inlineStr">
        <is>
          <t>No</t>
        </is>
      </c>
      <c r="J472" t="inlineStr">
        <is>
          <t>No</t>
        </is>
      </c>
    </row>
    <row r="473">
      <c r="A473" t="inlineStr">
        <is>
          <t>FFY2025</t>
        </is>
      </c>
      <c r="B473" t="inlineStr">
        <is>
          <t>FHWA Obligation</t>
        </is>
      </c>
      <c r="C473" t="inlineStr">
        <is>
          <t>04-00-0023</t>
        </is>
      </c>
      <c r="D473" t="inlineStr">
        <is>
          <t>I-290 Eisenhower Expy from US 12/45/20 Mannheim Rd to Racine Ave - RSP 30</t>
        </is>
      </c>
      <c r="E473" t="inlineStr">
        <is>
          <t>Road Expansion</t>
        </is>
      </c>
      <c r="F473" t="inlineStr">
        <is>
          <t>Westchester</t>
        </is>
      </c>
      <c r="G473" s="5" t="n">
        <v>284512</v>
      </c>
      <c r="H473" t="inlineStr">
        <is>
          <t>No</t>
        </is>
      </c>
      <c r="I473" t="inlineStr">
        <is>
          <t>No</t>
        </is>
      </c>
      <c r="J473" t="inlineStr">
        <is>
          <t>Yes</t>
        </is>
      </c>
    </row>
    <row r="474">
      <c r="A474" t="inlineStr">
        <is>
          <t>FFY2025</t>
        </is>
      </c>
      <c r="B474" t="inlineStr">
        <is>
          <t>FHWA Obligation</t>
        </is>
      </c>
      <c r="C474" t="inlineStr">
        <is>
          <t>04-00-0023</t>
        </is>
      </c>
      <c r="D474" t="inlineStr">
        <is>
          <t>I-290 Eisenhower Expy from US 12/45/20 Mannheim Rd to Racine Ave - RSP 30</t>
        </is>
      </c>
      <c r="E474" t="inlineStr">
        <is>
          <t>Road Expansion</t>
        </is>
      </c>
      <c r="F474" t="inlineStr">
        <is>
          <t>Westchester</t>
        </is>
      </c>
      <c r="G474" s="5" t="n">
        <v>1085043</v>
      </c>
      <c r="H474" t="inlineStr">
        <is>
          <t>No</t>
        </is>
      </c>
      <c r="I474" t="inlineStr">
        <is>
          <t>No</t>
        </is>
      </c>
      <c r="J474" t="inlineStr">
        <is>
          <t>Yes</t>
        </is>
      </c>
    </row>
    <row r="475">
      <c r="A475" t="inlineStr">
        <is>
          <t>FFY2025</t>
        </is>
      </c>
      <c r="B475" t="inlineStr">
        <is>
          <t>AC Authorization</t>
        </is>
      </c>
      <c r="C475" t="inlineStr">
        <is>
          <t>05-16-0007</t>
        </is>
      </c>
      <c r="D475" t="inlineStr">
        <is>
          <t>IL 56 from IL 59 to IL 50; Cermak Rd./22nd St., Renaissance Blvd (West of) to IL 50 (Cicero Ave.)</t>
        </is>
      </c>
      <c r="E475" t="inlineStr">
        <is>
          <t>Road Maintenance</t>
        </is>
      </c>
      <c r="F475" t="inlineStr">
        <is>
          <t>Westchester</t>
        </is>
      </c>
      <c r="G475" s="5" t="n">
        <v>2913880</v>
      </c>
      <c r="H475" t="inlineStr">
        <is>
          <t>No</t>
        </is>
      </c>
      <c r="I475" t="inlineStr">
        <is>
          <t>No</t>
        </is>
      </c>
      <c r="J475" t="inlineStr">
        <is>
          <t>No</t>
        </is>
      </c>
    </row>
    <row r="476">
      <c r="A476" t="inlineStr">
        <is>
          <t>FFY2025</t>
        </is>
      </c>
      <c r="B476" t="inlineStr">
        <is>
          <t>FHWA Obligation</t>
        </is>
      </c>
      <c r="C476" t="inlineStr">
        <is>
          <t>05-16-0007</t>
        </is>
      </c>
      <c r="D476" t="inlineStr">
        <is>
          <t>IL 56 from IL 59 to IL 50; Cermak Rd./22nd St., Renaissance Blvd (West of) to IL 50 (Cicero Ave.)</t>
        </is>
      </c>
      <c r="E476" t="inlineStr">
        <is>
          <t>Road Maintenance</t>
        </is>
      </c>
      <c r="F476" t="inlineStr">
        <is>
          <t>Westchester</t>
        </is>
      </c>
      <c r="G476" s="5" t="n">
        <v>116074</v>
      </c>
      <c r="H476" t="inlineStr">
        <is>
          <t>No</t>
        </is>
      </c>
      <c r="I476" t="inlineStr">
        <is>
          <t>No</t>
        </is>
      </c>
      <c r="J476" t="inlineStr">
        <is>
          <t>No</t>
        </is>
      </c>
    </row>
    <row r="477">
      <c r="A477" t="inlineStr">
        <is>
          <t>FFY2025</t>
        </is>
      </c>
      <c r="B477" t="inlineStr">
        <is>
          <t>FHWA Obligation</t>
        </is>
      </c>
      <c r="C477" t="inlineStr">
        <is>
          <t>05-16-0007</t>
        </is>
      </c>
      <c r="D477" t="inlineStr">
        <is>
          <t>IL 56 from IL 59 to IL 50; Cermak Rd./22nd St., Renaissance Blvd (West of) to IL 50 (Cicero Ave.)</t>
        </is>
      </c>
      <c r="E477" t="inlineStr">
        <is>
          <t>Road Maintenance</t>
        </is>
      </c>
      <c r="F477" t="inlineStr">
        <is>
          <t>Westchester</t>
        </is>
      </c>
      <c r="G477" s="5" t="n">
        <v>16038095</v>
      </c>
      <c r="H477" t="inlineStr">
        <is>
          <t>No</t>
        </is>
      </c>
      <c r="I477" t="inlineStr">
        <is>
          <t>No</t>
        </is>
      </c>
      <c r="J477" t="inlineStr">
        <is>
          <t>No</t>
        </is>
      </c>
    </row>
    <row r="478">
      <c r="A478" t="inlineStr">
        <is>
          <t>FFY2025</t>
        </is>
      </c>
      <c r="B478" t="inlineStr">
        <is>
          <t>FHWA Obligation</t>
        </is>
      </c>
      <c r="C478" t="inlineStr">
        <is>
          <t>04-16-0005</t>
        </is>
      </c>
      <c r="D478" t="inlineStr">
        <is>
          <t>Balmoral Ave from Roosevelt Rd to Canterbury St - Westchester</t>
        </is>
      </c>
      <c r="E478" t="inlineStr">
        <is>
          <t>Road Modernization</t>
        </is>
      </c>
      <c r="F478" t="inlineStr">
        <is>
          <t>Westchester</t>
        </is>
      </c>
      <c r="G478" s="5" t="n">
        <v>1674977</v>
      </c>
      <c r="H478" t="inlineStr">
        <is>
          <t>No</t>
        </is>
      </c>
      <c r="I478" t="inlineStr">
        <is>
          <t>No</t>
        </is>
      </c>
      <c r="J478" t="inlineStr">
        <is>
          <t>No</t>
        </is>
      </c>
    </row>
    <row r="479">
      <c r="A479" t="inlineStr">
        <is>
          <t>FFY2025</t>
        </is>
      </c>
      <c r="B479" t="inlineStr">
        <is>
          <t>FHWA Obligation</t>
        </is>
      </c>
      <c r="C479" t="inlineStr">
        <is>
          <t>05-16-0008</t>
        </is>
      </c>
      <c r="D479" t="inlineStr">
        <is>
          <t>US 34 at Wolf Rd, Saratoga Ave &amp; Main St and Ill 59 At Main St</t>
        </is>
      </c>
      <c r="E479" t="inlineStr">
        <is>
          <t>Intersection/Interchange Improvements</t>
        </is>
      </c>
      <c r="F479" t="inlineStr">
        <is>
          <t>Western Springs</t>
        </is>
      </c>
      <c r="G479" s="5" t="n">
        <v>97911</v>
      </c>
      <c r="H479" t="inlineStr">
        <is>
          <t>Yes</t>
        </is>
      </c>
      <c r="I479" t="inlineStr">
        <is>
          <t>Yes</t>
        </is>
      </c>
      <c r="J479" t="inlineStr">
        <is>
          <t>Yes</t>
        </is>
      </c>
    </row>
    <row r="480">
      <c r="A480" t="inlineStr">
        <is>
          <t>FFY2025</t>
        </is>
      </c>
      <c r="B480" t="inlineStr">
        <is>
          <t>FHWA Obligation</t>
        </is>
      </c>
      <c r="C480" t="inlineStr">
        <is>
          <t>05-16-0008</t>
        </is>
      </c>
      <c r="D480" t="inlineStr">
        <is>
          <t>US 34 at Wolf Rd, Saratoga Ave &amp; Main St and Ill 59 At Main St</t>
        </is>
      </c>
      <c r="E480" t="inlineStr">
        <is>
          <t>Intersection/Interchange Improvements</t>
        </is>
      </c>
      <c r="F480" t="inlineStr">
        <is>
          <t>Western Springs</t>
        </is>
      </c>
      <c r="G480" s="5" t="n">
        <v>2212618</v>
      </c>
      <c r="H480" t="inlineStr">
        <is>
          <t>Yes</t>
        </is>
      </c>
      <c r="I480" t="inlineStr">
        <is>
          <t>Yes</t>
        </is>
      </c>
      <c r="J480" t="inlineStr">
        <is>
          <t>Yes</t>
        </is>
      </c>
    </row>
    <row r="481">
      <c r="A481" t="inlineStr">
        <is>
          <t>FFY2025</t>
        </is>
      </c>
      <c r="B481" t="inlineStr">
        <is>
          <t>FHWA Obligation</t>
        </is>
      </c>
      <c r="C481" t="inlineStr">
        <is>
          <t>05-24-0001</t>
        </is>
      </c>
      <c r="D481" t="inlineStr">
        <is>
          <t>Hampton Avenue Resurfacing (Hillgrove Avenue to Ogden Avenue)</t>
        </is>
      </c>
      <c r="E481" t="inlineStr">
        <is>
          <t>Road Maintenance</t>
        </is>
      </c>
      <c r="F481" t="inlineStr">
        <is>
          <t>Western Springs</t>
        </is>
      </c>
      <c r="G481" s="5" t="n">
        <v>924800</v>
      </c>
      <c r="H481" t="inlineStr">
        <is>
          <t>Yes</t>
        </is>
      </c>
      <c r="I481" t="inlineStr">
        <is>
          <t>Yes</t>
        </is>
      </c>
      <c r="J481" t="inlineStr">
        <is>
          <t>Yes</t>
        </is>
      </c>
    </row>
    <row r="482">
      <c r="A482" t="inlineStr">
        <is>
          <t>FFY2025</t>
        </is>
      </c>
      <c r="B482" t="inlineStr">
        <is>
          <t>FHWA Obligation</t>
        </is>
      </c>
      <c r="C482" t="inlineStr">
        <is>
          <t>05-24-0004</t>
        </is>
      </c>
      <c r="D482" t="inlineStr">
        <is>
          <t>Burlington Avenue Resurfacing (Central Avenue to Wolf Road)</t>
        </is>
      </c>
      <c r="E482" t="inlineStr">
        <is>
          <t>Road Maintenance</t>
        </is>
      </c>
      <c r="F482" t="inlineStr">
        <is>
          <t>Western Springs</t>
        </is>
      </c>
      <c r="G482" s="5" t="n">
        <v>565600</v>
      </c>
      <c r="H482" t="inlineStr">
        <is>
          <t>Yes</t>
        </is>
      </c>
      <c r="I482" t="inlineStr">
        <is>
          <t>Yes</t>
        </is>
      </c>
      <c r="J482" t="inlineStr">
        <is>
          <t>Yes</t>
        </is>
      </c>
    </row>
    <row r="483">
      <c r="A483" t="inlineStr">
        <is>
          <t>FFY2025</t>
        </is>
      </c>
      <c r="B483" t="inlineStr">
        <is>
          <t>AC Authorization</t>
        </is>
      </c>
      <c r="C483" t="inlineStr">
        <is>
          <t>03-25-0018</t>
        </is>
      </c>
      <c r="D483" t="inlineStr">
        <is>
          <t>Ill 68 Dundee Rd - E of Kennicott Ave to Northgate Pkwy</t>
        </is>
      </c>
      <c r="E483" t="inlineStr">
        <is>
          <t>Road Maintenance</t>
        </is>
      </c>
      <c r="F483" t="inlineStr">
        <is>
          <t>Wheeling</t>
        </is>
      </c>
      <c r="G483" s="5" t="n">
        <v>4800000</v>
      </c>
      <c r="H483" t="inlineStr">
        <is>
          <t>Yes</t>
        </is>
      </c>
      <c r="I483" t="inlineStr">
        <is>
          <t>Yes</t>
        </is>
      </c>
      <c r="J483" t="inlineStr">
        <is>
          <t>Yes</t>
        </is>
      </c>
    </row>
    <row r="484">
      <c r="A484" t="inlineStr">
        <is>
          <t>FFY2025</t>
        </is>
      </c>
      <c r="B484" t="inlineStr">
        <is>
          <t>FHWA Obligation</t>
        </is>
      </c>
      <c r="C484" t="inlineStr">
        <is>
          <t>01-16-0023</t>
        </is>
      </c>
      <c r="D484" t="inlineStr">
        <is>
          <t>US 41(Skokie Hwy.)/I-94 (Edens Expy.), IL 173 to I-90 (Kennedy Expy.)/I-94 (Edens Expy.)</t>
        </is>
      </c>
      <c r="E484" t="inlineStr">
        <is>
          <t>Intelligent Transportation Systems</t>
        </is>
      </c>
      <c r="F484" t="inlineStr">
        <is>
          <t>Wilmette</t>
        </is>
      </c>
      <c r="G484" s="5" t="n">
        <v>145648</v>
      </c>
      <c r="H484" t="inlineStr">
        <is>
          <t>No</t>
        </is>
      </c>
      <c r="I484" t="inlineStr">
        <is>
          <t>No</t>
        </is>
      </c>
      <c r="J484" t="inlineStr">
        <is>
          <t>Yes</t>
        </is>
      </c>
    </row>
    <row r="485">
      <c r="A485" t="inlineStr">
        <is>
          <t>FFY2025</t>
        </is>
      </c>
      <c r="B485" t="inlineStr">
        <is>
          <t>FHWA Obligation</t>
        </is>
      </c>
      <c r="C485" t="inlineStr">
        <is>
          <t>01-16-0023</t>
        </is>
      </c>
      <c r="D485" t="inlineStr">
        <is>
          <t>US 41(Skokie Hwy.)/I-94 (Edens Expy.), IL 173 to I-90 (Kennedy Expy.)/I-94 (Edens Expy.)</t>
        </is>
      </c>
      <c r="E485" t="inlineStr">
        <is>
          <t>Intelligent Transportation Systems</t>
        </is>
      </c>
      <c r="F485" t="inlineStr">
        <is>
          <t>Wilmette</t>
        </is>
      </c>
      <c r="G485" s="5" t="n">
        <v>1956539</v>
      </c>
      <c r="H485" t="inlineStr">
        <is>
          <t>No</t>
        </is>
      </c>
      <c r="I485" t="inlineStr">
        <is>
          <t>No</t>
        </is>
      </c>
      <c r="J485" t="inlineStr">
        <is>
          <t>Yes</t>
        </is>
      </c>
    </row>
    <row r="486">
      <c r="A486" t="inlineStr">
        <is>
          <t>FFY2025</t>
        </is>
      </c>
      <c r="B486" t="inlineStr">
        <is>
          <t>AC Authorization</t>
        </is>
      </c>
      <c r="C486" t="inlineStr">
        <is>
          <t>02-16-0005</t>
        </is>
      </c>
      <c r="D486" t="inlineStr">
        <is>
          <t>US 41 Skokie Blvd at Lake Ave</t>
        </is>
      </c>
      <c r="E486" t="inlineStr">
        <is>
          <t>Intersection/Interchange Improvements</t>
        </is>
      </c>
      <c r="F486" t="inlineStr">
        <is>
          <t>Wilmette</t>
        </is>
      </c>
      <c r="G486" s="5" t="n">
        <v>121600</v>
      </c>
      <c r="H486" t="inlineStr">
        <is>
          <t>Yes</t>
        </is>
      </c>
      <c r="I486" t="inlineStr">
        <is>
          <t>No</t>
        </is>
      </c>
      <c r="J486" t="inlineStr">
        <is>
          <t>No</t>
        </is>
      </c>
    </row>
    <row r="487">
      <c r="A487" t="inlineStr">
        <is>
          <t>FFY2025</t>
        </is>
      </c>
      <c r="B487" t="inlineStr">
        <is>
          <t>AC Authorization</t>
        </is>
      </c>
      <c r="C487" t="inlineStr">
        <is>
          <t>03-24-0004</t>
        </is>
      </c>
      <c r="D487" t="inlineStr">
        <is>
          <t>Various Routes at Various Locations</t>
        </is>
      </c>
      <c r="E487" t="inlineStr">
        <is>
          <t>Intersection/Interchange Improvements</t>
        </is>
      </c>
      <c r="F487" t="inlineStr">
        <is>
          <t>Wilmette</t>
        </is>
      </c>
      <c r="G487" s="5" t="n">
        <v>2475000</v>
      </c>
      <c r="H487" t="inlineStr">
        <is>
          <t>No</t>
        </is>
      </c>
      <c r="I487" t="inlineStr">
        <is>
          <t>No</t>
        </is>
      </c>
      <c r="J487" t="inlineStr">
        <is>
          <t>No</t>
        </is>
      </c>
    </row>
    <row r="488">
      <c r="A488" t="inlineStr">
        <is>
          <t>FFY2025</t>
        </is>
      </c>
      <c r="B488" t="inlineStr">
        <is>
          <t>AC Authorization</t>
        </is>
      </c>
      <c r="C488" t="inlineStr">
        <is>
          <t>02-23-0016</t>
        </is>
      </c>
      <c r="D488" t="inlineStr">
        <is>
          <t>US 41 Skokie Blvd - S of Old Glenview Rd to N of Golf Rd</t>
        </is>
      </c>
      <c r="E488" t="inlineStr">
        <is>
          <t>Road Maintenance</t>
        </is>
      </c>
      <c r="F488" t="inlineStr">
        <is>
          <t>Wilmette</t>
        </is>
      </c>
      <c r="G488" s="5" t="n">
        <v>1040000</v>
      </c>
      <c r="H488" t="inlineStr">
        <is>
          <t>Yes</t>
        </is>
      </c>
      <c r="I488" t="inlineStr">
        <is>
          <t>Yes</t>
        </is>
      </c>
      <c r="J488" t="inlineStr">
        <is>
          <t>No</t>
        </is>
      </c>
    </row>
    <row r="489">
      <c r="A489" t="inlineStr">
        <is>
          <t>FFY2025</t>
        </is>
      </c>
      <c r="B489" t="inlineStr">
        <is>
          <t>FHWA Obligation</t>
        </is>
      </c>
      <c r="C489" t="inlineStr">
        <is>
          <t>10-23-0030</t>
        </is>
      </c>
      <c r="D489" t="inlineStr">
        <is>
          <t>US 41/I-94 Skokie Hwy - Park Ave W to I- 90/94 (Kennedy Edens Junction)</t>
        </is>
      </c>
      <c r="E489" t="inlineStr">
        <is>
          <t>Safety</t>
        </is>
      </c>
      <c r="F489" t="inlineStr">
        <is>
          <t>Wilmette</t>
        </is>
      </c>
      <c r="G489" s="5" t="n">
        <v>9188952</v>
      </c>
      <c r="H489" t="inlineStr">
        <is>
          <t>No</t>
        </is>
      </c>
      <c r="I489" t="inlineStr">
        <is>
          <t>No</t>
        </is>
      </c>
      <c r="J489" t="inlineStr">
        <is>
          <t>Yes</t>
        </is>
      </c>
    </row>
    <row r="490">
      <c r="A490" t="inlineStr">
        <is>
          <t>FFY2025</t>
        </is>
      </c>
      <c r="B490" t="inlineStr">
        <is>
          <t>AC Authorization</t>
        </is>
      </c>
      <c r="C490" t="inlineStr">
        <is>
          <t>02-20-0005</t>
        </is>
      </c>
      <c r="D490" t="inlineStr">
        <is>
          <t>Green Bay Rd - S of Scott Ave to S of Kenilworth Ave</t>
        </is>
      </c>
      <c r="E490" t="inlineStr">
        <is>
          <t>Road Maintenance</t>
        </is>
      </c>
      <c r="F490" t="inlineStr">
        <is>
          <t>Winnetka</t>
        </is>
      </c>
      <c r="G490" s="5" t="n">
        <v>4580000</v>
      </c>
      <c r="H490" t="inlineStr">
        <is>
          <t>Yes</t>
        </is>
      </c>
      <c r="I490" t="inlineStr">
        <is>
          <t>Yes</t>
        </is>
      </c>
      <c r="J490" t="inlineStr">
        <is>
          <t>No</t>
        </is>
      </c>
    </row>
    <row r="491">
      <c r="A491" t="inlineStr">
        <is>
          <t>FFY2025</t>
        </is>
      </c>
      <c r="B491" t="inlineStr">
        <is>
          <t>AC Authorization</t>
        </is>
      </c>
      <c r="C491" t="inlineStr">
        <is>
          <t>12-24-0026</t>
        </is>
      </c>
      <c r="D491" t="inlineStr">
        <is>
          <t>Various - signal modernization at various locations in Cook, &amp; Will</t>
        </is>
      </c>
      <c r="E491" t="inlineStr">
        <is>
          <t>Intersection/Interchange Improvements</t>
        </is>
      </c>
      <c r="F491" t="inlineStr">
        <is>
          <t>Worth</t>
        </is>
      </c>
      <c r="G491" s="5" t="n">
        <v>3150000</v>
      </c>
      <c r="H491" t="inlineStr">
        <is>
          <t>No</t>
        </is>
      </c>
      <c r="I491" t="inlineStr">
        <is>
          <t>No</t>
        </is>
      </c>
      <c r="J491" t="inlineStr">
        <is>
          <t>No</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22" customWidth="1" min="5" max="5"/>
    <col width="16" customWidth="1" min="6" max="6"/>
  </cols>
  <sheetData>
    <row r="1">
      <c r="A1" s="4" t="inlineStr">
        <is>
          <t>Fiscal Year</t>
        </is>
      </c>
      <c r="B1" s="4" t="inlineStr">
        <is>
          <t>Table</t>
        </is>
      </c>
      <c r="C1" s="4" t="inlineStr">
        <is>
          <t>Project Type</t>
        </is>
      </c>
      <c r="D1" s="4" t="inlineStr">
        <is>
          <t>Municipality</t>
        </is>
      </c>
      <c r="E1" s="4" t="inlineStr">
        <is>
          <t>Obligated_Amount_Sum</t>
        </is>
      </c>
      <c r="F1" s="4" t="inlineStr">
        <is>
          <t>Project_Count</t>
        </is>
      </c>
    </row>
    <row r="2">
      <c r="A2" t="inlineStr">
        <is>
          <t>FFY2025</t>
        </is>
      </c>
      <c r="B2" t="inlineStr">
        <is>
          <t>AC Authorization</t>
        </is>
      </c>
      <c r="C2" t="inlineStr">
        <is>
          <t>Road Maintenance</t>
        </is>
      </c>
      <c r="D2" t="inlineStr">
        <is>
          <t>Alsip</t>
        </is>
      </c>
      <c r="E2" s="5">
        <f>SUMIFS(Exploded_Detail_Relevant!$G$2:$G$491,Exploded_Detail_Relevant!$A$2:$A$491,$A2,Exploded_Detail_Relevant!$B$2:$B$491,$B2,Exploded_Detail_Relevant!$E$2:$E$491,$C2,Exploded_Detail_Relevant!$F$2:$F$491,$D2)</f>
        <v/>
      </c>
      <c r="F2">
        <f>COUNTIFS(Exploded_Detail_Relevant!$A$2:$A$491,$A2,Exploded_Detail_Relevant!$B$2:$B$491,$B2,Exploded_Detail_Relevant!$E$2:$E$491,$C2,Exploded_Detail_Relevant!$F$2:$F$491,$D2)</f>
        <v/>
      </c>
    </row>
    <row r="3">
      <c r="A3" t="inlineStr">
        <is>
          <t>FFY2025</t>
        </is>
      </c>
      <c r="B3" t="inlineStr">
        <is>
          <t>AC Authorization</t>
        </is>
      </c>
      <c r="C3" t="inlineStr">
        <is>
          <t>Bicycle &amp; Pedestrian</t>
        </is>
      </c>
      <c r="D3" t="inlineStr">
        <is>
          <t>Arlington Heights</t>
        </is>
      </c>
      <c r="E3" s="5">
        <f>SUMIFS(Exploded_Detail_Relevant!$G$2:$G$491,Exploded_Detail_Relevant!$A$2:$A$491,$A3,Exploded_Detail_Relevant!$B$2:$B$491,$B3,Exploded_Detail_Relevant!$E$2:$E$491,$C3,Exploded_Detail_Relevant!$F$2:$F$491,$D3)</f>
        <v/>
      </c>
      <c r="F3">
        <f>COUNTIFS(Exploded_Detail_Relevant!$A$2:$A$491,$A3,Exploded_Detail_Relevant!$B$2:$B$491,$B3,Exploded_Detail_Relevant!$E$2:$E$491,$C3,Exploded_Detail_Relevant!$F$2:$F$491,$D3)</f>
        <v/>
      </c>
    </row>
    <row r="4">
      <c r="A4" t="inlineStr">
        <is>
          <t>FFY2025</t>
        </is>
      </c>
      <c r="B4" t="inlineStr">
        <is>
          <t>FHWA Obligation</t>
        </is>
      </c>
      <c r="C4" t="inlineStr">
        <is>
          <t>Bicycle &amp; Pedestrian</t>
        </is>
      </c>
      <c r="D4" t="inlineStr">
        <is>
          <t>Arlington Heights</t>
        </is>
      </c>
      <c r="E4" s="5">
        <f>SUMIFS(Exploded_Detail_Relevant!$G$2:$G$491,Exploded_Detail_Relevant!$A$2:$A$491,$A4,Exploded_Detail_Relevant!$B$2:$B$491,$B4,Exploded_Detail_Relevant!$E$2:$E$491,$C4,Exploded_Detail_Relevant!$F$2:$F$491,$D4)</f>
        <v/>
      </c>
      <c r="F4">
        <f>COUNTIFS(Exploded_Detail_Relevant!$A$2:$A$491,$A4,Exploded_Detail_Relevant!$B$2:$B$491,$B4,Exploded_Detail_Relevant!$E$2:$E$491,$C4,Exploded_Detail_Relevant!$F$2:$F$491,$D4)</f>
        <v/>
      </c>
    </row>
    <row r="5">
      <c r="A5" t="inlineStr">
        <is>
          <t>FFY2025</t>
        </is>
      </c>
      <c r="B5" t="inlineStr">
        <is>
          <t>AC Authorization</t>
        </is>
      </c>
      <c r="C5" t="inlineStr">
        <is>
          <t>Bridge Repair, Rehab, or Replace</t>
        </is>
      </c>
      <c r="D5" t="inlineStr">
        <is>
          <t>Arlington Heights</t>
        </is>
      </c>
      <c r="E5" s="5">
        <f>SUMIFS(Exploded_Detail_Relevant!$G$2:$G$491,Exploded_Detail_Relevant!$A$2:$A$491,$A5,Exploded_Detail_Relevant!$B$2:$B$491,$B5,Exploded_Detail_Relevant!$E$2:$E$491,$C5,Exploded_Detail_Relevant!$F$2:$F$491,$D5)</f>
        <v/>
      </c>
      <c r="F5">
        <f>COUNTIFS(Exploded_Detail_Relevant!$A$2:$A$491,$A5,Exploded_Detail_Relevant!$B$2:$B$491,$B5,Exploded_Detail_Relevant!$E$2:$E$491,$C5,Exploded_Detail_Relevant!$F$2:$F$491,$D5)</f>
        <v/>
      </c>
    </row>
    <row r="6">
      <c r="A6" t="inlineStr">
        <is>
          <t>FFY2025</t>
        </is>
      </c>
      <c r="B6" t="inlineStr">
        <is>
          <t>FHWA Obligation</t>
        </is>
      </c>
      <c r="C6" t="inlineStr">
        <is>
          <t>Bridge Repair, Rehab, or Replace</t>
        </is>
      </c>
      <c r="D6" t="inlineStr">
        <is>
          <t>Arlington Heights</t>
        </is>
      </c>
      <c r="E6" s="5">
        <f>SUMIFS(Exploded_Detail_Relevant!$G$2:$G$491,Exploded_Detail_Relevant!$A$2:$A$491,$A6,Exploded_Detail_Relevant!$B$2:$B$491,$B6,Exploded_Detail_Relevant!$E$2:$E$491,$C6,Exploded_Detail_Relevant!$F$2:$F$491,$D6)</f>
        <v/>
      </c>
      <c r="F6">
        <f>COUNTIFS(Exploded_Detail_Relevant!$A$2:$A$491,$A6,Exploded_Detail_Relevant!$B$2:$B$491,$B6,Exploded_Detail_Relevant!$E$2:$E$491,$C6,Exploded_Detail_Relevant!$F$2:$F$491,$D6)</f>
        <v/>
      </c>
    </row>
    <row r="7">
      <c r="A7" t="inlineStr">
        <is>
          <t>FFY2025</t>
        </is>
      </c>
      <c r="B7" t="inlineStr">
        <is>
          <t>AC Authorization</t>
        </is>
      </c>
      <c r="C7" t="inlineStr">
        <is>
          <t>Intersection/Interchange Improvements</t>
        </is>
      </c>
      <c r="D7" t="inlineStr">
        <is>
          <t>Arlington Heights</t>
        </is>
      </c>
      <c r="E7" s="5">
        <f>SUMIFS(Exploded_Detail_Relevant!$G$2:$G$491,Exploded_Detail_Relevant!$A$2:$A$491,$A7,Exploded_Detail_Relevant!$B$2:$B$491,$B7,Exploded_Detail_Relevant!$E$2:$E$491,$C7,Exploded_Detail_Relevant!$F$2:$F$491,$D7)</f>
        <v/>
      </c>
      <c r="F7">
        <f>COUNTIFS(Exploded_Detail_Relevant!$A$2:$A$491,$A7,Exploded_Detail_Relevant!$B$2:$B$491,$B7,Exploded_Detail_Relevant!$E$2:$E$491,$C7,Exploded_Detail_Relevant!$F$2:$F$491,$D7)</f>
        <v/>
      </c>
    </row>
    <row r="8">
      <c r="A8" t="inlineStr">
        <is>
          <t>FFY2025</t>
        </is>
      </c>
      <c r="B8" t="inlineStr">
        <is>
          <t>FHWA Obligation</t>
        </is>
      </c>
      <c r="C8" t="inlineStr">
        <is>
          <t>Intersection/Interchange Improvements</t>
        </is>
      </c>
      <c r="D8" t="inlineStr">
        <is>
          <t>Arlington Heights</t>
        </is>
      </c>
      <c r="E8" s="5">
        <f>SUMIFS(Exploded_Detail_Relevant!$G$2:$G$491,Exploded_Detail_Relevant!$A$2:$A$491,$A8,Exploded_Detail_Relevant!$B$2:$B$491,$B8,Exploded_Detail_Relevant!$E$2:$E$491,$C8,Exploded_Detail_Relevant!$F$2:$F$491,$D8)</f>
        <v/>
      </c>
      <c r="F8">
        <f>COUNTIFS(Exploded_Detail_Relevant!$A$2:$A$491,$A8,Exploded_Detail_Relevant!$B$2:$B$491,$B8,Exploded_Detail_Relevant!$E$2:$E$491,$C8,Exploded_Detail_Relevant!$F$2:$F$491,$D8)</f>
        <v/>
      </c>
    </row>
    <row r="9">
      <c r="A9" t="inlineStr">
        <is>
          <t>FFY2025</t>
        </is>
      </c>
      <c r="B9" t="inlineStr">
        <is>
          <t>AC Authorization</t>
        </is>
      </c>
      <c r="C9" t="inlineStr">
        <is>
          <t>Road Maintenance</t>
        </is>
      </c>
      <c r="D9" t="inlineStr">
        <is>
          <t>Arlington Heights</t>
        </is>
      </c>
      <c r="E9" s="5">
        <f>SUMIFS(Exploded_Detail_Relevant!$G$2:$G$491,Exploded_Detail_Relevant!$A$2:$A$491,$A9,Exploded_Detail_Relevant!$B$2:$B$491,$B9,Exploded_Detail_Relevant!$E$2:$E$491,$C9,Exploded_Detail_Relevant!$F$2:$F$491,$D9)</f>
        <v/>
      </c>
      <c r="F9">
        <f>COUNTIFS(Exploded_Detail_Relevant!$A$2:$A$491,$A9,Exploded_Detail_Relevant!$B$2:$B$491,$B9,Exploded_Detail_Relevant!$E$2:$E$491,$C9,Exploded_Detail_Relevant!$F$2:$F$491,$D9)</f>
        <v/>
      </c>
    </row>
    <row r="10">
      <c r="A10" t="inlineStr">
        <is>
          <t>FFY2025</t>
        </is>
      </c>
      <c r="B10" t="inlineStr">
        <is>
          <t>AC Authorization</t>
        </is>
      </c>
      <c r="C10" t="inlineStr">
        <is>
          <t>Rail-Highway Grade Separation</t>
        </is>
      </c>
      <c r="D10" t="inlineStr">
        <is>
          <t>Barrington</t>
        </is>
      </c>
      <c r="E10" s="5">
        <f>SUMIFS(Exploded_Detail_Relevant!$G$2:$G$491,Exploded_Detail_Relevant!$A$2:$A$491,$A10,Exploded_Detail_Relevant!$B$2:$B$491,$B10,Exploded_Detail_Relevant!$E$2:$E$491,$C10,Exploded_Detail_Relevant!$F$2:$F$491,$D10)</f>
        <v/>
      </c>
      <c r="F10">
        <f>COUNTIFS(Exploded_Detail_Relevant!$A$2:$A$491,$A10,Exploded_Detail_Relevant!$B$2:$B$491,$B10,Exploded_Detail_Relevant!$E$2:$E$491,$C10,Exploded_Detail_Relevant!$F$2:$F$491,$D10)</f>
        <v/>
      </c>
    </row>
    <row r="11">
      <c r="A11" t="inlineStr">
        <is>
          <t>FFY2025</t>
        </is>
      </c>
      <c r="B11" t="inlineStr">
        <is>
          <t>FHWA Obligation</t>
        </is>
      </c>
      <c r="C11" t="inlineStr">
        <is>
          <t>Rail-Highway Grade Separation</t>
        </is>
      </c>
      <c r="D11" t="inlineStr">
        <is>
          <t>Barrington</t>
        </is>
      </c>
      <c r="E11" s="5">
        <f>SUMIFS(Exploded_Detail_Relevant!$G$2:$G$491,Exploded_Detail_Relevant!$A$2:$A$491,$A11,Exploded_Detail_Relevant!$B$2:$B$491,$B11,Exploded_Detail_Relevant!$E$2:$E$491,$C11,Exploded_Detail_Relevant!$F$2:$F$491,$D11)</f>
        <v/>
      </c>
      <c r="F11">
        <f>COUNTIFS(Exploded_Detail_Relevant!$A$2:$A$491,$A11,Exploded_Detail_Relevant!$B$2:$B$491,$B11,Exploded_Detail_Relevant!$E$2:$E$491,$C11,Exploded_Detail_Relevant!$F$2:$F$491,$D11)</f>
        <v/>
      </c>
    </row>
    <row r="12">
      <c r="A12" t="inlineStr">
        <is>
          <t>FFY2025</t>
        </is>
      </c>
      <c r="B12" t="inlineStr">
        <is>
          <t>AC Authorization</t>
        </is>
      </c>
      <c r="C12" t="inlineStr">
        <is>
          <t>Safe Routes to Schools</t>
        </is>
      </c>
      <c r="D12" t="inlineStr">
        <is>
          <t>Barrington</t>
        </is>
      </c>
      <c r="E12" s="5">
        <f>SUMIFS(Exploded_Detail_Relevant!$G$2:$G$491,Exploded_Detail_Relevant!$A$2:$A$491,$A12,Exploded_Detail_Relevant!$B$2:$B$491,$B12,Exploded_Detail_Relevant!$E$2:$E$491,$C12,Exploded_Detail_Relevant!$F$2:$F$491,$D12)</f>
        <v/>
      </c>
      <c r="F12">
        <f>COUNTIFS(Exploded_Detail_Relevant!$A$2:$A$491,$A12,Exploded_Detail_Relevant!$B$2:$B$491,$B12,Exploded_Detail_Relevant!$E$2:$E$491,$C12,Exploded_Detail_Relevant!$F$2:$F$491,$D12)</f>
        <v/>
      </c>
    </row>
    <row r="13">
      <c r="A13" t="inlineStr">
        <is>
          <t>FFY2025</t>
        </is>
      </c>
      <c r="B13" t="inlineStr">
        <is>
          <t>AC Authorization</t>
        </is>
      </c>
      <c r="C13" t="inlineStr">
        <is>
          <t>Road Maintenance</t>
        </is>
      </c>
      <c r="D13" t="inlineStr">
        <is>
          <t>Barrington Hills</t>
        </is>
      </c>
      <c r="E13" s="5">
        <f>SUMIFS(Exploded_Detail_Relevant!$G$2:$G$491,Exploded_Detail_Relevant!$A$2:$A$491,$A13,Exploded_Detail_Relevant!$B$2:$B$491,$B13,Exploded_Detail_Relevant!$E$2:$E$491,$C13,Exploded_Detail_Relevant!$F$2:$F$491,$D13)</f>
        <v/>
      </c>
      <c r="F13">
        <f>COUNTIFS(Exploded_Detail_Relevant!$A$2:$A$491,$A13,Exploded_Detail_Relevant!$B$2:$B$491,$B13,Exploded_Detail_Relevant!$E$2:$E$491,$C13,Exploded_Detail_Relevant!$F$2:$F$491,$D13)</f>
        <v/>
      </c>
    </row>
    <row r="14">
      <c r="A14" t="inlineStr">
        <is>
          <t>FFY2025</t>
        </is>
      </c>
      <c r="B14" t="inlineStr">
        <is>
          <t>AC Authorization</t>
        </is>
      </c>
      <c r="C14" t="inlineStr">
        <is>
          <t>Freight Movement</t>
        </is>
      </c>
      <c r="D14" t="inlineStr">
        <is>
          <t>Bedford Park</t>
        </is>
      </c>
      <c r="E14" s="5">
        <f>SUMIFS(Exploded_Detail_Relevant!$G$2:$G$491,Exploded_Detail_Relevant!$A$2:$A$491,$A14,Exploded_Detail_Relevant!$B$2:$B$491,$B14,Exploded_Detail_Relevant!$E$2:$E$491,$C14,Exploded_Detail_Relevant!$F$2:$F$491,$D14)</f>
        <v/>
      </c>
      <c r="F14">
        <f>COUNTIFS(Exploded_Detail_Relevant!$A$2:$A$491,$A14,Exploded_Detail_Relevant!$B$2:$B$491,$B14,Exploded_Detail_Relevant!$E$2:$E$491,$C14,Exploded_Detail_Relevant!$F$2:$F$491,$D14)</f>
        <v/>
      </c>
    </row>
    <row r="15">
      <c r="A15" t="inlineStr">
        <is>
          <t>FFY2025</t>
        </is>
      </c>
      <c r="B15" t="inlineStr">
        <is>
          <t>FHWA Obligation</t>
        </is>
      </c>
      <c r="C15" t="inlineStr">
        <is>
          <t>Road Expansion</t>
        </is>
      </c>
      <c r="D15" t="inlineStr">
        <is>
          <t>Bellwood</t>
        </is>
      </c>
      <c r="E15" s="5">
        <f>SUMIFS(Exploded_Detail_Relevant!$G$2:$G$491,Exploded_Detail_Relevant!$A$2:$A$491,$A15,Exploded_Detail_Relevant!$B$2:$B$491,$B15,Exploded_Detail_Relevant!$E$2:$E$491,$C15,Exploded_Detail_Relevant!$F$2:$F$491,$D15)</f>
        <v/>
      </c>
      <c r="F15">
        <f>COUNTIFS(Exploded_Detail_Relevant!$A$2:$A$491,$A15,Exploded_Detail_Relevant!$B$2:$B$491,$B15,Exploded_Detail_Relevant!$E$2:$E$491,$C15,Exploded_Detail_Relevant!$F$2:$F$491,$D15)</f>
        <v/>
      </c>
    </row>
    <row r="16">
      <c r="A16" t="inlineStr">
        <is>
          <t>FFY2025</t>
        </is>
      </c>
      <c r="B16" t="inlineStr">
        <is>
          <t>FHWA Obligation</t>
        </is>
      </c>
      <c r="C16" t="inlineStr">
        <is>
          <t>Bicycle &amp; Pedestrian</t>
        </is>
      </c>
      <c r="D16" t="inlineStr">
        <is>
          <t>Berkeley</t>
        </is>
      </c>
      <c r="E16" s="5">
        <f>SUMIFS(Exploded_Detail_Relevant!$G$2:$G$491,Exploded_Detail_Relevant!$A$2:$A$491,$A16,Exploded_Detail_Relevant!$B$2:$B$491,$B16,Exploded_Detail_Relevant!$E$2:$E$491,$C16,Exploded_Detail_Relevant!$F$2:$F$491,$D16)</f>
        <v/>
      </c>
      <c r="F16">
        <f>COUNTIFS(Exploded_Detail_Relevant!$A$2:$A$491,$A16,Exploded_Detail_Relevant!$B$2:$B$491,$B16,Exploded_Detail_Relevant!$E$2:$E$491,$C16,Exploded_Detail_Relevant!$F$2:$F$491,$D16)</f>
        <v/>
      </c>
    </row>
    <row r="17">
      <c r="A17" t="inlineStr">
        <is>
          <t>FFY2025</t>
        </is>
      </c>
      <c r="B17" t="inlineStr">
        <is>
          <t>FHWA Obligation</t>
        </is>
      </c>
      <c r="C17" t="inlineStr">
        <is>
          <t>Intersection/Interchange Improvements</t>
        </is>
      </c>
      <c r="D17" t="inlineStr">
        <is>
          <t>Berwyn</t>
        </is>
      </c>
      <c r="E17" s="5">
        <f>SUMIFS(Exploded_Detail_Relevant!$G$2:$G$491,Exploded_Detail_Relevant!$A$2:$A$491,$A17,Exploded_Detail_Relevant!$B$2:$B$491,$B17,Exploded_Detail_Relevant!$E$2:$E$491,$C17,Exploded_Detail_Relevant!$F$2:$F$491,$D17)</f>
        <v/>
      </c>
      <c r="F17">
        <f>COUNTIFS(Exploded_Detail_Relevant!$A$2:$A$491,$A17,Exploded_Detail_Relevant!$B$2:$B$491,$B17,Exploded_Detail_Relevant!$E$2:$E$491,$C17,Exploded_Detail_Relevant!$F$2:$F$491,$D17)</f>
        <v/>
      </c>
    </row>
    <row r="18">
      <c r="A18" t="inlineStr">
        <is>
          <t>FFY2025</t>
        </is>
      </c>
      <c r="B18" t="inlineStr">
        <is>
          <t>AC Authorization</t>
        </is>
      </c>
      <c r="C18" t="inlineStr">
        <is>
          <t>Road Maintenance</t>
        </is>
      </c>
      <c r="D18" t="inlineStr">
        <is>
          <t>Berwyn</t>
        </is>
      </c>
      <c r="E18" s="5">
        <f>SUMIFS(Exploded_Detail_Relevant!$G$2:$G$491,Exploded_Detail_Relevant!$A$2:$A$491,$A18,Exploded_Detail_Relevant!$B$2:$B$491,$B18,Exploded_Detail_Relevant!$E$2:$E$491,$C18,Exploded_Detail_Relevant!$F$2:$F$491,$D18)</f>
        <v/>
      </c>
      <c r="F18">
        <f>COUNTIFS(Exploded_Detail_Relevant!$A$2:$A$491,$A18,Exploded_Detail_Relevant!$B$2:$B$491,$B18,Exploded_Detail_Relevant!$E$2:$E$491,$C18,Exploded_Detail_Relevant!$F$2:$F$491,$D18)</f>
        <v/>
      </c>
    </row>
    <row r="19">
      <c r="A19" t="inlineStr">
        <is>
          <t>FFY2025</t>
        </is>
      </c>
      <c r="B19" t="inlineStr">
        <is>
          <t>FHWA Obligation</t>
        </is>
      </c>
      <c r="C19" t="inlineStr">
        <is>
          <t>Road Maintenance</t>
        </is>
      </c>
      <c r="D19" t="inlineStr">
        <is>
          <t>Berwyn</t>
        </is>
      </c>
      <c r="E19" s="5">
        <f>SUMIFS(Exploded_Detail_Relevant!$G$2:$G$491,Exploded_Detail_Relevant!$A$2:$A$491,$A19,Exploded_Detail_Relevant!$B$2:$B$491,$B19,Exploded_Detail_Relevant!$E$2:$E$491,$C19,Exploded_Detail_Relevant!$F$2:$F$491,$D19)</f>
        <v/>
      </c>
      <c r="F19">
        <f>COUNTIFS(Exploded_Detail_Relevant!$A$2:$A$491,$A19,Exploded_Detail_Relevant!$B$2:$B$491,$B19,Exploded_Detail_Relevant!$E$2:$E$491,$C19,Exploded_Detail_Relevant!$F$2:$F$491,$D19)</f>
        <v/>
      </c>
    </row>
    <row r="20">
      <c r="A20" t="inlineStr">
        <is>
          <t>FFY2025</t>
        </is>
      </c>
      <c r="B20" t="inlineStr">
        <is>
          <t>AC Authorization</t>
        </is>
      </c>
      <c r="C20" t="inlineStr">
        <is>
          <t>Road Modernization</t>
        </is>
      </c>
      <c r="D20" t="inlineStr">
        <is>
          <t>Berwyn</t>
        </is>
      </c>
      <c r="E20" s="5">
        <f>SUMIFS(Exploded_Detail_Relevant!$G$2:$G$491,Exploded_Detail_Relevant!$A$2:$A$491,$A20,Exploded_Detail_Relevant!$B$2:$B$491,$B20,Exploded_Detail_Relevant!$E$2:$E$491,$C20,Exploded_Detail_Relevant!$F$2:$F$491,$D20)</f>
        <v/>
      </c>
      <c r="F20">
        <f>COUNTIFS(Exploded_Detail_Relevant!$A$2:$A$491,$A20,Exploded_Detail_Relevant!$B$2:$B$491,$B20,Exploded_Detail_Relevant!$E$2:$E$491,$C20,Exploded_Detail_Relevant!$F$2:$F$491,$D20)</f>
        <v/>
      </c>
    </row>
    <row r="21">
      <c r="A21" t="inlineStr">
        <is>
          <t>FFY2025</t>
        </is>
      </c>
      <c r="B21" t="inlineStr">
        <is>
          <t>AC Authorization</t>
        </is>
      </c>
      <c r="C21" t="inlineStr">
        <is>
          <t>Bicycle &amp; Pedestrian</t>
        </is>
      </c>
      <c r="D21" t="inlineStr">
        <is>
          <t>Blue Island</t>
        </is>
      </c>
      <c r="E21" s="5">
        <f>SUMIFS(Exploded_Detail_Relevant!$G$2:$G$491,Exploded_Detail_Relevant!$A$2:$A$491,$A21,Exploded_Detail_Relevant!$B$2:$B$491,$B21,Exploded_Detail_Relevant!$E$2:$E$491,$C21,Exploded_Detail_Relevant!$F$2:$F$491,$D21)</f>
        <v/>
      </c>
      <c r="F21">
        <f>COUNTIFS(Exploded_Detail_Relevant!$A$2:$A$491,$A21,Exploded_Detail_Relevant!$B$2:$B$491,$B21,Exploded_Detail_Relevant!$E$2:$E$491,$C21,Exploded_Detail_Relevant!$F$2:$F$491,$D21)</f>
        <v/>
      </c>
    </row>
    <row r="22">
      <c r="A22" t="inlineStr">
        <is>
          <t>FFY2025</t>
        </is>
      </c>
      <c r="B22" t="inlineStr">
        <is>
          <t>AC Authorization</t>
        </is>
      </c>
      <c r="C22" t="inlineStr">
        <is>
          <t>Road Maintenance</t>
        </is>
      </c>
      <c r="D22" t="inlineStr">
        <is>
          <t>Blue Island</t>
        </is>
      </c>
      <c r="E22" s="5">
        <f>SUMIFS(Exploded_Detail_Relevant!$G$2:$G$491,Exploded_Detail_Relevant!$A$2:$A$491,$A22,Exploded_Detail_Relevant!$B$2:$B$491,$B22,Exploded_Detail_Relevant!$E$2:$E$491,$C22,Exploded_Detail_Relevant!$F$2:$F$491,$D22)</f>
        <v/>
      </c>
      <c r="F22">
        <f>COUNTIFS(Exploded_Detail_Relevant!$A$2:$A$491,$A22,Exploded_Detail_Relevant!$B$2:$B$491,$B22,Exploded_Detail_Relevant!$E$2:$E$491,$C22,Exploded_Detail_Relevant!$F$2:$F$491,$D22)</f>
        <v/>
      </c>
    </row>
    <row r="23">
      <c r="A23" t="inlineStr">
        <is>
          <t>FFY2025</t>
        </is>
      </c>
      <c r="B23" t="inlineStr">
        <is>
          <t>FHWA Obligation</t>
        </is>
      </c>
      <c r="C23" t="inlineStr">
        <is>
          <t>Road Maintenance</t>
        </is>
      </c>
      <c r="D23" t="inlineStr">
        <is>
          <t>Blue Island</t>
        </is>
      </c>
      <c r="E23" s="5">
        <f>SUMIFS(Exploded_Detail_Relevant!$G$2:$G$491,Exploded_Detail_Relevant!$A$2:$A$491,$A23,Exploded_Detail_Relevant!$B$2:$B$491,$B23,Exploded_Detail_Relevant!$E$2:$E$491,$C23,Exploded_Detail_Relevant!$F$2:$F$491,$D23)</f>
        <v/>
      </c>
      <c r="F23">
        <f>COUNTIFS(Exploded_Detail_Relevant!$A$2:$A$491,$A23,Exploded_Detail_Relevant!$B$2:$B$491,$B23,Exploded_Detail_Relevant!$E$2:$E$491,$C23,Exploded_Detail_Relevant!$F$2:$F$491,$D23)</f>
        <v/>
      </c>
    </row>
    <row r="24">
      <c r="A24" t="inlineStr">
        <is>
          <t>FFY2025</t>
        </is>
      </c>
      <c r="B24" t="inlineStr">
        <is>
          <t>FHWA Obligation</t>
        </is>
      </c>
      <c r="C24" t="inlineStr">
        <is>
          <t>Signal Systems</t>
        </is>
      </c>
      <c r="D24" t="inlineStr">
        <is>
          <t>Bridgeview</t>
        </is>
      </c>
      <c r="E24" s="5">
        <f>SUMIFS(Exploded_Detail_Relevant!$G$2:$G$491,Exploded_Detail_Relevant!$A$2:$A$491,$A24,Exploded_Detail_Relevant!$B$2:$B$491,$B24,Exploded_Detail_Relevant!$E$2:$E$491,$C24,Exploded_Detail_Relevant!$F$2:$F$491,$D24)</f>
        <v/>
      </c>
      <c r="F24">
        <f>COUNTIFS(Exploded_Detail_Relevant!$A$2:$A$491,$A24,Exploded_Detail_Relevant!$B$2:$B$491,$B24,Exploded_Detail_Relevant!$E$2:$E$491,$C24,Exploded_Detail_Relevant!$F$2:$F$491,$D24)</f>
        <v/>
      </c>
    </row>
    <row r="25">
      <c r="A25" t="inlineStr">
        <is>
          <t>FFY2025</t>
        </is>
      </c>
      <c r="B25" t="inlineStr">
        <is>
          <t>FHWA Obligation</t>
        </is>
      </c>
      <c r="C25" t="inlineStr">
        <is>
          <t>Bicycle &amp; Pedestrian</t>
        </is>
      </c>
      <c r="D25" t="inlineStr">
        <is>
          <t>Broadview</t>
        </is>
      </c>
      <c r="E25" s="5">
        <f>SUMIFS(Exploded_Detail_Relevant!$G$2:$G$491,Exploded_Detail_Relevant!$A$2:$A$491,$A25,Exploded_Detail_Relevant!$B$2:$B$491,$B25,Exploded_Detail_Relevant!$E$2:$E$491,$C25,Exploded_Detail_Relevant!$F$2:$F$491,$D25)</f>
        <v/>
      </c>
      <c r="F25">
        <f>COUNTIFS(Exploded_Detail_Relevant!$A$2:$A$491,$A25,Exploded_Detail_Relevant!$B$2:$B$491,$B25,Exploded_Detail_Relevant!$E$2:$E$491,$C25,Exploded_Detail_Relevant!$F$2:$F$491,$D25)</f>
        <v/>
      </c>
    </row>
    <row r="26">
      <c r="A26" t="inlineStr">
        <is>
          <t>FFY2025</t>
        </is>
      </c>
      <c r="B26" t="inlineStr">
        <is>
          <t>AC Authorization</t>
        </is>
      </c>
      <c r="C26" t="inlineStr">
        <is>
          <t>Bridge Repair, Rehab, or Replace</t>
        </is>
      </c>
      <c r="D26" t="inlineStr">
        <is>
          <t>Broadview</t>
        </is>
      </c>
      <c r="E26" s="5">
        <f>SUMIFS(Exploded_Detail_Relevant!$G$2:$G$491,Exploded_Detail_Relevant!$A$2:$A$491,$A26,Exploded_Detail_Relevant!$B$2:$B$491,$B26,Exploded_Detail_Relevant!$E$2:$E$491,$C26,Exploded_Detail_Relevant!$F$2:$F$491,$D26)</f>
        <v/>
      </c>
      <c r="F26">
        <f>COUNTIFS(Exploded_Detail_Relevant!$A$2:$A$491,$A26,Exploded_Detail_Relevant!$B$2:$B$491,$B26,Exploded_Detail_Relevant!$E$2:$E$491,$C26,Exploded_Detail_Relevant!$F$2:$F$491,$D26)</f>
        <v/>
      </c>
    </row>
    <row r="27">
      <c r="A27" t="inlineStr">
        <is>
          <t>FFY2025</t>
        </is>
      </c>
      <c r="B27" t="inlineStr">
        <is>
          <t>FHWA Obligation</t>
        </is>
      </c>
      <c r="C27" t="inlineStr">
        <is>
          <t>Bridge Repair, Rehab, or Replace</t>
        </is>
      </c>
      <c r="D27" t="inlineStr">
        <is>
          <t>Broadview</t>
        </is>
      </c>
      <c r="E27" s="5">
        <f>SUMIFS(Exploded_Detail_Relevant!$G$2:$G$491,Exploded_Detail_Relevant!$A$2:$A$491,$A27,Exploded_Detail_Relevant!$B$2:$B$491,$B27,Exploded_Detail_Relevant!$E$2:$E$491,$C27,Exploded_Detail_Relevant!$F$2:$F$491,$D27)</f>
        <v/>
      </c>
      <c r="F27">
        <f>COUNTIFS(Exploded_Detail_Relevant!$A$2:$A$491,$A27,Exploded_Detail_Relevant!$B$2:$B$491,$B27,Exploded_Detail_Relevant!$E$2:$E$491,$C27,Exploded_Detail_Relevant!$F$2:$F$491,$D27)</f>
        <v/>
      </c>
    </row>
    <row r="28">
      <c r="A28" t="inlineStr">
        <is>
          <t>FFY2025</t>
        </is>
      </c>
      <c r="B28" t="inlineStr">
        <is>
          <t>FHWA Obligation</t>
        </is>
      </c>
      <c r="C28" t="inlineStr">
        <is>
          <t>Road Expansion</t>
        </is>
      </c>
      <c r="D28" t="inlineStr">
        <is>
          <t>Broadview</t>
        </is>
      </c>
      <c r="E28" s="5">
        <f>SUMIFS(Exploded_Detail_Relevant!$G$2:$G$491,Exploded_Detail_Relevant!$A$2:$A$491,$A28,Exploded_Detail_Relevant!$B$2:$B$491,$B28,Exploded_Detail_Relevant!$E$2:$E$491,$C28,Exploded_Detail_Relevant!$F$2:$F$491,$D28)</f>
        <v/>
      </c>
      <c r="F28">
        <f>COUNTIFS(Exploded_Detail_Relevant!$A$2:$A$491,$A28,Exploded_Detail_Relevant!$B$2:$B$491,$B28,Exploded_Detail_Relevant!$E$2:$E$491,$C28,Exploded_Detail_Relevant!$F$2:$F$491,$D28)</f>
        <v/>
      </c>
    </row>
    <row r="29">
      <c r="A29" t="inlineStr">
        <is>
          <t>FFY2025</t>
        </is>
      </c>
      <c r="B29" t="inlineStr">
        <is>
          <t>AC Authorization</t>
        </is>
      </c>
      <c r="C29" t="inlineStr">
        <is>
          <t>Road Maintenance</t>
        </is>
      </c>
      <c r="D29" t="inlineStr">
        <is>
          <t>Broadview</t>
        </is>
      </c>
      <c r="E29" s="5">
        <f>SUMIFS(Exploded_Detail_Relevant!$G$2:$G$491,Exploded_Detail_Relevant!$A$2:$A$491,$A29,Exploded_Detail_Relevant!$B$2:$B$491,$B29,Exploded_Detail_Relevant!$E$2:$E$491,$C29,Exploded_Detail_Relevant!$F$2:$F$491,$D29)</f>
        <v/>
      </c>
      <c r="F29">
        <f>COUNTIFS(Exploded_Detail_Relevant!$A$2:$A$491,$A29,Exploded_Detail_Relevant!$B$2:$B$491,$B29,Exploded_Detail_Relevant!$E$2:$E$491,$C29,Exploded_Detail_Relevant!$F$2:$F$491,$D29)</f>
        <v/>
      </c>
    </row>
    <row r="30">
      <c r="A30" t="inlineStr">
        <is>
          <t>FFY2025</t>
        </is>
      </c>
      <c r="B30" t="inlineStr">
        <is>
          <t>FHWA Obligation</t>
        </is>
      </c>
      <c r="C30" t="inlineStr">
        <is>
          <t>Road Maintenance</t>
        </is>
      </c>
      <c r="D30" t="inlineStr">
        <is>
          <t>Broadview</t>
        </is>
      </c>
      <c r="E30" s="5">
        <f>SUMIFS(Exploded_Detail_Relevant!$G$2:$G$491,Exploded_Detail_Relevant!$A$2:$A$491,$A30,Exploded_Detail_Relevant!$B$2:$B$491,$B30,Exploded_Detail_Relevant!$E$2:$E$491,$C30,Exploded_Detail_Relevant!$F$2:$F$491,$D30)</f>
        <v/>
      </c>
      <c r="F30">
        <f>COUNTIFS(Exploded_Detail_Relevant!$A$2:$A$491,$A30,Exploded_Detail_Relevant!$B$2:$B$491,$B30,Exploded_Detail_Relevant!$E$2:$E$491,$C30,Exploded_Detail_Relevant!$F$2:$F$491,$D30)</f>
        <v/>
      </c>
    </row>
    <row r="31">
      <c r="A31" t="inlineStr">
        <is>
          <t>FFY2025</t>
        </is>
      </c>
      <c r="B31" t="inlineStr">
        <is>
          <t>FHWA Obligation</t>
        </is>
      </c>
      <c r="C31" t="inlineStr">
        <is>
          <t>Signal Systems</t>
        </is>
      </c>
      <c r="D31" t="inlineStr">
        <is>
          <t>Broadview</t>
        </is>
      </c>
      <c r="E31" s="5">
        <f>SUMIFS(Exploded_Detail_Relevant!$G$2:$G$491,Exploded_Detail_Relevant!$A$2:$A$491,$A31,Exploded_Detail_Relevant!$B$2:$B$491,$B31,Exploded_Detail_Relevant!$E$2:$E$491,$C31,Exploded_Detail_Relevant!$F$2:$F$491,$D31)</f>
        <v/>
      </c>
      <c r="F31">
        <f>COUNTIFS(Exploded_Detail_Relevant!$A$2:$A$491,$A31,Exploded_Detail_Relevant!$B$2:$B$491,$B31,Exploded_Detail_Relevant!$E$2:$E$491,$C31,Exploded_Detail_Relevant!$F$2:$F$491,$D31)</f>
        <v/>
      </c>
    </row>
    <row r="32">
      <c r="A32" t="inlineStr">
        <is>
          <t>FFY2025</t>
        </is>
      </c>
      <c r="B32" t="inlineStr">
        <is>
          <t>AC Authorization</t>
        </is>
      </c>
      <c r="C32" t="inlineStr">
        <is>
          <t>Road Maintenance</t>
        </is>
      </c>
      <c r="D32" t="inlineStr">
        <is>
          <t>Brookfield</t>
        </is>
      </c>
      <c r="E32" s="5">
        <f>SUMIFS(Exploded_Detail_Relevant!$G$2:$G$491,Exploded_Detail_Relevant!$A$2:$A$491,$A32,Exploded_Detail_Relevant!$B$2:$B$491,$B32,Exploded_Detail_Relevant!$E$2:$E$491,$C32,Exploded_Detail_Relevant!$F$2:$F$491,$D32)</f>
        <v/>
      </c>
      <c r="F32">
        <f>COUNTIFS(Exploded_Detail_Relevant!$A$2:$A$491,$A32,Exploded_Detail_Relevant!$B$2:$B$491,$B32,Exploded_Detail_Relevant!$E$2:$E$491,$C32,Exploded_Detail_Relevant!$F$2:$F$491,$D32)</f>
        <v/>
      </c>
    </row>
    <row r="33">
      <c r="A33" t="inlineStr">
        <is>
          <t>FFY2025</t>
        </is>
      </c>
      <c r="B33" t="inlineStr">
        <is>
          <t>FHWA Obligation</t>
        </is>
      </c>
      <c r="C33" t="inlineStr">
        <is>
          <t>Road Maintenance</t>
        </is>
      </c>
      <c r="D33" t="inlineStr">
        <is>
          <t>Brookfield</t>
        </is>
      </c>
      <c r="E33" s="5">
        <f>SUMIFS(Exploded_Detail_Relevant!$G$2:$G$491,Exploded_Detail_Relevant!$A$2:$A$491,$A33,Exploded_Detail_Relevant!$B$2:$B$491,$B33,Exploded_Detail_Relevant!$E$2:$E$491,$C33,Exploded_Detail_Relevant!$F$2:$F$491,$D33)</f>
        <v/>
      </c>
      <c r="F33">
        <f>COUNTIFS(Exploded_Detail_Relevant!$A$2:$A$491,$A33,Exploded_Detail_Relevant!$B$2:$B$491,$B33,Exploded_Detail_Relevant!$E$2:$E$491,$C33,Exploded_Detail_Relevant!$F$2:$F$491,$D33)</f>
        <v/>
      </c>
    </row>
    <row r="34">
      <c r="A34" t="inlineStr">
        <is>
          <t>FFY2025</t>
        </is>
      </c>
      <c r="B34" t="inlineStr">
        <is>
          <t>AC Authorization</t>
        </is>
      </c>
      <c r="C34" t="inlineStr">
        <is>
          <t>Bridge Routine Maintenance</t>
        </is>
      </c>
      <c r="D34" t="inlineStr">
        <is>
          <t>Calumet City</t>
        </is>
      </c>
      <c r="E34" s="5">
        <f>SUMIFS(Exploded_Detail_Relevant!$G$2:$G$491,Exploded_Detail_Relevant!$A$2:$A$491,$A34,Exploded_Detail_Relevant!$B$2:$B$491,$B34,Exploded_Detail_Relevant!$E$2:$E$491,$C34,Exploded_Detail_Relevant!$F$2:$F$491,$D34)</f>
        <v/>
      </c>
      <c r="F34">
        <f>COUNTIFS(Exploded_Detail_Relevant!$A$2:$A$491,$A34,Exploded_Detail_Relevant!$B$2:$B$491,$B34,Exploded_Detail_Relevant!$E$2:$E$491,$C34,Exploded_Detail_Relevant!$F$2:$F$491,$D34)</f>
        <v/>
      </c>
    </row>
    <row r="35">
      <c r="A35" t="inlineStr">
        <is>
          <t>FFY2025</t>
        </is>
      </c>
      <c r="B35" t="inlineStr">
        <is>
          <t>FHWA Obligation</t>
        </is>
      </c>
      <c r="C35" t="inlineStr">
        <is>
          <t>Bridge Routine Maintenance</t>
        </is>
      </c>
      <c r="D35" t="inlineStr">
        <is>
          <t>Calumet City</t>
        </is>
      </c>
      <c r="E35" s="5">
        <f>SUMIFS(Exploded_Detail_Relevant!$G$2:$G$491,Exploded_Detail_Relevant!$A$2:$A$491,$A35,Exploded_Detail_Relevant!$B$2:$B$491,$B35,Exploded_Detail_Relevant!$E$2:$E$491,$C35,Exploded_Detail_Relevant!$F$2:$F$491,$D35)</f>
        <v/>
      </c>
      <c r="F35">
        <f>COUNTIFS(Exploded_Detail_Relevant!$A$2:$A$491,$A35,Exploded_Detail_Relevant!$B$2:$B$491,$B35,Exploded_Detail_Relevant!$E$2:$E$491,$C35,Exploded_Detail_Relevant!$F$2:$F$491,$D35)</f>
        <v/>
      </c>
    </row>
    <row r="36">
      <c r="A36" t="inlineStr">
        <is>
          <t>FFY2025</t>
        </is>
      </c>
      <c r="B36" t="inlineStr">
        <is>
          <t>FHWA Obligation</t>
        </is>
      </c>
      <c r="C36" t="inlineStr">
        <is>
          <t>Bridge Routine Maintenance</t>
        </is>
      </c>
      <c r="D36" t="inlineStr">
        <is>
          <t>Calumet Park</t>
        </is>
      </c>
      <c r="E36" s="5">
        <f>SUMIFS(Exploded_Detail_Relevant!$G$2:$G$491,Exploded_Detail_Relevant!$A$2:$A$491,$A36,Exploded_Detail_Relevant!$B$2:$B$491,$B36,Exploded_Detail_Relevant!$E$2:$E$491,$C36,Exploded_Detail_Relevant!$F$2:$F$491,$D36)</f>
        <v/>
      </c>
      <c r="F36">
        <f>COUNTIFS(Exploded_Detail_Relevant!$A$2:$A$491,$A36,Exploded_Detail_Relevant!$B$2:$B$491,$B36,Exploded_Detail_Relevant!$E$2:$E$491,$C36,Exploded_Detail_Relevant!$F$2:$F$491,$D36)</f>
        <v/>
      </c>
    </row>
    <row r="37">
      <c r="A37" t="inlineStr">
        <is>
          <t>FFY2025</t>
        </is>
      </c>
      <c r="B37" t="inlineStr">
        <is>
          <t>FHWA Obligation</t>
        </is>
      </c>
      <c r="C37" t="inlineStr">
        <is>
          <t>Bicycle &amp; Pedestrian</t>
        </is>
      </c>
      <c r="D37" t="inlineStr">
        <is>
          <t>Chicago</t>
        </is>
      </c>
      <c r="E37" s="5">
        <f>SUMIFS(Exploded_Detail_Relevant!$G$2:$G$491,Exploded_Detail_Relevant!$A$2:$A$491,$A37,Exploded_Detail_Relevant!$B$2:$B$491,$B37,Exploded_Detail_Relevant!$E$2:$E$491,$C37,Exploded_Detail_Relevant!$F$2:$F$491,$D37)</f>
        <v/>
      </c>
      <c r="F37">
        <f>COUNTIFS(Exploded_Detail_Relevant!$A$2:$A$491,$A37,Exploded_Detail_Relevant!$B$2:$B$491,$B37,Exploded_Detail_Relevant!$E$2:$E$491,$C37,Exploded_Detail_Relevant!$F$2:$F$491,$D37)</f>
        <v/>
      </c>
    </row>
    <row r="38">
      <c r="A38" t="inlineStr">
        <is>
          <t>FFY2025</t>
        </is>
      </c>
      <c r="B38" t="inlineStr">
        <is>
          <t>AC Authorization</t>
        </is>
      </c>
      <c r="C38" t="inlineStr">
        <is>
          <t>Bridge Repair, Rehab, or Replace</t>
        </is>
      </c>
      <c r="D38" t="inlineStr">
        <is>
          <t>Chicago</t>
        </is>
      </c>
      <c r="E38" s="5">
        <f>SUMIFS(Exploded_Detail_Relevant!$G$2:$G$491,Exploded_Detail_Relevant!$A$2:$A$491,$A38,Exploded_Detail_Relevant!$B$2:$B$491,$B38,Exploded_Detail_Relevant!$E$2:$E$491,$C38,Exploded_Detail_Relevant!$F$2:$F$491,$D38)</f>
        <v/>
      </c>
      <c r="F38">
        <f>COUNTIFS(Exploded_Detail_Relevant!$A$2:$A$491,$A38,Exploded_Detail_Relevant!$B$2:$B$491,$B38,Exploded_Detail_Relevant!$E$2:$E$491,$C38,Exploded_Detail_Relevant!$F$2:$F$491,$D38)</f>
        <v/>
      </c>
    </row>
    <row r="39">
      <c r="A39" t="inlineStr">
        <is>
          <t>FFY2025</t>
        </is>
      </c>
      <c r="B39" t="inlineStr">
        <is>
          <t>FHWA Obligation</t>
        </is>
      </c>
      <c r="C39" t="inlineStr">
        <is>
          <t>Bridge Repair, Rehab, or Replace</t>
        </is>
      </c>
      <c r="D39" t="inlineStr">
        <is>
          <t>Chicago</t>
        </is>
      </c>
      <c r="E39" s="5">
        <f>SUMIFS(Exploded_Detail_Relevant!$G$2:$G$491,Exploded_Detail_Relevant!$A$2:$A$491,$A39,Exploded_Detail_Relevant!$B$2:$B$491,$B39,Exploded_Detail_Relevant!$E$2:$E$491,$C39,Exploded_Detail_Relevant!$F$2:$F$491,$D39)</f>
        <v/>
      </c>
      <c r="F39">
        <f>COUNTIFS(Exploded_Detail_Relevant!$A$2:$A$491,$A39,Exploded_Detail_Relevant!$B$2:$B$491,$B39,Exploded_Detail_Relevant!$E$2:$E$491,$C39,Exploded_Detail_Relevant!$F$2:$F$491,$D39)</f>
        <v/>
      </c>
    </row>
    <row r="40">
      <c r="A40" t="inlineStr">
        <is>
          <t>FFY2025</t>
        </is>
      </c>
      <c r="B40" t="inlineStr">
        <is>
          <t>AC Authorization</t>
        </is>
      </c>
      <c r="C40" t="inlineStr">
        <is>
          <t>Bridge Routine Maintenance</t>
        </is>
      </c>
      <c r="D40" t="inlineStr">
        <is>
          <t>Chicago</t>
        </is>
      </c>
      <c r="E40" s="5">
        <f>SUMIFS(Exploded_Detail_Relevant!$G$2:$G$491,Exploded_Detail_Relevant!$A$2:$A$491,$A40,Exploded_Detail_Relevant!$B$2:$B$491,$B40,Exploded_Detail_Relevant!$E$2:$E$491,$C40,Exploded_Detail_Relevant!$F$2:$F$491,$D40)</f>
        <v/>
      </c>
      <c r="F40">
        <f>COUNTIFS(Exploded_Detail_Relevant!$A$2:$A$491,$A40,Exploded_Detail_Relevant!$B$2:$B$491,$B40,Exploded_Detail_Relevant!$E$2:$E$491,$C40,Exploded_Detail_Relevant!$F$2:$F$491,$D40)</f>
        <v/>
      </c>
    </row>
    <row r="41">
      <c r="A41" t="inlineStr">
        <is>
          <t>FFY2025</t>
        </is>
      </c>
      <c r="B41" t="inlineStr">
        <is>
          <t>FHWA Obligation</t>
        </is>
      </c>
      <c r="C41" t="inlineStr">
        <is>
          <t>Bridge Routine Maintenance</t>
        </is>
      </c>
      <c r="D41" t="inlineStr">
        <is>
          <t>Chicago</t>
        </is>
      </c>
      <c r="E41" s="5">
        <f>SUMIFS(Exploded_Detail_Relevant!$G$2:$G$491,Exploded_Detail_Relevant!$A$2:$A$491,$A41,Exploded_Detail_Relevant!$B$2:$B$491,$B41,Exploded_Detail_Relevant!$E$2:$E$491,$C41,Exploded_Detail_Relevant!$F$2:$F$491,$D41)</f>
        <v/>
      </c>
      <c r="F41">
        <f>COUNTIFS(Exploded_Detail_Relevant!$A$2:$A$491,$A41,Exploded_Detail_Relevant!$B$2:$B$491,$B41,Exploded_Detail_Relevant!$E$2:$E$491,$C41,Exploded_Detail_Relevant!$F$2:$F$491,$D41)</f>
        <v/>
      </c>
    </row>
    <row r="42">
      <c r="A42" t="inlineStr">
        <is>
          <t>FFY2025</t>
        </is>
      </c>
      <c r="B42" t="inlineStr">
        <is>
          <t>AC Authorization</t>
        </is>
      </c>
      <c r="C42" t="inlineStr">
        <is>
          <t>Freight Movement</t>
        </is>
      </c>
      <c r="D42" t="inlineStr">
        <is>
          <t>Chicago</t>
        </is>
      </c>
      <c r="E42" s="5">
        <f>SUMIFS(Exploded_Detail_Relevant!$G$2:$G$491,Exploded_Detail_Relevant!$A$2:$A$491,$A42,Exploded_Detail_Relevant!$B$2:$B$491,$B42,Exploded_Detail_Relevant!$E$2:$E$491,$C42,Exploded_Detail_Relevant!$F$2:$F$491,$D42)</f>
        <v/>
      </c>
      <c r="F42">
        <f>COUNTIFS(Exploded_Detail_Relevant!$A$2:$A$491,$A42,Exploded_Detail_Relevant!$B$2:$B$491,$B42,Exploded_Detail_Relevant!$E$2:$E$491,$C42,Exploded_Detail_Relevant!$F$2:$F$491,$D42)</f>
        <v/>
      </c>
    </row>
    <row r="43">
      <c r="A43" t="inlineStr">
        <is>
          <t>FFY2025</t>
        </is>
      </c>
      <c r="B43" t="inlineStr">
        <is>
          <t>FHWA Obligation</t>
        </is>
      </c>
      <c r="C43" t="inlineStr">
        <is>
          <t>Freight Movement</t>
        </is>
      </c>
      <c r="D43" t="inlineStr">
        <is>
          <t>Chicago</t>
        </is>
      </c>
      <c r="E43" s="5">
        <f>SUMIFS(Exploded_Detail_Relevant!$G$2:$G$491,Exploded_Detail_Relevant!$A$2:$A$491,$A43,Exploded_Detail_Relevant!$B$2:$B$491,$B43,Exploded_Detail_Relevant!$E$2:$E$491,$C43,Exploded_Detail_Relevant!$F$2:$F$491,$D43)</f>
        <v/>
      </c>
      <c r="F43">
        <f>COUNTIFS(Exploded_Detail_Relevant!$A$2:$A$491,$A43,Exploded_Detail_Relevant!$B$2:$B$491,$B43,Exploded_Detail_Relevant!$E$2:$E$491,$C43,Exploded_Detail_Relevant!$F$2:$F$491,$D43)</f>
        <v/>
      </c>
    </row>
    <row r="44">
      <c r="A44" t="inlineStr">
        <is>
          <t>FFY2025</t>
        </is>
      </c>
      <c r="B44" t="inlineStr">
        <is>
          <t>FHWA Obligation</t>
        </is>
      </c>
      <c r="C44" t="inlineStr">
        <is>
          <t>Intelligent Transportation Systems</t>
        </is>
      </c>
      <c r="D44" t="inlineStr">
        <is>
          <t>Chicago</t>
        </is>
      </c>
      <c r="E44" s="5">
        <f>SUMIFS(Exploded_Detail_Relevant!$G$2:$G$491,Exploded_Detail_Relevant!$A$2:$A$491,$A44,Exploded_Detail_Relevant!$B$2:$B$491,$B44,Exploded_Detail_Relevant!$E$2:$E$491,$C44,Exploded_Detail_Relevant!$F$2:$F$491,$D44)</f>
        <v/>
      </c>
      <c r="F44">
        <f>COUNTIFS(Exploded_Detail_Relevant!$A$2:$A$491,$A44,Exploded_Detail_Relevant!$B$2:$B$491,$B44,Exploded_Detail_Relevant!$E$2:$E$491,$C44,Exploded_Detail_Relevant!$F$2:$F$491,$D44)</f>
        <v/>
      </c>
    </row>
    <row r="45">
      <c r="A45" t="inlineStr">
        <is>
          <t>FFY2025</t>
        </is>
      </c>
      <c r="B45" t="inlineStr">
        <is>
          <t>FHWA Obligation</t>
        </is>
      </c>
      <c r="C45" t="inlineStr">
        <is>
          <t>Intersection/Interchange Improvements</t>
        </is>
      </c>
      <c r="D45" t="inlineStr">
        <is>
          <t>Chicago</t>
        </is>
      </c>
      <c r="E45" s="5">
        <f>SUMIFS(Exploded_Detail_Relevant!$G$2:$G$491,Exploded_Detail_Relevant!$A$2:$A$491,$A45,Exploded_Detail_Relevant!$B$2:$B$491,$B45,Exploded_Detail_Relevant!$E$2:$E$491,$C45,Exploded_Detail_Relevant!$F$2:$F$491,$D45)</f>
        <v/>
      </c>
      <c r="F45">
        <f>COUNTIFS(Exploded_Detail_Relevant!$A$2:$A$491,$A45,Exploded_Detail_Relevant!$B$2:$B$491,$B45,Exploded_Detail_Relevant!$E$2:$E$491,$C45,Exploded_Detail_Relevant!$F$2:$F$491,$D45)</f>
        <v/>
      </c>
    </row>
    <row r="46">
      <c r="A46" t="inlineStr">
        <is>
          <t>FFY2025</t>
        </is>
      </c>
      <c r="B46" t="inlineStr">
        <is>
          <t>AC Authorization</t>
        </is>
      </c>
      <c r="C46" t="inlineStr">
        <is>
          <t>Rail-Highway Grade Separation</t>
        </is>
      </c>
      <c r="D46" t="inlineStr">
        <is>
          <t>Chicago</t>
        </is>
      </c>
      <c r="E46" s="5">
        <f>SUMIFS(Exploded_Detail_Relevant!$G$2:$G$491,Exploded_Detail_Relevant!$A$2:$A$491,$A46,Exploded_Detail_Relevant!$B$2:$B$491,$B46,Exploded_Detail_Relevant!$E$2:$E$491,$C46,Exploded_Detail_Relevant!$F$2:$F$491,$D46)</f>
        <v/>
      </c>
      <c r="F46">
        <f>COUNTIFS(Exploded_Detail_Relevant!$A$2:$A$491,$A46,Exploded_Detail_Relevant!$B$2:$B$491,$B46,Exploded_Detail_Relevant!$E$2:$E$491,$C46,Exploded_Detail_Relevant!$F$2:$F$491,$D46)</f>
        <v/>
      </c>
    </row>
    <row r="47">
      <c r="A47" t="inlineStr">
        <is>
          <t>FFY2025</t>
        </is>
      </c>
      <c r="B47" t="inlineStr">
        <is>
          <t>FHWA Obligation</t>
        </is>
      </c>
      <c r="C47" t="inlineStr">
        <is>
          <t>Rail-Highway Grade Separation</t>
        </is>
      </c>
      <c r="D47" t="inlineStr">
        <is>
          <t>Chicago</t>
        </is>
      </c>
      <c r="E47" s="5">
        <f>SUMIFS(Exploded_Detail_Relevant!$G$2:$G$491,Exploded_Detail_Relevant!$A$2:$A$491,$A47,Exploded_Detail_Relevant!$B$2:$B$491,$B47,Exploded_Detail_Relevant!$E$2:$E$491,$C47,Exploded_Detail_Relevant!$F$2:$F$491,$D47)</f>
        <v/>
      </c>
      <c r="F47">
        <f>COUNTIFS(Exploded_Detail_Relevant!$A$2:$A$491,$A47,Exploded_Detail_Relevant!$B$2:$B$491,$B47,Exploded_Detail_Relevant!$E$2:$E$491,$C47,Exploded_Detail_Relevant!$F$2:$F$491,$D47)</f>
        <v/>
      </c>
    </row>
    <row r="48">
      <c r="A48" t="inlineStr">
        <is>
          <t>FFY2025</t>
        </is>
      </c>
      <c r="B48" t="inlineStr">
        <is>
          <t>FHWA Obligation</t>
        </is>
      </c>
      <c r="C48" t="inlineStr">
        <is>
          <t>Road Expansion</t>
        </is>
      </c>
      <c r="D48" t="inlineStr">
        <is>
          <t>Chicago</t>
        </is>
      </c>
      <c r="E48" s="5">
        <f>SUMIFS(Exploded_Detail_Relevant!$G$2:$G$491,Exploded_Detail_Relevant!$A$2:$A$491,$A48,Exploded_Detail_Relevant!$B$2:$B$491,$B48,Exploded_Detail_Relevant!$E$2:$E$491,$C48,Exploded_Detail_Relevant!$F$2:$F$491,$D48)</f>
        <v/>
      </c>
      <c r="F48">
        <f>COUNTIFS(Exploded_Detail_Relevant!$A$2:$A$491,$A48,Exploded_Detail_Relevant!$B$2:$B$491,$B48,Exploded_Detail_Relevant!$E$2:$E$491,$C48,Exploded_Detail_Relevant!$F$2:$F$491,$D48)</f>
        <v/>
      </c>
    </row>
    <row r="49">
      <c r="A49" t="inlineStr">
        <is>
          <t>FFY2025</t>
        </is>
      </c>
      <c r="B49" t="inlineStr">
        <is>
          <t>AC Authorization</t>
        </is>
      </c>
      <c r="C49" t="inlineStr">
        <is>
          <t>Road Maintenance</t>
        </is>
      </c>
      <c r="D49" t="inlineStr">
        <is>
          <t>Chicago</t>
        </is>
      </c>
      <c r="E49" s="5">
        <f>SUMIFS(Exploded_Detail_Relevant!$G$2:$G$491,Exploded_Detail_Relevant!$A$2:$A$491,$A49,Exploded_Detail_Relevant!$B$2:$B$491,$B49,Exploded_Detail_Relevant!$E$2:$E$491,$C49,Exploded_Detail_Relevant!$F$2:$F$491,$D49)</f>
        <v/>
      </c>
      <c r="F49">
        <f>COUNTIFS(Exploded_Detail_Relevant!$A$2:$A$491,$A49,Exploded_Detail_Relevant!$B$2:$B$491,$B49,Exploded_Detail_Relevant!$E$2:$E$491,$C49,Exploded_Detail_Relevant!$F$2:$F$491,$D49)</f>
        <v/>
      </c>
    </row>
    <row r="50">
      <c r="A50" t="inlineStr">
        <is>
          <t>FFY2025</t>
        </is>
      </c>
      <c r="B50" t="inlineStr">
        <is>
          <t>FHWA Obligation</t>
        </is>
      </c>
      <c r="C50" t="inlineStr">
        <is>
          <t>Road Maintenance</t>
        </is>
      </c>
      <c r="D50" t="inlineStr">
        <is>
          <t>Chicago</t>
        </is>
      </c>
      <c r="E50" s="5">
        <f>SUMIFS(Exploded_Detail_Relevant!$G$2:$G$491,Exploded_Detail_Relevant!$A$2:$A$491,$A50,Exploded_Detail_Relevant!$B$2:$B$491,$B50,Exploded_Detail_Relevant!$E$2:$E$491,$C50,Exploded_Detail_Relevant!$F$2:$F$491,$D50)</f>
        <v/>
      </c>
      <c r="F50">
        <f>COUNTIFS(Exploded_Detail_Relevant!$A$2:$A$491,$A50,Exploded_Detail_Relevant!$B$2:$B$491,$B50,Exploded_Detail_Relevant!$E$2:$E$491,$C50,Exploded_Detail_Relevant!$F$2:$F$491,$D50)</f>
        <v/>
      </c>
    </row>
    <row r="51">
      <c r="A51" t="inlineStr">
        <is>
          <t>FFY2025</t>
        </is>
      </c>
      <c r="B51" t="inlineStr">
        <is>
          <t>FHWA Obligation</t>
        </is>
      </c>
      <c r="C51" t="inlineStr">
        <is>
          <t>Safety</t>
        </is>
      </c>
      <c r="D51" t="inlineStr">
        <is>
          <t>Chicago</t>
        </is>
      </c>
      <c r="E51" s="5">
        <f>SUMIFS(Exploded_Detail_Relevant!$G$2:$G$491,Exploded_Detail_Relevant!$A$2:$A$491,$A51,Exploded_Detail_Relevant!$B$2:$B$491,$B51,Exploded_Detail_Relevant!$E$2:$E$491,$C51,Exploded_Detail_Relevant!$F$2:$F$491,$D51)</f>
        <v/>
      </c>
      <c r="F51">
        <f>COUNTIFS(Exploded_Detail_Relevant!$A$2:$A$491,$A51,Exploded_Detail_Relevant!$B$2:$B$491,$B51,Exploded_Detail_Relevant!$E$2:$E$491,$C51,Exploded_Detail_Relevant!$F$2:$F$491,$D51)</f>
        <v/>
      </c>
    </row>
    <row r="52">
      <c r="A52" t="inlineStr">
        <is>
          <t>FFY2025</t>
        </is>
      </c>
      <c r="B52" t="inlineStr">
        <is>
          <t>FHWA Obligation</t>
        </is>
      </c>
      <c r="C52" t="inlineStr">
        <is>
          <t>Signal Systems</t>
        </is>
      </c>
      <c r="D52" t="inlineStr">
        <is>
          <t>Chicago</t>
        </is>
      </c>
      <c r="E52" s="5">
        <f>SUMIFS(Exploded_Detail_Relevant!$G$2:$G$491,Exploded_Detail_Relevant!$A$2:$A$491,$A52,Exploded_Detail_Relevant!$B$2:$B$491,$B52,Exploded_Detail_Relevant!$E$2:$E$491,$C52,Exploded_Detail_Relevant!$F$2:$F$491,$D52)</f>
        <v/>
      </c>
      <c r="F52">
        <f>COUNTIFS(Exploded_Detail_Relevant!$A$2:$A$491,$A52,Exploded_Detail_Relevant!$B$2:$B$491,$B52,Exploded_Detail_Relevant!$E$2:$E$491,$C52,Exploded_Detail_Relevant!$F$2:$F$491,$D52)</f>
        <v/>
      </c>
    </row>
    <row r="53">
      <c r="A53" t="inlineStr">
        <is>
          <t>FFY2025</t>
        </is>
      </c>
      <c r="B53" t="inlineStr">
        <is>
          <t>AC Authorization</t>
        </is>
      </c>
      <c r="C53" t="inlineStr">
        <is>
          <t>Bridge Routine Maintenance</t>
        </is>
      </c>
      <c r="D53" t="inlineStr">
        <is>
          <t>Chicago Heights</t>
        </is>
      </c>
      <c r="E53" s="5">
        <f>SUMIFS(Exploded_Detail_Relevant!$G$2:$G$491,Exploded_Detail_Relevant!$A$2:$A$491,$A53,Exploded_Detail_Relevant!$B$2:$B$491,$B53,Exploded_Detail_Relevant!$E$2:$E$491,$C53,Exploded_Detail_Relevant!$F$2:$F$491,$D53)</f>
        <v/>
      </c>
      <c r="F53">
        <f>COUNTIFS(Exploded_Detail_Relevant!$A$2:$A$491,$A53,Exploded_Detail_Relevant!$B$2:$B$491,$B53,Exploded_Detail_Relevant!$E$2:$E$491,$C53,Exploded_Detail_Relevant!$F$2:$F$491,$D53)</f>
        <v/>
      </c>
    </row>
    <row r="54">
      <c r="A54" t="inlineStr">
        <is>
          <t>FFY2025</t>
        </is>
      </c>
      <c r="B54" t="inlineStr">
        <is>
          <t>AC Authorization</t>
        </is>
      </c>
      <c r="C54" t="inlineStr">
        <is>
          <t>Intersection/Interchange Improvements</t>
        </is>
      </c>
      <c r="D54" t="inlineStr">
        <is>
          <t>Chicago Heights</t>
        </is>
      </c>
      <c r="E54" s="5">
        <f>SUMIFS(Exploded_Detail_Relevant!$G$2:$G$491,Exploded_Detail_Relevant!$A$2:$A$491,$A54,Exploded_Detail_Relevant!$B$2:$B$491,$B54,Exploded_Detail_Relevant!$E$2:$E$491,$C54,Exploded_Detail_Relevant!$F$2:$F$491,$D54)</f>
        <v/>
      </c>
      <c r="F54">
        <f>COUNTIFS(Exploded_Detail_Relevant!$A$2:$A$491,$A54,Exploded_Detail_Relevant!$B$2:$B$491,$B54,Exploded_Detail_Relevant!$E$2:$E$491,$C54,Exploded_Detail_Relevant!$F$2:$F$491,$D54)</f>
        <v/>
      </c>
    </row>
    <row r="55">
      <c r="A55" t="inlineStr">
        <is>
          <t>FFY2025</t>
        </is>
      </c>
      <c r="B55" t="inlineStr">
        <is>
          <t>AC Authorization</t>
        </is>
      </c>
      <c r="C55" t="inlineStr">
        <is>
          <t>Freight Movement</t>
        </is>
      </c>
      <c r="D55" t="inlineStr">
        <is>
          <t>Chicago Ridge</t>
        </is>
      </c>
      <c r="E55" s="5">
        <f>SUMIFS(Exploded_Detail_Relevant!$G$2:$G$491,Exploded_Detail_Relevant!$A$2:$A$491,$A55,Exploded_Detail_Relevant!$B$2:$B$491,$B55,Exploded_Detail_Relevant!$E$2:$E$491,$C55,Exploded_Detail_Relevant!$F$2:$F$491,$D55)</f>
        <v/>
      </c>
      <c r="F55">
        <f>COUNTIFS(Exploded_Detail_Relevant!$A$2:$A$491,$A55,Exploded_Detail_Relevant!$B$2:$B$491,$B55,Exploded_Detail_Relevant!$E$2:$E$491,$C55,Exploded_Detail_Relevant!$F$2:$F$491,$D55)</f>
        <v/>
      </c>
    </row>
    <row r="56">
      <c r="A56" t="inlineStr">
        <is>
          <t>FFY2025</t>
        </is>
      </c>
      <c r="B56" t="inlineStr">
        <is>
          <t>AC Authorization</t>
        </is>
      </c>
      <c r="C56" t="inlineStr">
        <is>
          <t>Road Maintenance</t>
        </is>
      </c>
      <c r="D56" t="inlineStr">
        <is>
          <t>Cicero</t>
        </is>
      </c>
      <c r="E56" s="5">
        <f>SUMIFS(Exploded_Detail_Relevant!$G$2:$G$491,Exploded_Detail_Relevant!$A$2:$A$491,$A56,Exploded_Detail_Relevant!$B$2:$B$491,$B56,Exploded_Detail_Relevant!$E$2:$E$491,$C56,Exploded_Detail_Relevant!$F$2:$F$491,$D56)</f>
        <v/>
      </c>
      <c r="F56">
        <f>COUNTIFS(Exploded_Detail_Relevant!$A$2:$A$491,$A56,Exploded_Detail_Relevant!$B$2:$B$491,$B56,Exploded_Detail_Relevant!$E$2:$E$491,$C56,Exploded_Detail_Relevant!$F$2:$F$491,$D56)</f>
        <v/>
      </c>
    </row>
    <row r="57">
      <c r="A57" t="inlineStr">
        <is>
          <t>FFY2025</t>
        </is>
      </c>
      <c r="B57" t="inlineStr">
        <is>
          <t>FHWA Obligation</t>
        </is>
      </c>
      <c r="C57" t="inlineStr">
        <is>
          <t>Road Maintenance</t>
        </is>
      </c>
      <c r="D57" t="inlineStr">
        <is>
          <t>Cicero</t>
        </is>
      </c>
      <c r="E57" s="5">
        <f>SUMIFS(Exploded_Detail_Relevant!$G$2:$G$491,Exploded_Detail_Relevant!$A$2:$A$491,$A57,Exploded_Detail_Relevant!$B$2:$B$491,$B57,Exploded_Detail_Relevant!$E$2:$E$491,$C57,Exploded_Detail_Relevant!$F$2:$F$491,$D57)</f>
        <v/>
      </c>
      <c r="F57">
        <f>COUNTIFS(Exploded_Detail_Relevant!$A$2:$A$491,$A57,Exploded_Detail_Relevant!$B$2:$B$491,$B57,Exploded_Detail_Relevant!$E$2:$E$491,$C57,Exploded_Detail_Relevant!$F$2:$F$491,$D57)</f>
        <v/>
      </c>
    </row>
    <row r="58">
      <c r="A58" t="inlineStr">
        <is>
          <t>FFY2025</t>
        </is>
      </c>
      <c r="B58" t="inlineStr">
        <is>
          <t>AC Authorization</t>
        </is>
      </c>
      <c r="C58" t="inlineStr">
        <is>
          <t>Intersection/Interchange Improvements</t>
        </is>
      </c>
      <c r="D58" t="inlineStr">
        <is>
          <t>Countryside</t>
        </is>
      </c>
      <c r="E58" s="5">
        <f>SUMIFS(Exploded_Detail_Relevant!$G$2:$G$491,Exploded_Detail_Relevant!$A$2:$A$491,$A58,Exploded_Detail_Relevant!$B$2:$B$491,$B58,Exploded_Detail_Relevant!$E$2:$E$491,$C58,Exploded_Detail_Relevant!$F$2:$F$491,$D58)</f>
        <v/>
      </c>
      <c r="F58">
        <f>COUNTIFS(Exploded_Detail_Relevant!$A$2:$A$491,$A58,Exploded_Detail_Relevant!$B$2:$B$491,$B58,Exploded_Detail_Relevant!$E$2:$E$491,$C58,Exploded_Detail_Relevant!$F$2:$F$491,$D58)</f>
        <v/>
      </c>
    </row>
    <row r="59">
      <c r="A59" t="inlineStr">
        <is>
          <t>FFY2025</t>
        </is>
      </c>
      <c r="B59" t="inlineStr">
        <is>
          <t>AC Authorization</t>
        </is>
      </c>
      <c r="C59" t="inlineStr">
        <is>
          <t>Road Maintenance</t>
        </is>
      </c>
      <c r="D59" t="inlineStr">
        <is>
          <t>Countryside</t>
        </is>
      </c>
      <c r="E59" s="5">
        <f>SUMIFS(Exploded_Detail_Relevant!$G$2:$G$491,Exploded_Detail_Relevant!$A$2:$A$491,$A59,Exploded_Detail_Relevant!$B$2:$B$491,$B59,Exploded_Detail_Relevant!$E$2:$E$491,$C59,Exploded_Detail_Relevant!$F$2:$F$491,$D59)</f>
        <v/>
      </c>
      <c r="F59">
        <f>COUNTIFS(Exploded_Detail_Relevant!$A$2:$A$491,$A59,Exploded_Detail_Relevant!$B$2:$B$491,$B59,Exploded_Detail_Relevant!$E$2:$E$491,$C59,Exploded_Detail_Relevant!$F$2:$F$491,$D59)</f>
        <v/>
      </c>
    </row>
    <row r="60">
      <c r="A60" t="inlineStr">
        <is>
          <t>FFY2025</t>
        </is>
      </c>
      <c r="B60" t="inlineStr">
        <is>
          <t>FHWA Obligation</t>
        </is>
      </c>
      <c r="C60" t="inlineStr">
        <is>
          <t>Road Maintenance</t>
        </is>
      </c>
      <c r="D60" t="inlineStr">
        <is>
          <t>Countryside</t>
        </is>
      </c>
      <c r="E60" s="5">
        <f>SUMIFS(Exploded_Detail_Relevant!$G$2:$G$491,Exploded_Detail_Relevant!$A$2:$A$491,$A60,Exploded_Detail_Relevant!$B$2:$B$491,$B60,Exploded_Detail_Relevant!$E$2:$E$491,$C60,Exploded_Detail_Relevant!$F$2:$F$491,$D60)</f>
        <v/>
      </c>
      <c r="F60">
        <f>COUNTIFS(Exploded_Detail_Relevant!$A$2:$A$491,$A60,Exploded_Detail_Relevant!$B$2:$B$491,$B60,Exploded_Detail_Relevant!$E$2:$E$491,$C60,Exploded_Detail_Relevant!$F$2:$F$491,$D60)</f>
        <v/>
      </c>
    </row>
    <row r="61">
      <c r="A61" t="inlineStr">
        <is>
          <t>FFY2025</t>
        </is>
      </c>
      <c r="B61" t="inlineStr">
        <is>
          <t>AC Authorization</t>
        </is>
      </c>
      <c r="C61" t="inlineStr">
        <is>
          <t>Road Expansion</t>
        </is>
      </c>
      <c r="D61" t="inlineStr">
        <is>
          <t>Countywide (Cook)</t>
        </is>
      </c>
      <c r="E61" s="5">
        <f>SUMIFS(Exploded_Detail_Relevant!$G$2:$G$491,Exploded_Detail_Relevant!$A$2:$A$491,$A61,Exploded_Detail_Relevant!$B$2:$B$491,$B61,Exploded_Detail_Relevant!$E$2:$E$491,$C61,Exploded_Detail_Relevant!$F$2:$F$491,$D61)</f>
        <v/>
      </c>
      <c r="F61">
        <f>COUNTIFS(Exploded_Detail_Relevant!$A$2:$A$491,$A61,Exploded_Detail_Relevant!$B$2:$B$491,$B61,Exploded_Detail_Relevant!$E$2:$E$491,$C61,Exploded_Detail_Relevant!$F$2:$F$491,$D61)</f>
        <v/>
      </c>
    </row>
    <row r="62">
      <c r="A62" t="inlineStr">
        <is>
          <t>FFY2025</t>
        </is>
      </c>
      <c r="B62" t="inlineStr">
        <is>
          <t>FHWA Obligation</t>
        </is>
      </c>
      <c r="C62" t="inlineStr">
        <is>
          <t>Road Expansion</t>
        </is>
      </c>
      <c r="D62" t="inlineStr">
        <is>
          <t>Countywide (Cook)</t>
        </is>
      </c>
      <c r="E62" s="5">
        <f>SUMIFS(Exploded_Detail_Relevant!$G$2:$G$491,Exploded_Detail_Relevant!$A$2:$A$491,$A62,Exploded_Detail_Relevant!$B$2:$B$491,$B62,Exploded_Detail_Relevant!$E$2:$E$491,$C62,Exploded_Detail_Relevant!$F$2:$F$491,$D62)</f>
        <v/>
      </c>
      <c r="F62">
        <f>COUNTIFS(Exploded_Detail_Relevant!$A$2:$A$491,$A62,Exploded_Detail_Relevant!$B$2:$B$491,$B62,Exploded_Detail_Relevant!$E$2:$E$491,$C62,Exploded_Detail_Relevant!$F$2:$F$491,$D62)</f>
        <v/>
      </c>
    </row>
    <row r="63">
      <c r="A63" t="inlineStr">
        <is>
          <t>FFY2025</t>
        </is>
      </c>
      <c r="B63" t="inlineStr">
        <is>
          <t>AC Authorization</t>
        </is>
      </c>
      <c r="C63" t="inlineStr">
        <is>
          <t>Systems Improvements</t>
        </is>
      </c>
      <c r="D63" t="inlineStr">
        <is>
          <t>Countywide (Cook)</t>
        </is>
      </c>
      <c r="E63" s="5">
        <f>SUMIFS(Exploded_Detail_Relevant!$G$2:$G$491,Exploded_Detail_Relevant!$A$2:$A$491,$A63,Exploded_Detail_Relevant!$B$2:$B$491,$B63,Exploded_Detail_Relevant!$E$2:$E$491,$C63,Exploded_Detail_Relevant!$F$2:$F$491,$D63)</f>
        <v/>
      </c>
      <c r="F63">
        <f>COUNTIFS(Exploded_Detail_Relevant!$A$2:$A$491,$A63,Exploded_Detail_Relevant!$B$2:$B$491,$B63,Exploded_Detail_Relevant!$E$2:$E$491,$C63,Exploded_Detail_Relevant!$F$2:$F$491,$D63)</f>
        <v/>
      </c>
    </row>
    <row r="64">
      <c r="A64" t="inlineStr">
        <is>
          <t>FFY2025</t>
        </is>
      </c>
      <c r="B64" t="inlineStr">
        <is>
          <t>FHWA Obligation</t>
        </is>
      </c>
      <c r="C64" t="inlineStr">
        <is>
          <t>Systems Improvements</t>
        </is>
      </c>
      <c r="D64" t="inlineStr">
        <is>
          <t>Countywide (Cook)</t>
        </is>
      </c>
      <c r="E64" s="5">
        <f>SUMIFS(Exploded_Detail_Relevant!$G$2:$G$491,Exploded_Detail_Relevant!$A$2:$A$491,$A64,Exploded_Detail_Relevant!$B$2:$B$491,$B64,Exploded_Detail_Relevant!$E$2:$E$491,$C64,Exploded_Detail_Relevant!$F$2:$F$491,$D64)</f>
        <v/>
      </c>
      <c r="F64">
        <f>COUNTIFS(Exploded_Detail_Relevant!$A$2:$A$491,$A64,Exploded_Detail_Relevant!$B$2:$B$491,$B64,Exploded_Detail_Relevant!$E$2:$E$491,$C64,Exploded_Detail_Relevant!$F$2:$F$491,$D64)</f>
        <v/>
      </c>
    </row>
    <row r="65">
      <c r="A65" t="inlineStr">
        <is>
          <t>FFY2025</t>
        </is>
      </c>
      <c r="B65" t="inlineStr">
        <is>
          <t>AC Authorization</t>
        </is>
      </c>
      <c r="C65" t="inlineStr">
        <is>
          <t>Bicycle &amp; Pedestrian</t>
        </is>
      </c>
      <c r="D65" t="inlineStr">
        <is>
          <t>Crestwood</t>
        </is>
      </c>
      <c r="E65" s="5">
        <f>SUMIFS(Exploded_Detail_Relevant!$G$2:$G$491,Exploded_Detail_Relevant!$A$2:$A$491,$A65,Exploded_Detail_Relevant!$B$2:$B$491,$B65,Exploded_Detail_Relevant!$E$2:$E$491,$C65,Exploded_Detail_Relevant!$F$2:$F$491,$D65)</f>
        <v/>
      </c>
      <c r="F65">
        <f>COUNTIFS(Exploded_Detail_Relevant!$A$2:$A$491,$A65,Exploded_Detail_Relevant!$B$2:$B$491,$B65,Exploded_Detail_Relevant!$E$2:$E$491,$C65,Exploded_Detail_Relevant!$F$2:$F$491,$D65)</f>
        <v/>
      </c>
    </row>
    <row r="66">
      <c r="A66" t="inlineStr">
        <is>
          <t>FFY2025</t>
        </is>
      </c>
      <c r="B66" t="inlineStr">
        <is>
          <t>AC Authorization</t>
        </is>
      </c>
      <c r="C66" t="inlineStr">
        <is>
          <t>Intersection/Interchange Improvements</t>
        </is>
      </c>
      <c r="D66" t="inlineStr">
        <is>
          <t>Crestwood</t>
        </is>
      </c>
      <c r="E66" s="5">
        <f>SUMIFS(Exploded_Detail_Relevant!$G$2:$G$491,Exploded_Detail_Relevant!$A$2:$A$491,$A66,Exploded_Detail_Relevant!$B$2:$B$491,$B66,Exploded_Detail_Relevant!$E$2:$E$491,$C66,Exploded_Detail_Relevant!$F$2:$F$491,$D66)</f>
        <v/>
      </c>
      <c r="F66">
        <f>COUNTIFS(Exploded_Detail_Relevant!$A$2:$A$491,$A66,Exploded_Detail_Relevant!$B$2:$B$491,$B66,Exploded_Detail_Relevant!$E$2:$E$491,$C66,Exploded_Detail_Relevant!$F$2:$F$491,$D66)</f>
        <v/>
      </c>
    </row>
    <row r="67">
      <c r="A67" t="inlineStr">
        <is>
          <t>FFY2025</t>
        </is>
      </c>
      <c r="B67" t="inlineStr">
        <is>
          <t>FHWA Obligation</t>
        </is>
      </c>
      <c r="C67" t="inlineStr">
        <is>
          <t>Bicycle &amp; Pedestrian</t>
        </is>
      </c>
      <c r="D67" t="inlineStr">
        <is>
          <t>Des Plaines</t>
        </is>
      </c>
      <c r="E67" s="5">
        <f>SUMIFS(Exploded_Detail_Relevant!$G$2:$G$491,Exploded_Detail_Relevant!$A$2:$A$491,$A67,Exploded_Detail_Relevant!$B$2:$B$491,$B67,Exploded_Detail_Relevant!$E$2:$E$491,$C67,Exploded_Detail_Relevant!$F$2:$F$491,$D67)</f>
        <v/>
      </c>
      <c r="F67">
        <f>COUNTIFS(Exploded_Detail_Relevant!$A$2:$A$491,$A67,Exploded_Detail_Relevant!$B$2:$B$491,$B67,Exploded_Detail_Relevant!$E$2:$E$491,$C67,Exploded_Detail_Relevant!$F$2:$F$491,$D67)</f>
        <v/>
      </c>
    </row>
    <row r="68">
      <c r="A68" t="inlineStr">
        <is>
          <t>FFY2025</t>
        </is>
      </c>
      <c r="B68" t="inlineStr">
        <is>
          <t>AC Authorization</t>
        </is>
      </c>
      <c r="C68" t="inlineStr">
        <is>
          <t>Intersection/Interchange Improvements</t>
        </is>
      </c>
      <c r="D68" t="inlineStr">
        <is>
          <t>Des Plaines</t>
        </is>
      </c>
      <c r="E68" s="5">
        <f>SUMIFS(Exploded_Detail_Relevant!$G$2:$G$491,Exploded_Detail_Relevant!$A$2:$A$491,$A68,Exploded_Detail_Relevant!$B$2:$B$491,$B68,Exploded_Detail_Relevant!$E$2:$E$491,$C68,Exploded_Detail_Relevant!$F$2:$F$491,$D68)</f>
        <v/>
      </c>
      <c r="F68">
        <f>COUNTIFS(Exploded_Detail_Relevant!$A$2:$A$491,$A68,Exploded_Detail_Relevant!$B$2:$B$491,$B68,Exploded_Detail_Relevant!$E$2:$E$491,$C68,Exploded_Detail_Relevant!$F$2:$F$491,$D68)</f>
        <v/>
      </c>
    </row>
    <row r="69">
      <c r="A69" t="inlineStr">
        <is>
          <t>FFY2025</t>
        </is>
      </c>
      <c r="B69" t="inlineStr">
        <is>
          <t>FHWA Obligation</t>
        </is>
      </c>
      <c r="C69" t="inlineStr">
        <is>
          <t>Intersection/Interchange Improvements</t>
        </is>
      </c>
      <c r="D69" t="inlineStr">
        <is>
          <t>Des Plaines</t>
        </is>
      </c>
      <c r="E69" s="5">
        <f>SUMIFS(Exploded_Detail_Relevant!$G$2:$G$491,Exploded_Detail_Relevant!$A$2:$A$491,$A69,Exploded_Detail_Relevant!$B$2:$B$491,$B69,Exploded_Detail_Relevant!$E$2:$E$491,$C69,Exploded_Detail_Relevant!$F$2:$F$491,$D69)</f>
        <v/>
      </c>
      <c r="F69">
        <f>COUNTIFS(Exploded_Detail_Relevant!$A$2:$A$491,$A69,Exploded_Detail_Relevant!$B$2:$B$491,$B69,Exploded_Detail_Relevant!$E$2:$E$491,$C69,Exploded_Detail_Relevant!$F$2:$F$491,$D69)</f>
        <v/>
      </c>
    </row>
    <row r="70">
      <c r="A70" t="inlineStr">
        <is>
          <t>FFY2025</t>
        </is>
      </c>
      <c r="B70" t="inlineStr">
        <is>
          <t>AC Authorization</t>
        </is>
      </c>
      <c r="C70" t="inlineStr">
        <is>
          <t>Road Maintenance</t>
        </is>
      </c>
      <c r="D70" t="inlineStr">
        <is>
          <t>Des Plaines</t>
        </is>
      </c>
      <c r="E70" s="5">
        <f>SUMIFS(Exploded_Detail_Relevant!$G$2:$G$491,Exploded_Detail_Relevant!$A$2:$A$491,$A70,Exploded_Detail_Relevant!$B$2:$B$491,$B70,Exploded_Detail_Relevant!$E$2:$E$491,$C70,Exploded_Detail_Relevant!$F$2:$F$491,$D70)</f>
        <v/>
      </c>
      <c r="F70">
        <f>COUNTIFS(Exploded_Detail_Relevant!$A$2:$A$491,$A70,Exploded_Detail_Relevant!$B$2:$B$491,$B70,Exploded_Detail_Relevant!$E$2:$E$491,$C70,Exploded_Detail_Relevant!$F$2:$F$491,$D70)</f>
        <v/>
      </c>
    </row>
    <row r="71">
      <c r="A71" t="inlineStr">
        <is>
          <t>FFY2025</t>
        </is>
      </c>
      <c r="B71" t="inlineStr">
        <is>
          <t>FHWA Obligation</t>
        </is>
      </c>
      <c r="C71" t="inlineStr">
        <is>
          <t>Road Maintenance</t>
        </is>
      </c>
      <c r="D71" t="inlineStr">
        <is>
          <t>Des Plaines</t>
        </is>
      </c>
      <c r="E71" s="5">
        <f>SUMIFS(Exploded_Detail_Relevant!$G$2:$G$491,Exploded_Detail_Relevant!$A$2:$A$491,$A71,Exploded_Detail_Relevant!$B$2:$B$491,$B71,Exploded_Detail_Relevant!$E$2:$E$491,$C71,Exploded_Detail_Relevant!$F$2:$F$491,$D71)</f>
        <v/>
      </c>
      <c r="F71">
        <f>COUNTIFS(Exploded_Detail_Relevant!$A$2:$A$491,$A71,Exploded_Detail_Relevant!$B$2:$B$491,$B71,Exploded_Detail_Relevant!$E$2:$E$491,$C71,Exploded_Detail_Relevant!$F$2:$F$491,$D71)</f>
        <v/>
      </c>
    </row>
    <row r="72">
      <c r="A72" t="inlineStr">
        <is>
          <t>FFY2025</t>
        </is>
      </c>
      <c r="B72" t="inlineStr">
        <is>
          <t>AC Authorization</t>
        </is>
      </c>
      <c r="C72" t="inlineStr">
        <is>
          <t>Road Maintenance</t>
        </is>
      </c>
      <c r="D72" t="inlineStr">
        <is>
          <t>Dixmoor</t>
        </is>
      </c>
      <c r="E72" s="5">
        <f>SUMIFS(Exploded_Detail_Relevant!$G$2:$G$491,Exploded_Detail_Relevant!$A$2:$A$491,$A72,Exploded_Detail_Relevant!$B$2:$B$491,$B72,Exploded_Detail_Relevant!$E$2:$E$491,$C72,Exploded_Detail_Relevant!$F$2:$F$491,$D72)</f>
        <v/>
      </c>
      <c r="F72">
        <f>COUNTIFS(Exploded_Detail_Relevant!$A$2:$A$491,$A72,Exploded_Detail_Relevant!$B$2:$B$491,$B72,Exploded_Detail_Relevant!$E$2:$E$491,$C72,Exploded_Detail_Relevant!$F$2:$F$491,$D72)</f>
        <v/>
      </c>
    </row>
    <row r="73">
      <c r="A73" t="inlineStr">
        <is>
          <t>FFY2025</t>
        </is>
      </c>
      <c r="B73" t="inlineStr">
        <is>
          <t>FHWA Obligation</t>
        </is>
      </c>
      <c r="C73" t="inlineStr">
        <is>
          <t>Road Maintenance</t>
        </is>
      </c>
      <c r="D73" t="inlineStr">
        <is>
          <t>Dixmoor</t>
        </is>
      </c>
      <c r="E73" s="5">
        <f>SUMIFS(Exploded_Detail_Relevant!$G$2:$G$491,Exploded_Detail_Relevant!$A$2:$A$491,$A73,Exploded_Detail_Relevant!$B$2:$B$491,$B73,Exploded_Detail_Relevant!$E$2:$E$491,$C73,Exploded_Detail_Relevant!$F$2:$F$491,$D73)</f>
        <v/>
      </c>
      <c r="F73">
        <f>COUNTIFS(Exploded_Detail_Relevant!$A$2:$A$491,$A73,Exploded_Detail_Relevant!$B$2:$B$491,$B73,Exploded_Detail_Relevant!$E$2:$E$491,$C73,Exploded_Detail_Relevant!$F$2:$F$491,$D73)</f>
        <v/>
      </c>
    </row>
    <row r="74">
      <c r="A74" t="inlineStr">
        <is>
          <t>FFY2025</t>
        </is>
      </c>
      <c r="B74" t="inlineStr">
        <is>
          <t>AC Authorization</t>
        </is>
      </c>
      <c r="C74" t="inlineStr">
        <is>
          <t>Bridge Routine Maintenance</t>
        </is>
      </c>
      <c r="D74" t="inlineStr">
        <is>
          <t>Dolton</t>
        </is>
      </c>
      <c r="E74" s="5">
        <f>SUMIFS(Exploded_Detail_Relevant!$G$2:$G$491,Exploded_Detail_Relevant!$A$2:$A$491,$A74,Exploded_Detail_Relevant!$B$2:$B$491,$B74,Exploded_Detail_Relevant!$E$2:$E$491,$C74,Exploded_Detail_Relevant!$F$2:$F$491,$D74)</f>
        <v/>
      </c>
      <c r="F74">
        <f>COUNTIFS(Exploded_Detail_Relevant!$A$2:$A$491,$A74,Exploded_Detail_Relevant!$B$2:$B$491,$B74,Exploded_Detail_Relevant!$E$2:$E$491,$C74,Exploded_Detail_Relevant!$F$2:$F$491,$D74)</f>
        <v/>
      </c>
    </row>
    <row r="75">
      <c r="A75" t="inlineStr">
        <is>
          <t>FFY2025</t>
        </is>
      </c>
      <c r="B75" t="inlineStr">
        <is>
          <t>FHWA Obligation</t>
        </is>
      </c>
      <c r="C75" t="inlineStr">
        <is>
          <t>Bridge Routine Maintenance</t>
        </is>
      </c>
      <c r="D75" t="inlineStr">
        <is>
          <t>Dolton</t>
        </is>
      </c>
      <c r="E75" s="5">
        <f>SUMIFS(Exploded_Detail_Relevant!$G$2:$G$491,Exploded_Detail_Relevant!$A$2:$A$491,$A75,Exploded_Detail_Relevant!$B$2:$B$491,$B75,Exploded_Detail_Relevant!$E$2:$E$491,$C75,Exploded_Detail_Relevant!$F$2:$F$491,$D75)</f>
        <v/>
      </c>
      <c r="F75">
        <f>COUNTIFS(Exploded_Detail_Relevant!$A$2:$A$491,$A75,Exploded_Detail_Relevant!$B$2:$B$491,$B75,Exploded_Detail_Relevant!$E$2:$E$491,$C75,Exploded_Detail_Relevant!$F$2:$F$491,$D75)</f>
        <v/>
      </c>
    </row>
    <row r="76">
      <c r="A76" t="inlineStr">
        <is>
          <t>FFY2025</t>
        </is>
      </c>
      <c r="B76" t="inlineStr">
        <is>
          <t>AC Authorization</t>
        </is>
      </c>
      <c r="C76" t="inlineStr">
        <is>
          <t>Road Maintenance</t>
        </is>
      </c>
      <c r="D76" t="inlineStr">
        <is>
          <t>Dolton</t>
        </is>
      </c>
      <c r="E76" s="5">
        <f>SUMIFS(Exploded_Detail_Relevant!$G$2:$G$491,Exploded_Detail_Relevant!$A$2:$A$491,$A76,Exploded_Detail_Relevant!$B$2:$B$491,$B76,Exploded_Detail_Relevant!$E$2:$E$491,$C76,Exploded_Detail_Relevant!$F$2:$F$491,$D76)</f>
        <v/>
      </c>
      <c r="F76">
        <f>COUNTIFS(Exploded_Detail_Relevant!$A$2:$A$491,$A76,Exploded_Detail_Relevant!$B$2:$B$491,$B76,Exploded_Detail_Relevant!$E$2:$E$491,$C76,Exploded_Detail_Relevant!$F$2:$F$491,$D76)</f>
        <v/>
      </c>
    </row>
    <row r="77">
      <c r="A77" t="inlineStr">
        <is>
          <t>FFY2025</t>
        </is>
      </c>
      <c r="B77" t="inlineStr">
        <is>
          <t>AC Authorization</t>
        </is>
      </c>
      <c r="C77" t="inlineStr">
        <is>
          <t>Road Modernization</t>
        </is>
      </c>
      <c r="D77" t="inlineStr">
        <is>
          <t>East Hazel Crest</t>
        </is>
      </c>
      <c r="E77" s="5">
        <f>SUMIFS(Exploded_Detail_Relevant!$G$2:$G$491,Exploded_Detail_Relevant!$A$2:$A$491,$A77,Exploded_Detail_Relevant!$B$2:$B$491,$B77,Exploded_Detail_Relevant!$E$2:$E$491,$C77,Exploded_Detail_Relevant!$F$2:$F$491,$D77)</f>
        <v/>
      </c>
      <c r="F77">
        <f>COUNTIFS(Exploded_Detail_Relevant!$A$2:$A$491,$A77,Exploded_Detail_Relevant!$B$2:$B$491,$B77,Exploded_Detail_Relevant!$E$2:$E$491,$C77,Exploded_Detail_Relevant!$F$2:$F$491,$D77)</f>
        <v/>
      </c>
    </row>
    <row r="78">
      <c r="A78" t="inlineStr">
        <is>
          <t>FFY2025</t>
        </is>
      </c>
      <c r="B78" t="inlineStr">
        <is>
          <t>FHWA Obligation</t>
        </is>
      </c>
      <c r="C78" t="inlineStr">
        <is>
          <t>Road Modernization</t>
        </is>
      </c>
      <c r="D78" t="inlineStr">
        <is>
          <t>East Hazel Crest</t>
        </is>
      </c>
      <c r="E78" s="5">
        <f>SUMIFS(Exploded_Detail_Relevant!$G$2:$G$491,Exploded_Detail_Relevant!$A$2:$A$491,$A78,Exploded_Detail_Relevant!$B$2:$B$491,$B78,Exploded_Detail_Relevant!$E$2:$E$491,$C78,Exploded_Detail_Relevant!$F$2:$F$491,$D78)</f>
        <v/>
      </c>
      <c r="F78">
        <f>COUNTIFS(Exploded_Detail_Relevant!$A$2:$A$491,$A78,Exploded_Detail_Relevant!$B$2:$B$491,$B78,Exploded_Detail_Relevant!$E$2:$E$491,$C78,Exploded_Detail_Relevant!$F$2:$F$491,$D78)</f>
        <v/>
      </c>
    </row>
    <row r="79">
      <c r="A79" t="inlineStr">
        <is>
          <t>FFY2025</t>
        </is>
      </c>
      <c r="B79" t="inlineStr">
        <is>
          <t>FHWA Obligation</t>
        </is>
      </c>
      <c r="C79" t="inlineStr">
        <is>
          <t>Bridge Repair, Rehab, or Replace</t>
        </is>
      </c>
      <c r="D79" t="inlineStr">
        <is>
          <t>Elk Grove Village</t>
        </is>
      </c>
      <c r="E79" s="5">
        <f>SUMIFS(Exploded_Detail_Relevant!$G$2:$G$491,Exploded_Detail_Relevant!$A$2:$A$491,$A79,Exploded_Detail_Relevant!$B$2:$B$491,$B79,Exploded_Detail_Relevant!$E$2:$E$491,$C79,Exploded_Detail_Relevant!$F$2:$F$491,$D79)</f>
        <v/>
      </c>
      <c r="F79">
        <f>COUNTIFS(Exploded_Detail_Relevant!$A$2:$A$491,$A79,Exploded_Detail_Relevant!$B$2:$B$491,$B79,Exploded_Detail_Relevant!$E$2:$E$491,$C79,Exploded_Detail_Relevant!$F$2:$F$491,$D79)</f>
        <v/>
      </c>
    </row>
    <row r="80">
      <c r="A80" t="inlineStr">
        <is>
          <t>FFY2025</t>
        </is>
      </c>
      <c r="B80" t="inlineStr">
        <is>
          <t>AC Authorization</t>
        </is>
      </c>
      <c r="C80" t="inlineStr">
        <is>
          <t>Road Maintenance</t>
        </is>
      </c>
      <c r="D80" t="inlineStr">
        <is>
          <t>Elk Grove Village</t>
        </is>
      </c>
      <c r="E80" s="5">
        <f>SUMIFS(Exploded_Detail_Relevant!$G$2:$G$491,Exploded_Detail_Relevant!$A$2:$A$491,$A80,Exploded_Detail_Relevant!$B$2:$B$491,$B80,Exploded_Detail_Relevant!$E$2:$E$491,$C80,Exploded_Detail_Relevant!$F$2:$F$491,$D80)</f>
        <v/>
      </c>
      <c r="F80">
        <f>COUNTIFS(Exploded_Detail_Relevant!$A$2:$A$491,$A80,Exploded_Detail_Relevant!$B$2:$B$491,$B80,Exploded_Detail_Relevant!$E$2:$E$491,$C80,Exploded_Detail_Relevant!$F$2:$F$491,$D80)</f>
        <v/>
      </c>
    </row>
    <row r="81">
      <c r="A81" t="inlineStr">
        <is>
          <t>FFY2025</t>
        </is>
      </c>
      <c r="B81" t="inlineStr">
        <is>
          <t>FHWA Obligation</t>
        </is>
      </c>
      <c r="C81" t="inlineStr">
        <is>
          <t>Road Maintenance</t>
        </is>
      </c>
      <c r="D81" t="inlineStr">
        <is>
          <t>Elk Grove Village</t>
        </is>
      </c>
      <c r="E81" s="5">
        <f>SUMIFS(Exploded_Detail_Relevant!$G$2:$G$491,Exploded_Detail_Relevant!$A$2:$A$491,$A81,Exploded_Detail_Relevant!$B$2:$B$491,$B81,Exploded_Detail_Relevant!$E$2:$E$491,$C81,Exploded_Detail_Relevant!$F$2:$F$491,$D81)</f>
        <v/>
      </c>
      <c r="F81">
        <f>COUNTIFS(Exploded_Detail_Relevant!$A$2:$A$491,$A81,Exploded_Detail_Relevant!$B$2:$B$491,$B81,Exploded_Detail_Relevant!$E$2:$E$491,$C81,Exploded_Detail_Relevant!$F$2:$F$491,$D81)</f>
        <v/>
      </c>
    </row>
    <row r="82">
      <c r="A82" t="inlineStr">
        <is>
          <t>FFY2025</t>
        </is>
      </c>
      <c r="B82" t="inlineStr">
        <is>
          <t>AC Authorization</t>
        </is>
      </c>
      <c r="C82" t="inlineStr">
        <is>
          <t>Road Modernization</t>
        </is>
      </c>
      <c r="D82" t="inlineStr">
        <is>
          <t>Elk Grove Village</t>
        </is>
      </c>
      <c r="E82" s="5">
        <f>SUMIFS(Exploded_Detail_Relevant!$G$2:$G$491,Exploded_Detail_Relevant!$A$2:$A$491,$A82,Exploded_Detail_Relevant!$B$2:$B$491,$B82,Exploded_Detail_Relevant!$E$2:$E$491,$C82,Exploded_Detail_Relevant!$F$2:$F$491,$D82)</f>
        <v/>
      </c>
      <c r="F82">
        <f>COUNTIFS(Exploded_Detail_Relevant!$A$2:$A$491,$A82,Exploded_Detail_Relevant!$B$2:$B$491,$B82,Exploded_Detail_Relevant!$E$2:$E$491,$C82,Exploded_Detail_Relevant!$F$2:$F$491,$D82)</f>
        <v/>
      </c>
    </row>
    <row r="83">
      <c r="A83" t="inlineStr">
        <is>
          <t>FFY2025</t>
        </is>
      </c>
      <c r="B83" t="inlineStr">
        <is>
          <t>FHWA Obligation</t>
        </is>
      </c>
      <c r="C83" t="inlineStr">
        <is>
          <t>Road Modernization</t>
        </is>
      </c>
      <c r="D83" t="inlineStr">
        <is>
          <t>Elk Grove Village</t>
        </is>
      </c>
      <c r="E83" s="5">
        <f>SUMIFS(Exploded_Detail_Relevant!$G$2:$G$491,Exploded_Detail_Relevant!$A$2:$A$491,$A83,Exploded_Detail_Relevant!$B$2:$B$491,$B83,Exploded_Detail_Relevant!$E$2:$E$491,$C83,Exploded_Detail_Relevant!$F$2:$F$491,$D83)</f>
        <v/>
      </c>
      <c r="F83">
        <f>COUNTIFS(Exploded_Detail_Relevant!$A$2:$A$491,$A83,Exploded_Detail_Relevant!$B$2:$B$491,$B83,Exploded_Detail_Relevant!$E$2:$E$491,$C83,Exploded_Detail_Relevant!$F$2:$F$491,$D83)</f>
        <v/>
      </c>
    </row>
    <row r="84">
      <c r="A84" t="inlineStr">
        <is>
          <t>FFY2025</t>
        </is>
      </c>
      <c r="B84" t="inlineStr">
        <is>
          <t>FHWA Obligation</t>
        </is>
      </c>
      <c r="C84" t="inlineStr">
        <is>
          <t>Bicycle &amp; Pedestrian</t>
        </is>
      </c>
      <c r="D84" t="inlineStr">
        <is>
          <t>Elmwood Park</t>
        </is>
      </c>
      <c r="E84" s="5">
        <f>SUMIFS(Exploded_Detail_Relevant!$G$2:$G$491,Exploded_Detail_Relevant!$A$2:$A$491,$A84,Exploded_Detail_Relevant!$B$2:$B$491,$B84,Exploded_Detail_Relevant!$E$2:$E$491,$C84,Exploded_Detail_Relevant!$F$2:$F$491,$D84)</f>
        <v/>
      </c>
      <c r="F84">
        <f>COUNTIFS(Exploded_Detail_Relevant!$A$2:$A$491,$A84,Exploded_Detail_Relevant!$B$2:$B$491,$B84,Exploded_Detail_Relevant!$E$2:$E$491,$C84,Exploded_Detail_Relevant!$F$2:$F$491,$D84)</f>
        <v/>
      </c>
    </row>
    <row r="85">
      <c r="A85" t="inlineStr">
        <is>
          <t>FFY2025</t>
        </is>
      </c>
      <c r="B85" t="inlineStr">
        <is>
          <t>FHWA Obligation</t>
        </is>
      </c>
      <c r="C85" t="inlineStr">
        <is>
          <t>Rail-Highway Grade Separation</t>
        </is>
      </c>
      <c r="D85" t="inlineStr">
        <is>
          <t>Elmwood Park</t>
        </is>
      </c>
      <c r="E85" s="5">
        <f>SUMIFS(Exploded_Detail_Relevant!$G$2:$G$491,Exploded_Detail_Relevant!$A$2:$A$491,$A85,Exploded_Detail_Relevant!$B$2:$B$491,$B85,Exploded_Detail_Relevant!$E$2:$E$491,$C85,Exploded_Detail_Relevant!$F$2:$F$491,$D85)</f>
        <v/>
      </c>
      <c r="F85">
        <f>COUNTIFS(Exploded_Detail_Relevant!$A$2:$A$491,$A85,Exploded_Detail_Relevant!$B$2:$B$491,$B85,Exploded_Detail_Relevant!$E$2:$E$491,$C85,Exploded_Detail_Relevant!$F$2:$F$491,$D85)</f>
        <v/>
      </c>
    </row>
    <row r="86">
      <c r="A86" t="inlineStr">
        <is>
          <t>FFY2025</t>
        </is>
      </c>
      <c r="B86" t="inlineStr">
        <is>
          <t>AC Authorization</t>
        </is>
      </c>
      <c r="C86" t="inlineStr">
        <is>
          <t>Road Maintenance</t>
        </is>
      </c>
      <c r="D86" t="inlineStr">
        <is>
          <t>Elmwood Park</t>
        </is>
      </c>
      <c r="E86" s="5">
        <f>SUMIFS(Exploded_Detail_Relevant!$G$2:$G$491,Exploded_Detail_Relevant!$A$2:$A$491,$A86,Exploded_Detail_Relevant!$B$2:$B$491,$B86,Exploded_Detail_Relevant!$E$2:$E$491,$C86,Exploded_Detail_Relevant!$F$2:$F$491,$D86)</f>
        <v/>
      </c>
      <c r="F86">
        <f>COUNTIFS(Exploded_Detail_Relevant!$A$2:$A$491,$A86,Exploded_Detail_Relevant!$B$2:$B$491,$B86,Exploded_Detail_Relevant!$E$2:$E$491,$C86,Exploded_Detail_Relevant!$F$2:$F$491,$D86)</f>
        <v/>
      </c>
    </row>
    <row r="87">
      <c r="A87" t="inlineStr">
        <is>
          <t>FFY2025</t>
        </is>
      </c>
      <c r="B87" t="inlineStr">
        <is>
          <t>FHWA Obligation</t>
        </is>
      </c>
      <c r="C87" t="inlineStr">
        <is>
          <t>Road Maintenance</t>
        </is>
      </c>
      <c r="D87" t="inlineStr">
        <is>
          <t>Elmwood Park</t>
        </is>
      </c>
      <c r="E87" s="5">
        <f>SUMIFS(Exploded_Detail_Relevant!$G$2:$G$491,Exploded_Detail_Relevant!$A$2:$A$491,$A87,Exploded_Detail_Relevant!$B$2:$B$491,$B87,Exploded_Detail_Relevant!$E$2:$E$491,$C87,Exploded_Detail_Relevant!$F$2:$F$491,$D87)</f>
        <v/>
      </c>
      <c r="F87">
        <f>COUNTIFS(Exploded_Detail_Relevant!$A$2:$A$491,$A87,Exploded_Detail_Relevant!$B$2:$B$491,$B87,Exploded_Detail_Relevant!$E$2:$E$491,$C87,Exploded_Detail_Relevant!$F$2:$F$491,$D87)</f>
        <v/>
      </c>
    </row>
    <row r="88">
      <c r="A88" t="inlineStr">
        <is>
          <t>FFY2025</t>
        </is>
      </c>
      <c r="B88" t="inlineStr">
        <is>
          <t>FHWA Obligation</t>
        </is>
      </c>
      <c r="C88" t="inlineStr">
        <is>
          <t>Signal Systems</t>
        </is>
      </c>
      <c r="D88" t="inlineStr">
        <is>
          <t>Elmwood Park</t>
        </is>
      </c>
      <c r="E88" s="5">
        <f>SUMIFS(Exploded_Detail_Relevant!$G$2:$G$491,Exploded_Detail_Relevant!$A$2:$A$491,$A88,Exploded_Detail_Relevant!$B$2:$B$491,$B88,Exploded_Detail_Relevant!$E$2:$E$491,$C88,Exploded_Detail_Relevant!$F$2:$F$491,$D88)</f>
        <v/>
      </c>
      <c r="F88">
        <f>COUNTIFS(Exploded_Detail_Relevant!$A$2:$A$491,$A88,Exploded_Detail_Relevant!$B$2:$B$491,$B88,Exploded_Detail_Relevant!$E$2:$E$491,$C88,Exploded_Detail_Relevant!$F$2:$F$491,$D88)</f>
        <v/>
      </c>
    </row>
    <row r="89">
      <c r="A89" t="inlineStr">
        <is>
          <t>FFY2025</t>
        </is>
      </c>
      <c r="B89" t="inlineStr">
        <is>
          <t>AC Authorization</t>
        </is>
      </c>
      <c r="C89" t="inlineStr">
        <is>
          <t>Bridge Repair, Rehab, or Replace</t>
        </is>
      </c>
      <c r="D89" t="inlineStr">
        <is>
          <t>Evanston</t>
        </is>
      </c>
      <c r="E89" s="5">
        <f>SUMIFS(Exploded_Detail_Relevant!$G$2:$G$491,Exploded_Detail_Relevant!$A$2:$A$491,$A89,Exploded_Detail_Relevant!$B$2:$B$491,$B89,Exploded_Detail_Relevant!$E$2:$E$491,$C89,Exploded_Detail_Relevant!$F$2:$F$491,$D89)</f>
        <v/>
      </c>
      <c r="F89">
        <f>COUNTIFS(Exploded_Detail_Relevant!$A$2:$A$491,$A89,Exploded_Detail_Relevant!$B$2:$B$491,$B89,Exploded_Detail_Relevant!$E$2:$E$491,$C89,Exploded_Detail_Relevant!$F$2:$F$491,$D89)</f>
        <v/>
      </c>
    </row>
    <row r="90">
      <c r="A90" t="inlineStr">
        <is>
          <t>FFY2025</t>
        </is>
      </c>
      <c r="B90" t="inlineStr">
        <is>
          <t>AC Authorization</t>
        </is>
      </c>
      <c r="C90" t="inlineStr">
        <is>
          <t>Intersection/Interchange Improvements</t>
        </is>
      </c>
      <c r="D90" t="inlineStr">
        <is>
          <t>Evanston</t>
        </is>
      </c>
      <c r="E90" s="5">
        <f>SUMIFS(Exploded_Detail_Relevant!$G$2:$G$491,Exploded_Detail_Relevant!$A$2:$A$491,$A90,Exploded_Detail_Relevant!$B$2:$B$491,$B90,Exploded_Detail_Relevant!$E$2:$E$491,$C90,Exploded_Detail_Relevant!$F$2:$F$491,$D90)</f>
        <v/>
      </c>
      <c r="F90">
        <f>COUNTIFS(Exploded_Detail_Relevant!$A$2:$A$491,$A90,Exploded_Detail_Relevant!$B$2:$B$491,$B90,Exploded_Detail_Relevant!$E$2:$E$491,$C90,Exploded_Detail_Relevant!$F$2:$F$491,$D90)</f>
        <v/>
      </c>
    </row>
    <row r="91">
      <c r="A91" t="inlineStr">
        <is>
          <t>FFY2025</t>
        </is>
      </c>
      <c r="B91" t="inlineStr">
        <is>
          <t>FHWA Obligation</t>
        </is>
      </c>
      <c r="C91" t="inlineStr">
        <is>
          <t>Road Modernization</t>
        </is>
      </c>
      <c r="D91" t="inlineStr">
        <is>
          <t>Evanston</t>
        </is>
      </c>
      <c r="E91" s="5">
        <f>SUMIFS(Exploded_Detail_Relevant!$G$2:$G$491,Exploded_Detail_Relevant!$A$2:$A$491,$A91,Exploded_Detail_Relevant!$B$2:$B$491,$B91,Exploded_Detail_Relevant!$E$2:$E$491,$C91,Exploded_Detail_Relevant!$F$2:$F$491,$D91)</f>
        <v/>
      </c>
      <c r="F91">
        <f>COUNTIFS(Exploded_Detail_Relevant!$A$2:$A$491,$A91,Exploded_Detail_Relevant!$B$2:$B$491,$B91,Exploded_Detail_Relevant!$E$2:$E$491,$C91,Exploded_Detail_Relevant!$F$2:$F$491,$D91)</f>
        <v/>
      </c>
    </row>
    <row r="92">
      <c r="A92" t="inlineStr">
        <is>
          <t>FFY2025</t>
        </is>
      </c>
      <c r="B92" t="inlineStr">
        <is>
          <t>AC Authorization</t>
        </is>
      </c>
      <c r="C92" t="inlineStr">
        <is>
          <t>Safe Routes to Schools</t>
        </is>
      </c>
      <c r="D92" t="inlineStr">
        <is>
          <t>Evanston</t>
        </is>
      </c>
      <c r="E92" s="5">
        <f>SUMIFS(Exploded_Detail_Relevant!$G$2:$G$491,Exploded_Detail_Relevant!$A$2:$A$491,$A92,Exploded_Detail_Relevant!$B$2:$B$491,$B92,Exploded_Detail_Relevant!$E$2:$E$491,$C92,Exploded_Detail_Relevant!$F$2:$F$491,$D92)</f>
        <v/>
      </c>
      <c r="F92">
        <f>COUNTIFS(Exploded_Detail_Relevant!$A$2:$A$491,$A92,Exploded_Detail_Relevant!$B$2:$B$491,$B92,Exploded_Detail_Relevant!$E$2:$E$491,$C92,Exploded_Detail_Relevant!$F$2:$F$491,$D92)</f>
        <v/>
      </c>
    </row>
    <row r="93">
      <c r="A93" t="inlineStr">
        <is>
          <t>FFY2025</t>
        </is>
      </c>
      <c r="B93" t="inlineStr">
        <is>
          <t>FHWA Obligation</t>
        </is>
      </c>
      <c r="C93" t="inlineStr">
        <is>
          <t>Safe Routes to Schools</t>
        </is>
      </c>
      <c r="D93" t="inlineStr">
        <is>
          <t>Evanston</t>
        </is>
      </c>
      <c r="E93" s="5">
        <f>SUMIFS(Exploded_Detail_Relevant!$G$2:$G$491,Exploded_Detail_Relevant!$A$2:$A$491,$A93,Exploded_Detail_Relevant!$B$2:$B$491,$B93,Exploded_Detail_Relevant!$E$2:$E$491,$C93,Exploded_Detail_Relevant!$F$2:$F$491,$D93)</f>
        <v/>
      </c>
      <c r="F93">
        <f>COUNTIFS(Exploded_Detail_Relevant!$A$2:$A$491,$A93,Exploded_Detail_Relevant!$B$2:$B$491,$B93,Exploded_Detail_Relevant!$E$2:$E$491,$C93,Exploded_Detail_Relevant!$F$2:$F$491,$D93)</f>
        <v/>
      </c>
    </row>
    <row r="94">
      <c r="A94" t="inlineStr">
        <is>
          <t>FFY2025</t>
        </is>
      </c>
      <c r="B94" t="inlineStr">
        <is>
          <t>FHWA Obligation</t>
        </is>
      </c>
      <c r="C94" t="inlineStr">
        <is>
          <t>Bicycle &amp; Pedestrian</t>
        </is>
      </c>
      <c r="D94" t="inlineStr">
        <is>
          <t>Evergreen Park</t>
        </is>
      </c>
      <c r="E94" s="5">
        <f>SUMIFS(Exploded_Detail_Relevant!$G$2:$G$491,Exploded_Detail_Relevant!$A$2:$A$491,$A94,Exploded_Detail_Relevant!$B$2:$B$491,$B94,Exploded_Detail_Relevant!$E$2:$E$491,$C94,Exploded_Detail_Relevant!$F$2:$F$491,$D94)</f>
        <v/>
      </c>
      <c r="F94">
        <f>COUNTIFS(Exploded_Detail_Relevant!$A$2:$A$491,$A94,Exploded_Detail_Relevant!$B$2:$B$491,$B94,Exploded_Detail_Relevant!$E$2:$E$491,$C94,Exploded_Detail_Relevant!$F$2:$F$491,$D94)</f>
        <v/>
      </c>
    </row>
    <row r="95">
      <c r="A95" t="inlineStr">
        <is>
          <t>FFY2025</t>
        </is>
      </c>
      <c r="B95" t="inlineStr">
        <is>
          <t>FHWA Obligation</t>
        </is>
      </c>
      <c r="C95" t="inlineStr">
        <is>
          <t>Bicycle &amp; Pedestrian</t>
        </is>
      </c>
      <c r="D95" t="inlineStr">
        <is>
          <t>Flossmoor</t>
        </is>
      </c>
      <c r="E95" s="5">
        <f>SUMIFS(Exploded_Detail_Relevant!$G$2:$G$491,Exploded_Detail_Relevant!$A$2:$A$491,$A95,Exploded_Detail_Relevant!$B$2:$B$491,$B95,Exploded_Detail_Relevant!$E$2:$E$491,$C95,Exploded_Detail_Relevant!$F$2:$F$491,$D95)</f>
        <v/>
      </c>
      <c r="F95">
        <f>COUNTIFS(Exploded_Detail_Relevant!$A$2:$A$491,$A95,Exploded_Detail_Relevant!$B$2:$B$491,$B95,Exploded_Detail_Relevant!$E$2:$E$491,$C95,Exploded_Detail_Relevant!$F$2:$F$491,$D95)</f>
        <v/>
      </c>
    </row>
    <row r="96">
      <c r="A96" t="inlineStr">
        <is>
          <t>FFY2025</t>
        </is>
      </c>
      <c r="B96" t="inlineStr">
        <is>
          <t>FHWA Obligation</t>
        </is>
      </c>
      <c r="C96" t="inlineStr">
        <is>
          <t>Road Expansion</t>
        </is>
      </c>
      <c r="D96" t="inlineStr">
        <is>
          <t>Forest Park</t>
        </is>
      </c>
      <c r="E96" s="5">
        <f>SUMIFS(Exploded_Detail_Relevant!$G$2:$G$491,Exploded_Detail_Relevant!$A$2:$A$491,$A96,Exploded_Detail_Relevant!$B$2:$B$491,$B96,Exploded_Detail_Relevant!$E$2:$E$491,$C96,Exploded_Detail_Relevant!$F$2:$F$491,$D96)</f>
        <v/>
      </c>
      <c r="F96">
        <f>COUNTIFS(Exploded_Detail_Relevant!$A$2:$A$491,$A96,Exploded_Detail_Relevant!$B$2:$B$491,$B96,Exploded_Detail_Relevant!$E$2:$E$491,$C96,Exploded_Detail_Relevant!$F$2:$F$491,$D96)</f>
        <v/>
      </c>
    </row>
    <row r="97">
      <c r="A97" t="inlineStr">
        <is>
          <t>FFY2025</t>
        </is>
      </c>
      <c r="B97" t="inlineStr">
        <is>
          <t>FHWA Obligation</t>
        </is>
      </c>
      <c r="C97" t="inlineStr">
        <is>
          <t>Road Maintenance</t>
        </is>
      </c>
      <c r="D97" t="inlineStr">
        <is>
          <t>Forest View</t>
        </is>
      </c>
      <c r="E97" s="5">
        <f>SUMIFS(Exploded_Detail_Relevant!$G$2:$G$491,Exploded_Detail_Relevant!$A$2:$A$491,$A97,Exploded_Detail_Relevant!$B$2:$B$491,$B97,Exploded_Detail_Relevant!$E$2:$E$491,$C97,Exploded_Detail_Relevant!$F$2:$F$491,$D97)</f>
        <v/>
      </c>
      <c r="F97">
        <f>COUNTIFS(Exploded_Detail_Relevant!$A$2:$A$491,$A97,Exploded_Detail_Relevant!$B$2:$B$491,$B97,Exploded_Detail_Relevant!$E$2:$E$491,$C97,Exploded_Detail_Relevant!$F$2:$F$491,$D97)</f>
        <v/>
      </c>
    </row>
    <row r="98">
      <c r="A98" t="inlineStr">
        <is>
          <t>FFY2025</t>
        </is>
      </c>
      <c r="B98" t="inlineStr">
        <is>
          <t>FHWA Obligation</t>
        </is>
      </c>
      <c r="C98" t="inlineStr">
        <is>
          <t>Bicycle &amp; Pedestrian</t>
        </is>
      </c>
      <c r="D98" t="inlineStr">
        <is>
          <t>Franklin Park</t>
        </is>
      </c>
      <c r="E98" s="5">
        <f>SUMIFS(Exploded_Detail_Relevant!$G$2:$G$491,Exploded_Detail_Relevant!$A$2:$A$491,$A98,Exploded_Detail_Relevant!$B$2:$B$491,$B98,Exploded_Detail_Relevant!$E$2:$E$491,$C98,Exploded_Detail_Relevant!$F$2:$F$491,$D98)</f>
        <v/>
      </c>
      <c r="F98">
        <f>COUNTIFS(Exploded_Detail_Relevant!$A$2:$A$491,$A98,Exploded_Detail_Relevant!$B$2:$B$491,$B98,Exploded_Detail_Relevant!$E$2:$E$491,$C98,Exploded_Detail_Relevant!$F$2:$F$491,$D98)</f>
        <v/>
      </c>
    </row>
    <row r="99">
      <c r="A99" t="inlineStr">
        <is>
          <t>FFY2025</t>
        </is>
      </c>
      <c r="B99" t="inlineStr">
        <is>
          <t>AC Authorization</t>
        </is>
      </c>
      <c r="C99" t="inlineStr">
        <is>
          <t>Road Signals &amp; Signs</t>
        </is>
      </c>
      <c r="D99" t="inlineStr">
        <is>
          <t>Franklin Park</t>
        </is>
      </c>
      <c r="E99" s="5">
        <f>SUMIFS(Exploded_Detail_Relevant!$G$2:$G$491,Exploded_Detail_Relevant!$A$2:$A$491,$A99,Exploded_Detail_Relevant!$B$2:$B$491,$B99,Exploded_Detail_Relevant!$E$2:$E$491,$C99,Exploded_Detail_Relevant!$F$2:$F$491,$D99)</f>
        <v/>
      </c>
      <c r="F99">
        <f>COUNTIFS(Exploded_Detail_Relevant!$A$2:$A$491,$A99,Exploded_Detail_Relevant!$B$2:$B$491,$B99,Exploded_Detail_Relevant!$E$2:$E$491,$C99,Exploded_Detail_Relevant!$F$2:$F$491,$D99)</f>
        <v/>
      </c>
    </row>
    <row r="100">
      <c r="A100" t="inlineStr">
        <is>
          <t>FFY2025</t>
        </is>
      </c>
      <c r="B100" t="inlineStr">
        <is>
          <t>FHWA Obligation</t>
        </is>
      </c>
      <c r="C100" t="inlineStr">
        <is>
          <t>Road Signals &amp; Signs</t>
        </is>
      </c>
      <c r="D100" t="inlineStr">
        <is>
          <t>Franklin Park</t>
        </is>
      </c>
      <c r="E100" s="5">
        <f>SUMIFS(Exploded_Detail_Relevant!$G$2:$G$491,Exploded_Detail_Relevant!$A$2:$A$491,$A100,Exploded_Detail_Relevant!$B$2:$B$491,$B100,Exploded_Detail_Relevant!$E$2:$E$491,$C100,Exploded_Detail_Relevant!$F$2:$F$491,$D100)</f>
        <v/>
      </c>
      <c r="F100">
        <f>COUNTIFS(Exploded_Detail_Relevant!$A$2:$A$491,$A100,Exploded_Detail_Relevant!$B$2:$B$491,$B100,Exploded_Detail_Relevant!$E$2:$E$491,$C100,Exploded_Detail_Relevant!$F$2:$F$491,$D100)</f>
        <v/>
      </c>
    </row>
    <row r="101">
      <c r="A101" t="inlineStr">
        <is>
          <t>FFY2025</t>
        </is>
      </c>
      <c r="B101" t="inlineStr">
        <is>
          <t>AC Authorization</t>
        </is>
      </c>
      <c r="C101" t="inlineStr">
        <is>
          <t>Road Maintenance</t>
        </is>
      </c>
      <c r="D101" t="inlineStr">
        <is>
          <t>Glencoe</t>
        </is>
      </c>
      <c r="E101" s="5">
        <f>SUMIFS(Exploded_Detail_Relevant!$G$2:$G$491,Exploded_Detail_Relevant!$A$2:$A$491,$A101,Exploded_Detail_Relevant!$B$2:$B$491,$B101,Exploded_Detail_Relevant!$E$2:$E$491,$C101,Exploded_Detail_Relevant!$F$2:$F$491,$D101)</f>
        <v/>
      </c>
      <c r="F101">
        <f>COUNTIFS(Exploded_Detail_Relevant!$A$2:$A$491,$A101,Exploded_Detail_Relevant!$B$2:$B$491,$B101,Exploded_Detail_Relevant!$E$2:$E$491,$C101,Exploded_Detail_Relevant!$F$2:$F$491,$D101)</f>
        <v/>
      </c>
    </row>
    <row r="102">
      <c r="A102" t="inlineStr">
        <is>
          <t>FFY2025</t>
        </is>
      </c>
      <c r="B102" t="inlineStr">
        <is>
          <t>AC Authorization</t>
        </is>
      </c>
      <c r="C102" t="inlineStr">
        <is>
          <t>Intersection/Interchange Improvements</t>
        </is>
      </c>
      <c r="D102" t="inlineStr">
        <is>
          <t>Glenview</t>
        </is>
      </c>
      <c r="E102" s="5">
        <f>SUMIFS(Exploded_Detail_Relevant!$G$2:$G$491,Exploded_Detail_Relevant!$A$2:$A$491,$A102,Exploded_Detail_Relevant!$B$2:$B$491,$B102,Exploded_Detail_Relevant!$E$2:$E$491,$C102,Exploded_Detail_Relevant!$F$2:$F$491,$D102)</f>
        <v/>
      </c>
      <c r="F102">
        <f>COUNTIFS(Exploded_Detail_Relevant!$A$2:$A$491,$A102,Exploded_Detail_Relevant!$B$2:$B$491,$B102,Exploded_Detail_Relevant!$E$2:$E$491,$C102,Exploded_Detail_Relevant!$F$2:$F$491,$D102)</f>
        <v/>
      </c>
    </row>
    <row r="103">
      <c r="A103" t="inlineStr">
        <is>
          <t>FFY2025</t>
        </is>
      </c>
      <c r="B103" t="inlineStr">
        <is>
          <t>FHWA Obligation</t>
        </is>
      </c>
      <c r="C103" t="inlineStr">
        <is>
          <t>Intersection/Interchange Improvements</t>
        </is>
      </c>
      <c r="D103" t="inlineStr">
        <is>
          <t>Glenview</t>
        </is>
      </c>
      <c r="E103" s="5">
        <f>SUMIFS(Exploded_Detail_Relevant!$G$2:$G$491,Exploded_Detail_Relevant!$A$2:$A$491,$A103,Exploded_Detail_Relevant!$B$2:$B$491,$B103,Exploded_Detail_Relevant!$E$2:$E$491,$C103,Exploded_Detail_Relevant!$F$2:$F$491,$D103)</f>
        <v/>
      </c>
      <c r="F103">
        <f>COUNTIFS(Exploded_Detail_Relevant!$A$2:$A$491,$A103,Exploded_Detail_Relevant!$B$2:$B$491,$B103,Exploded_Detail_Relevant!$E$2:$E$491,$C103,Exploded_Detail_Relevant!$F$2:$F$491,$D103)</f>
        <v/>
      </c>
    </row>
    <row r="104">
      <c r="A104" t="inlineStr">
        <is>
          <t>FFY2025</t>
        </is>
      </c>
      <c r="B104" t="inlineStr">
        <is>
          <t>AC Authorization</t>
        </is>
      </c>
      <c r="C104" t="inlineStr">
        <is>
          <t>Road Maintenance</t>
        </is>
      </c>
      <c r="D104" t="inlineStr">
        <is>
          <t>Glenview</t>
        </is>
      </c>
      <c r="E104" s="5">
        <f>SUMIFS(Exploded_Detail_Relevant!$G$2:$G$491,Exploded_Detail_Relevant!$A$2:$A$491,$A104,Exploded_Detail_Relevant!$B$2:$B$491,$B104,Exploded_Detail_Relevant!$E$2:$E$491,$C104,Exploded_Detail_Relevant!$F$2:$F$491,$D104)</f>
        <v/>
      </c>
      <c r="F104">
        <f>COUNTIFS(Exploded_Detail_Relevant!$A$2:$A$491,$A104,Exploded_Detail_Relevant!$B$2:$B$491,$B104,Exploded_Detail_Relevant!$E$2:$E$491,$C104,Exploded_Detail_Relevant!$F$2:$F$491,$D104)</f>
        <v/>
      </c>
    </row>
    <row r="105">
      <c r="A105" t="inlineStr">
        <is>
          <t>FFY2025</t>
        </is>
      </c>
      <c r="B105" t="inlineStr">
        <is>
          <t>AC Authorization</t>
        </is>
      </c>
      <c r="C105" t="inlineStr">
        <is>
          <t>Road Maintenance</t>
        </is>
      </c>
      <c r="D105" t="inlineStr">
        <is>
          <t>Glenwood</t>
        </is>
      </c>
      <c r="E105" s="5">
        <f>SUMIFS(Exploded_Detail_Relevant!$G$2:$G$491,Exploded_Detail_Relevant!$A$2:$A$491,$A105,Exploded_Detail_Relevant!$B$2:$B$491,$B105,Exploded_Detail_Relevant!$E$2:$E$491,$C105,Exploded_Detail_Relevant!$F$2:$F$491,$D105)</f>
        <v/>
      </c>
      <c r="F105">
        <f>COUNTIFS(Exploded_Detail_Relevant!$A$2:$A$491,$A105,Exploded_Detail_Relevant!$B$2:$B$491,$B105,Exploded_Detail_Relevant!$E$2:$E$491,$C105,Exploded_Detail_Relevant!$F$2:$F$491,$D105)</f>
        <v/>
      </c>
    </row>
    <row r="106">
      <c r="A106" t="inlineStr">
        <is>
          <t>FFY2025</t>
        </is>
      </c>
      <c r="B106" t="inlineStr">
        <is>
          <t>FHWA Obligation</t>
        </is>
      </c>
      <c r="C106" t="inlineStr">
        <is>
          <t>Road Maintenance</t>
        </is>
      </c>
      <c r="D106" t="inlineStr">
        <is>
          <t>Harvey</t>
        </is>
      </c>
      <c r="E106" s="5">
        <f>SUMIFS(Exploded_Detail_Relevant!$G$2:$G$491,Exploded_Detail_Relevant!$A$2:$A$491,$A106,Exploded_Detail_Relevant!$B$2:$B$491,$B106,Exploded_Detail_Relevant!$E$2:$E$491,$C106,Exploded_Detail_Relevant!$F$2:$F$491,$D106)</f>
        <v/>
      </c>
      <c r="F106">
        <f>COUNTIFS(Exploded_Detail_Relevant!$A$2:$A$491,$A106,Exploded_Detail_Relevant!$B$2:$B$491,$B106,Exploded_Detail_Relevant!$E$2:$E$491,$C106,Exploded_Detail_Relevant!$F$2:$F$491,$D106)</f>
        <v/>
      </c>
    </row>
    <row r="107">
      <c r="A107" t="inlineStr">
        <is>
          <t>FFY2025</t>
        </is>
      </c>
      <c r="B107" t="inlineStr">
        <is>
          <t>AC Authorization</t>
        </is>
      </c>
      <c r="C107" t="inlineStr">
        <is>
          <t>Intersection/Interchange Improvements</t>
        </is>
      </c>
      <c r="D107" t="inlineStr">
        <is>
          <t>Hazel Crest</t>
        </is>
      </c>
      <c r="E107" s="5">
        <f>SUMIFS(Exploded_Detail_Relevant!$G$2:$G$491,Exploded_Detail_Relevant!$A$2:$A$491,$A107,Exploded_Detail_Relevant!$B$2:$B$491,$B107,Exploded_Detail_Relevant!$E$2:$E$491,$C107,Exploded_Detail_Relevant!$F$2:$F$491,$D107)</f>
        <v/>
      </c>
      <c r="F107">
        <f>COUNTIFS(Exploded_Detail_Relevant!$A$2:$A$491,$A107,Exploded_Detail_Relevant!$B$2:$B$491,$B107,Exploded_Detail_Relevant!$E$2:$E$491,$C107,Exploded_Detail_Relevant!$F$2:$F$491,$D107)</f>
        <v/>
      </c>
    </row>
    <row r="108">
      <c r="A108" t="inlineStr">
        <is>
          <t>FFY2025</t>
        </is>
      </c>
      <c r="B108" t="inlineStr">
        <is>
          <t>FHWA Obligation</t>
        </is>
      </c>
      <c r="C108" t="inlineStr">
        <is>
          <t>Road Maintenance</t>
        </is>
      </c>
      <c r="D108" t="inlineStr">
        <is>
          <t>Hazel Crest</t>
        </is>
      </c>
      <c r="E108" s="5">
        <f>SUMIFS(Exploded_Detail_Relevant!$G$2:$G$491,Exploded_Detail_Relevant!$A$2:$A$491,$A108,Exploded_Detail_Relevant!$B$2:$B$491,$B108,Exploded_Detail_Relevant!$E$2:$E$491,$C108,Exploded_Detail_Relevant!$F$2:$F$491,$D108)</f>
        <v/>
      </c>
      <c r="F108">
        <f>COUNTIFS(Exploded_Detail_Relevant!$A$2:$A$491,$A108,Exploded_Detail_Relevant!$B$2:$B$491,$B108,Exploded_Detail_Relevant!$E$2:$E$491,$C108,Exploded_Detail_Relevant!$F$2:$F$491,$D108)</f>
        <v/>
      </c>
    </row>
    <row r="109">
      <c r="A109" t="inlineStr">
        <is>
          <t>FFY2025</t>
        </is>
      </c>
      <c r="B109" t="inlineStr">
        <is>
          <t>AC Authorization</t>
        </is>
      </c>
      <c r="C109" t="inlineStr">
        <is>
          <t>Intersection/Interchange Improvements</t>
        </is>
      </c>
      <c r="D109" t="inlineStr">
        <is>
          <t>Hillside</t>
        </is>
      </c>
      <c r="E109" s="5">
        <f>SUMIFS(Exploded_Detail_Relevant!$G$2:$G$491,Exploded_Detail_Relevant!$A$2:$A$491,$A109,Exploded_Detail_Relevant!$B$2:$B$491,$B109,Exploded_Detail_Relevant!$E$2:$E$491,$C109,Exploded_Detail_Relevant!$F$2:$F$491,$D109)</f>
        <v/>
      </c>
      <c r="F109">
        <f>COUNTIFS(Exploded_Detail_Relevant!$A$2:$A$491,$A109,Exploded_Detail_Relevant!$B$2:$B$491,$B109,Exploded_Detail_Relevant!$E$2:$E$491,$C109,Exploded_Detail_Relevant!$F$2:$F$491,$D109)</f>
        <v/>
      </c>
    </row>
    <row r="110">
      <c r="A110" t="inlineStr">
        <is>
          <t>FFY2025</t>
        </is>
      </c>
      <c r="B110" t="inlineStr">
        <is>
          <t>FHWA Obligation</t>
        </is>
      </c>
      <c r="C110" t="inlineStr">
        <is>
          <t>Road Expansion</t>
        </is>
      </c>
      <c r="D110" t="inlineStr">
        <is>
          <t>Hillside</t>
        </is>
      </c>
      <c r="E110" s="5">
        <f>SUMIFS(Exploded_Detail_Relevant!$G$2:$G$491,Exploded_Detail_Relevant!$A$2:$A$491,$A110,Exploded_Detail_Relevant!$B$2:$B$491,$B110,Exploded_Detail_Relevant!$E$2:$E$491,$C110,Exploded_Detail_Relevant!$F$2:$F$491,$D110)</f>
        <v/>
      </c>
      <c r="F110">
        <f>COUNTIFS(Exploded_Detail_Relevant!$A$2:$A$491,$A110,Exploded_Detail_Relevant!$B$2:$B$491,$B110,Exploded_Detail_Relevant!$E$2:$E$491,$C110,Exploded_Detail_Relevant!$F$2:$F$491,$D110)</f>
        <v/>
      </c>
    </row>
    <row r="111">
      <c r="A111" t="inlineStr">
        <is>
          <t>FFY2025</t>
        </is>
      </c>
      <c r="B111" t="inlineStr">
        <is>
          <t>FHWA Obligation</t>
        </is>
      </c>
      <c r="C111" t="inlineStr">
        <is>
          <t>Bicycle &amp; Pedestrian</t>
        </is>
      </c>
      <c r="D111" t="inlineStr">
        <is>
          <t>Hoffman Estates</t>
        </is>
      </c>
      <c r="E111" s="5">
        <f>SUMIFS(Exploded_Detail_Relevant!$G$2:$G$491,Exploded_Detail_Relevant!$A$2:$A$491,$A111,Exploded_Detail_Relevant!$B$2:$B$491,$B111,Exploded_Detail_Relevant!$E$2:$E$491,$C111,Exploded_Detail_Relevant!$F$2:$F$491,$D111)</f>
        <v/>
      </c>
      <c r="F111">
        <f>COUNTIFS(Exploded_Detail_Relevant!$A$2:$A$491,$A111,Exploded_Detail_Relevant!$B$2:$B$491,$B111,Exploded_Detail_Relevant!$E$2:$E$491,$C111,Exploded_Detail_Relevant!$F$2:$F$491,$D111)</f>
        <v/>
      </c>
    </row>
    <row r="112">
      <c r="A112" t="inlineStr">
        <is>
          <t>FFY2025</t>
        </is>
      </c>
      <c r="B112" t="inlineStr">
        <is>
          <t>AC Authorization</t>
        </is>
      </c>
      <c r="C112" t="inlineStr">
        <is>
          <t>Road Maintenance</t>
        </is>
      </c>
      <c r="D112" t="inlineStr">
        <is>
          <t>Hoffman Estates</t>
        </is>
      </c>
      <c r="E112" s="5">
        <f>SUMIFS(Exploded_Detail_Relevant!$G$2:$G$491,Exploded_Detail_Relevant!$A$2:$A$491,$A112,Exploded_Detail_Relevant!$B$2:$B$491,$B112,Exploded_Detail_Relevant!$E$2:$E$491,$C112,Exploded_Detail_Relevant!$F$2:$F$491,$D112)</f>
        <v/>
      </c>
      <c r="F112">
        <f>COUNTIFS(Exploded_Detail_Relevant!$A$2:$A$491,$A112,Exploded_Detail_Relevant!$B$2:$B$491,$B112,Exploded_Detail_Relevant!$E$2:$E$491,$C112,Exploded_Detail_Relevant!$F$2:$F$491,$D112)</f>
        <v/>
      </c>
    </row>
    <row r="113">
      <c r="A113" t="inlineStr">
        <is>
          <t>FFY2025</t>
        </is>
      </c>
      <c r="B113" t="inlineStr">
        <is>
          <t>FHWA Obligation</t>
        </is>
      </c>
      <c r="C113" t="inlineStr">
        <is>
          <t>Road Maintenance</t>
        </is>
      </c>
      <c r="D113" t="inlineStr">
        <is>
          <t>Hoffman Estates</t>
        </is>
      </c>
      <c r="E113" s="5">
        <f>SUMIFS(Exploded_Detail_Relevant!$G$2:$G$491,Exploded_Detail_Relevant!$A$2:$A$491,$A113,Exploded_Detail_Relevant!$B$2:$B$491,$B113,Exploded_Detail_Relevant!$E$2:$E$491,$C113,Exploded_Detail_Relevant!$F$2:$F$491,$D113)</f>
        <v/>
      </c>
      <c r="F113">
        <f>COUNTIFS(Exploded_Detail_Relevant!$A$2:$A$491,$A113,Exploded_Detail_Relevant!$B$2:$B$491,$B113,Exploded_Detail_Relevant!$E$2:$E$491,$C113,Exploded_Detail_Relevant!$F$2:$F$491,$D113)</f>
        <v/>
      </c>
    </row>
    <row r="114">
      <c r="A114" t="inlineStr">
        <is>
          <t>FFY2025</t>
        </is>
      </c>
      <c r="B114" t="inlineStr">
        <is>
          <t>FHWA Obligation</t>
        </is>
      </c>
      <c r="C114" t="inlineStr">
        <is>
          <t>Road Modernization</t>
        </is>
      </c>
      <c r="D114" t="inlineStr">
        <is>
          <t>Hoffman Estates</t>
        </is>
      </c>
      <c r="E114" s="5">
        <f>SUMIFS(Exploded_Detail_Relevant!$G$2:$G$491,Exploded_Detail_Relevant!$A$2:$A$491,$A114,Exploded_Detail_Relevant!$B$2:$B$491,$B114,Exploded_Detail_Relevant!$E$2:$E$491,$C114,Exploded_Detail_Relevant!$F$2:$F$491,$D114)</f>
        <v/>
      </c>
      <c r="F114">
        <f>COUNTIFS(Exploded_Detail_Relevant!$A$2:$A$491,$A114,Exploded_Detail_Relevant!$B$2:$B$491,$B114,Exploded_Detail_Relevant!$E$2:$E$491,$C114,Exploded_Detail_Relevant!$F$2:$F$491,$D114)</f>
        <v/>
      </c>
    </row>
    <row r="115">
      <c r="A115" t="inlineStr">
        <is>
          <t>FFY2025</t>
        </is>
      </c>
      <c r="B115" t="inlineStr">
        <is>
          <t>AC Authorization</t>
        </is>
      </c>
      <c r="C115" t="inlineStr">
        <is>
          <t>Intersection/Interchange Improvements</t>
        </is>
      </c>
      <c r="D115" t="inlineStr">
        <is>
          <t>Homewood</t>
        </is>
      </c>
      <c r="E115" s="5">
        <f>SUMIFS(Exploded_Detail_Relevant!$G$2:$G$491,Exploded_Detail_Relevant!$A$2:$A$491,$A115,Exploded_Detail_Relevant!$B$2:$B$491,$B115,Exploded_Detail_Relevant!$E$2:$E$491,$C115,Exploded_Detail_Relevant!$F$2:$F$491,$D115)</f>
        <v/>
      </c>
      <c r="F115">
        <f>COUNTIFS(Exploded_Detail_Relevant!$A$2:$A$491,$A115,Exploded_Detail_Relevant!$B$2:$B$491,$B115,Exploded_Detail_Relevant!$E$2:$E$491,$C115,Exploded_Detail_Relevant!$F$2:$F$491,$D115)</f>
        <v/>
      </c>
    </row>
    <row r="116">
      <c r="A116" t="inlineStr">
        <is>
          <t>FFY2025</t>
        </is>
      </c>
      <c r="B116" t="inlineStr">
        <is>
          <t>AC Authorization</t>
        </is>
      </c>
      <c r="C116" t="inlineStr">
        <is>
          <t>Road Maintenance</t>
        </is>
      </c>
      <c r="D116" t="inlineStr">
        <is>
          <t>Homewood</t>
        </is>
      </c>
      <c r="E116" s="5">
        <f>SUMIFS(Exploded_Detail_Relevant!$G$2:$G$491,Exploded_Detail_Relevant!$A$2:$A$491,$A116,Exploded_Detail_Relevant!$B$2:$B$491,$B116,Exploded_Detail_Relevant!$E$2:$E$491,$C116,Exploded_Detail_Relevant!$F$2:$F$491,$D116)</f>
        <v/>
      </c>
      <c r="F116">
        <f>COUNTIFS(Exploded_Detail_Relevant!$A$2:$A$491,$A116,Exploded_Detail_Relevant!$B$2:$B$491,$B116,Exploded_Detail_Relevant!$E$2:$E$491,$C116,Exploded_Detail_Relevant!$F$2:$F$491,$D116)</f>
        <v/>
      </c>
    </row>
    <row r="117">
      <c r="A117" t="inlineStr">
        <is>
          <t>FFY2025</t>
        </is>
      </c>
      <c r="B117" t="inlineStr">
        <is>
          <t>FHWA Obligation</t>
        </is>
      </c>
      <c r="C117" t="inlineStr">
        <is>
          <t>Road Maintenance</t>
        </is>
      </c>
      <c r="D117" t="inlineStr">
        <is>
          <t>Indian Head Park</t>
        </is>
      </c>
      <c r="E117" s="5">
        <f>SUMIFS(Exploded_Detail_Relevant!$G$2:$G$491,Exploded_Detail_Relevant!$A$2:$A$491,$A117,Exploded_Detail_Relevant!$B$2:$B$491,$B117,Exploded_Detail_Relevant!$E$2:$E$491,$C117,Exploded_Detail_Relevant!$F$2:$F$491,$D117)</f>
        <v/>
      </c>
      <c r="F117">
        <f>COUNTIFS(Exploded_Detail_Relevant!$A$2:$A$491,$A117,Exploded_Detail_Relevant!$B$2:$B$491,$B117,Exploded_Detail_Relevant!$E$2:$E$491,$C117,Exploded_Detail_Relevant!$F$2:$F$491,$D117)</f>
        <v/>
      </c>
    </row>
    <row r="118">
      <c r="A118" t="inlineStr">
        <is>
          <t>FFY2025</t>
        </is>
      </c>
      <c r="B118" t="inlineStr">
        <is>
          <t>FHWA Obligation</t>
        </is>
      </c>
      <c r="C118" t="inlineStr">
        <is>
          <t>New/Expanded Interchange</t>
        </is>
      </c>
      <c r="D118" t="inlineStr">
        <is>
          <t>Justice</t>
        </is>
      </c>
      <c r="E118" s="5">
        <f>SUMIFS(Exploded_Detail_Relevant!$G$2:$G$491,Exploded_Detail_Relevant!$A$2:$A$491,$A118,Exploded_Detail_Relevant!$B$2:$B$491,$B118,Exploded_Detail_Relevant!$E$2:$E$491,$C118,Exploded_Detail_Relevant!$F$2:$F$491,$D118)</f>
        <v/>
      </c>
      <c r="F118">
        <f>COUNTIFS(Exploded_Detail_Relevant!$A$2:$A$491,$A118,Exploded_Detail_Relevant!$B$2:$B$491,$B118,Exploded_Detail_Relevant!$E$2:$E$491,$C118,Exploded_Detail_Relevant!$F$2:$F$491,$D118)</f>
        <v/>
      </c>
    </row>
    <row r="119">
      <c r="A119" t="inlineStr">
        <is>
          <t>FFY2025</t>
        </is>
      </c>
      <c r="B119" t="inlineStr">
        <is>
          <t>AC Authorization</t>
        </is>
      </c>
      <c r="C119" t="inlineStr">
        <is>
          <t>Road Maintenance</t>
        </is>
      </c>
      <c r="D119" t="inlineStr">
        <is>
          <t>Kenilworth</t>
        </is>
      </c>
      <c r="E119" s="5">
        <f>SUMIFS(Exploded_Detail_Relevant!$G$2:$G$491,Exploded_Detail_Relevant!$A$2:$A$491,$A119,Exploded_Detail_Relevant!$B$2:$B$491,$B119,Exploded_Detail_Relevant!$E$2:$E$491,$C119,Exploded_Detail_Relevant!$F$2:$F$491,$D119)</f>
        <v/>
      </c>
      <c r="F119">
        <f>COUNTIFS(Exploded_Detail_Relevant!$A$2:$A$491,$A119,Exploded_Detail_Relevant!$B$2:$B$491,$B119,Exploded_Detail_Relevant!$E$2:$E$491,$C119,Exploded_Detail_Relevant!$F$2:$F$491,$D119)</f>
        <v/>
      </c>
    </row>
    <row r="120">
      <c r="A120" t="inlineStr">
        <is>
          <t>FFY2025</t>
        </is>
      </c>
      <c r="B120" t="inlineStr">
        <is>
          <t>FHWA Obligation</t>
        </is>
      </c>
      <c r="C120" t="inlineStr">
        <is>
          <t>Bridge Repair, Rehab, or Replace</t>
        </is>
      </c>
      <c r="D120" t="inlineStr">
        <is>
          <t>La Grange</t>
        </is>
      </c>
      <c r="E120" s="5">
        <f>SUMIFS(Exploded_Detail_Relevant!$G$2:$G$491,Exploded_Detail_Relevant!$A$2:$A$491,$A120,Exploded_Detail_Relevant!$B$2:$B$491,$B120,Exploded_Detail_Relevant!$E$2:$E$491,$C120,Exploded_Detail_Relevant!$F$2:$F$491,$D120)</f>
        <v/>
      </c>
      <c r="F120">
        <f>COUNTIFS(Exploded_Detail_Relevant!$A$2:$A$491,$A120,Exploded_Detail_Relevant!$B$2:$B$491,$B120,Exploded_Detail_Relevant!$E$2:$E$491,$C120,Exploded_Detail_Relevant!$F$2:$F$491,$D120)</f>
        <v/>
      </c>
    </row>
    <row r="121">
      <c r="A121" t="inlineStr">
        <is>
          <t>FFY2025</t>
        </is>
      </c>
      <c r="B121" t="inlineStr">
        <is>
          <t>AC Authorization</t>
        </is>
      </c>
      <c r="C121" t="inlineStr">
        <is>
          <t>Road Maintenance</t>
        </is>
      </c>
      <c r="D121" t="inlineStr">
        <is>
          <t>Lansing</t>
        </is>
      </c>
      <c r="E121" s="5">
        <f>SUMIFS(Exploded_Detail_Relevant!$G$2:$G$491,Exploded_Detail_Relevant!$A$2:$A$491,$A121,Exploded_Detail_Relevant!$B$2:$B$491,$B121,Exploded_Detail_Relevant!$E$2:$E$491,$C121,Exploded_Detail_Relevant!$F$2:$F$491,$D121)</f>
        <v/>
      </c>
      <c r="F121">
        <f>COUNTIFS(Exploded_Detail_Relevant!$A$2:$A$491,$A121,Exploded_Detail_Relevant!$B$2:$B$491,$B121,Exploded_Detail_Relevant!$E$2:$E$491,$C121,Exploded_Detail_Relevant!$F$2:$F$491,$D121)</f>
        <v/>
      </c>
    </row>
    <row r="122">
      <c r="A122" t="inlineStr">
        <is>
          <t>FFY2025</t>
        </is>
      </c>
      <c r="B122" t="inlineStr">
        <is>
          <t>FHWA Obligation</t>
        </is>
      </c>
      <c r="C122" t="inlineStr">
        <is>
          <t>Road Maintenance</t>
        </is>
      </c>
      <c r="D122" t="inlineStr">
        <is>
          <t>Lansing</t>
        </is>
      </c>
      <c r="E122" s="5">
        <f>SUMIFS(Exploded_Detail_Relevant!$G$2:$G$491,Exploded_Detail_Relevant!$A$2:$A$491,$A122,Exploded_Detail_Relevant!$B$2:$B$491,$B122,Exploded_Detail_Relevant!$E$2:$E$491,$C122,Exploded_Detail_Relevant!$F$2:$F$491,$D122)</f>
        <v/>
      </c>
      <c r="F122">
        <f>COUNTIFS(Exploded_Detail_Relevant!$A$2:$A$491,$A122,Exploded_Detail_Relevant!$B$2:$B$491,$B122,Exploded_Detail_Relevant!$E$2:$E$491,$C122,Exploded_Detail_Relevant!$F$2:$F$491,$D122)</f>
        <v/>
      </c>
    </row>
    <row r="123">
      <c r="A123" t="inlineStr">
        <is>
          <t>FFY2025</t>
        </is>
      </c>
      <c r="B123" t="inlineStr">
        <is>
          <t>AC Authorization</t>
        </is>
      </c>
      <c r="C123" t="inlineStr">
        <is>
          <t>Road Maintenance</t>
        </is>
      </c>
      <c r="D123" t="inlineStr">
        <is>
          <t>Lemont</t>
        </is>
      </c>
      <c r="E123" s="5">
        <f>SUMIFS(Exploded_Detail_Relevant!$G$2:$G$491,Exploded_Detail_Relevant!$A$2:$A$491,$A123,Exploded_Detail_Relevant!$B$2:$B$491,$B123,Exploded_Detail_Relevant!$E$2:$E$491,$C123,Exploded_Detail_Relevant!$F$2:$F$491,$D123)</f>
        <v/>
      </c>
      <c r="F123">
        <f>COUNTIFS(Exploded_Detail_Relevant!$A$2:$A$491,$A123,Exploded_Detail_Relevant!$B$2:$B$491,$B123,Exploded_Detail_Relevant!$E$2:$E$491,$C123,Exploded_Detail_Relevant!$F$2:$F$491,$D123)</f>
        <v/>
      </c>
    </row>
    <row r="124">
      <c r="A124" t="inlineStr">
        <is>
          <t>FFY2025</t>
        </is>
      </c>
      <c r="B124" t="inlineStr">
        <is>
          <t>FHWA Obligation</t>
        </is>
      </c>
      <c r="C124" t="inlineStr">
        <is>
          <t>Intelligent Transportation Systems</t>
        </is>
      </c>
      <c r="D124" t="inlineStr">
        <is>
          <t>Lincolnwood</t>
        </is>
      </c>
      <c r="E124" s="5">
        <f>SUMIFS(Exploded_Detail_Relevant!$G$2:$G$491,Exploded_Detail_Relevant!$A$2:$A$491,$A124,Exploded_Detail_Relevant!$B$2:$B$491,$B124,Exploded_Detail_Relevant!$E$2:$E$491,$C124,Exploded_Detail_Relevant!$F$2:$F$491,$D124)</f>
        <v/>
      </c>
      <c r="F124">
        <f>COUNTIFS(Exploded_Detail_Relevant!$A$2:$A$491,$A124,Exploded_Detail_Relevant!$B$2:$B$491,$B124,Exploded_Detail_Relevant!$E$2:$E$491,$C124,Exploded_Detail_Relevant!$F$2:$F$491,$D124)</f>
        <v/>
      </c>
    </row>
    <row r="125">
      <c r="A125" t="inlineStr">
        <is>
          <t>FFY2025</t>
        </is>
      </c>
      <c r="B125" t="inlineStr">
        <is>
          <t>AC Authorization</t>
        </is>
      </c>
      <c r="C125" t="inlineStr">
        <is>
          <t>Road Maintenance</t>
        </is>
      </c>
      <c r="D125" t="inlineStr">
        <is>
          <t>Lincolnwood</t>
        </is>
      </c>
      <c r="E125" s="5">
        <f>SUMIFS(Exploded_Detail_Relevant!$G$2:$G$491,Exploded_Detail_Relevant!$A$2:$A$491,$A125,Exploded_Detail_Relevant!$B$2:$B$491,$B125,Exploded_Detail_Relevant!$E$2:$E$491,$C125,Exploded_Detail_Relevant!$F$2:$F$491,$D125)</f>
        <v/>
      </c>
      <c r="F125">
        <f>COUNTIFS(Exploded_Detail_Relevant!$A$2:$A$491,$A125,Exploded_Detail_Relevant!$B$2:$B$491,$B125,Exploded_Detail_Relevant!$E$2:$E$491,$C125,Exploded_Detail_Relevant!$F$2:$F$491,$D125)</f>
        <v/>
      </c>
    </row>
    <row r="126">
      <c r="A126" t="inlineStr">
        <is>
          <t>FFY2025</t>
        </is>
      </c>
      <c r="B126" t="inlineStr">
        <is>
          <t>AC Authorization</t>
        </is>
      </c>
      <c r="C126" t="inlineStr">
        <is>
          <t>Road Modernization</t>
        </is>
      </c>
      <c r="D126" t="inlineStr">
        <is>
          <t>Lincolnwood</t>
        </is>
      </c>
      <c r="E126" s="5">
        <f>SUMIFS(Exploded_Detail_Relevant!$G$2:$G$491,Exploded_Detail_Relevant!$A$2:$A$491,$A126,Exploded_Detail_Relevant!$B$2:$B$491,$B126,Exploded_Detail_Relevant!$E$2:$E$491,$C126,Exploded_Detail_Relevant!$F$2:$F$491,$D126)</f>
        <v/>
      </c>
      <c r="F126">
        <f>COUNTIFS(Exploded_Detail_Relevant!$A$2:$A$491,$A126,Exploded_Detail_Relevant!$B$2:$B$491,$B126,Exploded_Detail_Relevant!$E$2:$E$491,$C126,Exploded_Detail_Relevant!$F$2:$F$491,$D126)</f>
        <v/>
      </c>
    </row>
    <row r="127">
      <c r="A127" t="inlineStr">
        <is>
          <t>FFY2025</t>
        </is>
      </c>
      <c r="B127" t="inlineStr">
        <is>
          <t>FHWA Obligation</t>
        </is>
      </c>
      <c r="C127" t="inlineStr">
        <is>
          <t>Safety</t>
        </is>
      </c>
      <c r="D127" t="inlineStr">
        <is>
          <t>Lincolnwood</t>
        </is>
      </c>
      <c r="E127" s="5">
        <f>SUMIFS(Exploded_Detail_Relevant!$G$2:$G$491,Exploded_Detail_Relevant!$A$2:$A$491,$A127,Exploded_Detail_Relevant!$B$2:$B$491,$B127,Exploded_Detail_Relevant!$E$2:$E$491,$C127,Exploded_Detail_Relevant!$F$2:$F$491,$D127)</f>
        <v/>
      </c>
      <c r="F127">
        <f>COUNTIFS(Exploded_Detail_Relevant!$A$2:$A$491,$A127,Exploded_Detail_Relevant!$B$2:$B$491,$B127,Exploded_Detail_Relevant!$E$2:$E$491,$C127,Exploded_Detail_Relevant!$F$2:$F$491,$D127)</f>
        <v/>
      </c>
    </row>
    <row r="128">
      <c r="A128" t="inlineStr">
        <is>
          <t>FFY2025</t>
        </is>
      </c>
      <c r="B128" t="inlineStr">
        <is>
          <t>FHWA Obligation</t>
        </is>
      </c>
      <c r="C128" t="inlineStr">
        <is>
          <t>Signal Systems</t>
        </is>
      </c>
      <c r="D128" t="inlineStr">
        <is>
          <t>Lincolnwood</t>
        </is>
      </c>
      <c r="E128" s="5">
        <f>SUMIFS(Exploded_Detail_Relevant!$G$2:$G$491,Exploded_Detail_Relevant!$A$2:$A$491,$A128,Exploded_Detail_Relevant!$B$2:$B$491,$B128,Exploded_Detail_Relevant!$E$2:$E$491,$C128,Exploded_Detail_Relevant!$F$2:$F$491,$D128)</f>
        <v/>
      </c>
      <c r="F128">
        <f>COUNTIFS(Exploded_Detail_Relevant!$A$2:$A$491,$A128,Exploded_Detail_Relevant!$B$2:$B$491,$B128,Exploded_Detail_Relevant!$E$2:$E$491,$C128,Exploded_Detail_Relevant!$F$2:$F$491,$D128)</f>
        <v/>
      </c>
    </row>
    <row r="129">
      <c r="A129" t="inlineStr">
        <is>
          <t>FFY2025</t>
        </is>
      </c>
      <c r="B129" t="inlineStr">
        <is>
          <t>AC Authorization</t>
        </is>
      </c>
      <c r="C129" t="inlineStr">
        <is>
          <t>Intersection/Interchange Improvements</t>
        </is>
      </c>
      <c r="D129" t="inlineStr">
        <is>
          <t>Lynwood</t>
        </is>
      </c>
      <c r="E129" s="5">
        <f>SUMIFS(Exploded_Detail_Relevant!$G$2:$G$491,Exploded_Detail_Relevant!$A$2:$A$491,$A129,Exploded_Detail_Relevant!$B$2:$B$491,$B129,Exploded_Detail_Relevant!$E$2:$E$491,$C129,Exploded_Detail_Relevant!$F$2:$F$491,$D129)</f>
        <v/>
      </c>
      <c r="F129">
        <f>COUNTIFS(Exploded_Detail_Relevant!$A$2:$A$491,$A129,Exploded_Detail_Relevant!$B$2:$B$491,$B129,Exploded_Detail_Relevant!$E$2:$E$491,$C129,Exploded_Detail_Relevant!$F$2:$F$491,$D129)</f>
        <v/>
      </c>
    </row>
    <row r="130">
      <c r="A130" t="inlineStr">
        <is>
          <t>FFY2025</t>
        </is>
      </c>
      <c r="B130" t="inlineStr">
        <is>
          <t>AC Authorization</t>
        </is>
      </c>
      <c r="C130" t="inlineStr">
        <is>
          <t>Road Maintenance</t>
        </is>
      </c>
      <c r="D130" t="inlineStr">
        <is>
          <t>Lyons</t>
        </is>
      </c>
      <c r="E130" s="5">
        <f>SUMIFS(Exploded_Detail_Relevant!$G$2:$G$491,Exploded_Detail_Relevant!$A$2:$A$491,$A130,Exploded_Detail_Relevant!$B$2:$B$491,$B130,Exploded_Detail_Relevant!$E$2:$E$491,$C130,Exploded_Detail_Relevant!$F$2:$F$491,$D130)</f>
        <v/>
      </c>
      <c r="F130">
        <f>COUNTIFS(Exploded_Detail_Relevant!$A$2:$A$491,$A130,Exploded_Detail_Relevant!$B$2:$B$491,$B130,Exploded_Detail_Relevant!$E$2:$E$491,$C130,Exploded_Detail_Relevant!$F$2:$F$491,$D130)</f>
        <v/>
      </c>
    </row>
    <row r="131">
      <c r="A131" t="inlineStr">
        <is>
          <t>FFY2025</t>
        </is>
      </c>
      <c r="B131" t="inlineStr">
        <is>
          <t>FHWA Obligation</t>
        </is>
      </c>
      <c r="C131" t="inlineStr">
        <is>
          <t>Road Maintenance</t>
        </is>
      </c>
      <c r="D131" t="inlineStr">
        <is>
          <t>Lyons</t>
        </is>
      </c>
      <c r="E131" s="5">
        <f>SUMIFS(Exploded_Detail_Relevant!$G$2:$G$491,Exploded_Detail_Relevant!$A$2:$A$491,$A131,Exploded_Detail_Relevant!$B$2:$B$491,$B131,Exploded_Detail_Relevant!$E$2:$E$491,$C131,Exploded_Detail_Relevant!$F$2:$F$491,$D131)</f>
        <v/>
      </c>
      <c r="F131">
        <f>COUNTIFS(Exploded_Detail_Relevant!$A$2:$A$491,$A131,Exploded_Detail_Relevant!$B$2:$B$491,$B131,Exploded_Detail_Relevant!$E$2:$E$491,$C131,Exploded_Detail_Relevant!$F$2:$F$491,$D131)</f>
        <v/>
      </c>
    </row>
    <row r="132">
      <c r="A132" t="inlineStr">
        <is>
          <t>FFY2025</t>
        </is>
      </c>
      <c r="B132" t="inlineStr">
        <is>
          <t>FHWA Obligation</t>
        </is>
      </c>
      <c r="C132" t="inlineStr">
        <is>
          <t>Road Maintenance</t>
        </is>
      </c>
      <c r="D132" t="inlineStr">
        <is>
          <t>Matteson</t>
        </is>
      </c>
      <c r="E132" s="5">
        <f>SUMIFS(Exploded_Detail_Relevant!$G$2:$G$491,Exploded_Detail_Relevant!$A$2:$A$491,$A132,Exploded_Detail_Relevant!$B$2:$B$491,$B132,Exploded_Detail_Relevant!$E$2:$E$491,$C132,Exploded_Detail_Relevant!$F$2:$F$491,$D132)</f>
        <v/>
      </c>
      <c r="F132">
        <f>COUNTIFS(Exploded_Detail_Relevant!$A$2:$A$491,$A132,Exploded_Detail_Relevant!$B$2:$B$491,$B132,Exploded_Detail_Relevant!$E$2:$E$491,$C132,Exploded_Detail_Relevant!$F$2:$F$491,$D132)</f>
        <v/>
      </c>
    </row>
    <row r="133">
      <c r="A133" t="inlineStr">
        <is>
          <t>FFY2025</t>
        </is>
      </c>
      <c r="B133" t="inlineStr">
        <is>
          <t>AC Authorization</t>
        </is>
      </c>
      <c r="C133" t="inlineStr">
        <is>
          <t>Bicycle &amp; Pedestrian</t>
        </is>
      </c>
      <c r="D133" t="inlineStr">
        <is>
          <t>Maywood</t>
        </is>
      </c>
      <c r="E133" s="5">
        <f>SUMIFS(Exploded_Detail_Relevant!$G$2:$G$491,Exploded_Detail_Relevant!$A$2:$A$491,$A133,Exploded_Detail_Relevant!$B$2:$B$491,$B133,Exploded_Detail_Relevant!$E$2:$E$491,$C133,Exploded_Detail_Relevant!$F$2:$F$491,$D133)</f>
        <v/>
      </c>
      <c r="F133">
        <f>COUNTIFS(Exploded_Detail_Relevant!$A$2:$A$491,$A133,Exploded_Detail_Relevant!$B$2:$B$491,$B133,Exploded_Detail_Relevant!$E$2:$E$491,$C133,Exploded_Detail_Relevant!$F$2:$F$491,$D133)</f>
        <v/>
      </c>
    </row>
    <row r="134">
      <c r="A134" t="inlineStr">
        <is>
          <t>FFY2025</t>
        </is>
      </c>
      <c r="B134" t="inlineStr">
        <is>
          <t>FHWA Obligation</t>
        </is>
      </c>
      <c r="C134" t="inlineStr">
        <is>
          <t>Road Expansion</t>
        </is>
      </c>
      <c r="D134" t="inlineStr">
        <is>
          <t>Maywood</t>
        </is>
      </c>
      <c r="E134" s="5">
        <f>SUMIFS(Exploded_Detail_Relevant!$G$2:$G$491,Exploded_Detail_Relevant!$A$2:$A$491,$A134,Exploded_Detail_Relevant!$B$2:$B$491,$B134,Exploded_Detail_Relevant!$E$2:$E$491,$C134,Exploded_Detail_Relevant!$F$2:$F$491,$D134)</f>
        <v/>
      </c>
      <c r="F134">
        <f>COUNTIFS(Exploded_Detail_Relevant!$A$2:$A$491,$A134,Exploded_Detail_Relevant!$B$2:$B$491,$B134,Exploded_Detail_Relevant!$E$2:$E$491,$C134,Exploded_Detail_Relevant!$F$2:$F$491,$D134)</f>
        <v/>
      </c>
    </row>
    <row r="135">
      <c r="A135" t="inlineStr">
        <is>
          <t>FFY2025</t>
        </is>
      </c>
      <c r="B135" t="inlineStr">
        <is>
          <t>AC Authorization</t>
        </is>
      </c>
      <c r="C135" t="inlineStr">
        <is>
          <t>Road Maintenance</t>
        </is>
      </c>
      <c r="D135" t="inlineStr">
        <is>
          <t>Maywood</t>
        </is>
      </c>
      <c r="E135" s="5">
        <f>SUMIFS(Exploded_Detail_Relevant!$G$2:$G$491,Exploded_Detail_Relevant!$A$2:$A$491,$A135,Exploded_Detail_Relevant!$B$2:$B$491,$B135,Exploded_Detail_Relevant!$E$2:$E$491,$C135,Exploded_Detail_Relevant!$F$2:$F$491,$D135)</f>
        <v/>
      </c>
      <c r="F135">
        <f>COUNTIFS(Exploded_Detail_Relevant!$A$2:$A$491,$A135,Exploded_Detail_Relevant!$B$2:$B$491,$B135,Exploded_Detail_Relevant!$E$2:$E$491,$C135,Exploded_Detail_Relevant!$F$2:$F$491,$D135)</f>
        <v/>
      </c>
    </row>
    <row r="136">
      <c r="A136" t="inlineStr">
        <is>
          <t>FFY2025</t>
        </is>
      </c>
      <c r="B136" t="inlineStr">
        <is>
          <t>FHWA Obligation</t>
        </is>
      </c>
      <c r="C136" t="inlineStr">
        <is>
          <t>Road Maintenance</t>
        </is>
      </c>
      <c r="D136" t="inlineStr">
        <is>
          <t>Maywood</t>
        </is>
      </c>
      <c r="E136" s="5">
        <f>SUMIFS(Exploded_Detail_Relevant!$G$2:$G$491,Exploded_Detail_Relevant!$A$2:$A$491,$A136,Exploded_Detail_Relevant!$B$2:$B$491,$B136,Exploded_Detail_Relevant!$E$2:$E$491,$C136,Exploded_Detail_Relevant!$F$2:$F$491,$D136)</f>
        <v/>
      </c>
      <c r="F136">
        <f>COUNTIFS(Exploded_Detail_Relevant!$A$2:$A$491,$A136,Exploded_Detail_Relevant!$B$2:$B$491,$B136,Exploded_Detail_Relevant!$E$2:$E$491,$C136,Exploded_Detail_Relevant!$F$2:$F$491,$D136)</f>
        <v/>
      </c>
    </row>
    <row r="137">
      <c r="A137" t="inlineStr">
        <is>
          <t>FFY2025</t>
        </is>
      </c>
      <c r="B137" t="inlineStr">
        <is>
          <t>AC Authorization</t>
        </is>
      </c>
      <c r="C137" t="inlineStr">
        <is>
          <t>Freight Movement</t>
        </is>
      </c>
      <c r="D137" t="inlineStr">
        <is>
          <t>McCook</t>
        </is>
      </c>
      <c r="E137" s="5">
        <f>SUMIFS(Exploded_Detail_Relevant!$G$2:$G$491,Exploded_Detail_Relevant!$A$2:$A$491,$A137,Exploded_Detail_Relevant!$B$2:$B$491,$B137,Exploded_Detail_Relevant!$E$2:$E$491,$C137,Exploded_Detail_Relevant!$F$2:$F$491,$D137)</f>
        <v/>
      </c>
      <c r="F137">
        <f>COUNTIFS(Exploded_Detail_Relevant!$A$2:$A$491,$A137,Exploded_Detail_Relevant!$B$2:$B$491,$B137,Exploded_Detail_Relevant!$E$2:$E$491,$C137,Exploded_Detail_Relevant!$F$2:$F$491,$D137)</f>
        <v/>
      </c>
    </row>
    <row r="138">
      <c r="A138" t="inlineStr">
        <is>
          <t>FFY2025</t>
        </is>
      </c>
      <c r="B138" t="inlineStr">
        <is>
          <t>AC Authorization</t>
        </is>
      </c>
      <c r="C138" t="inlineStr">
        <is>
          <t>Intersection/Interchange Improvements</t>
        </is>
      </c>
      <c r="D138" t="inlineStr">
        <is>
          <t>McCook</t>
        </is>
      </c>
      <c r="E138" s="5">
        <f>SUMIFS(Exploded_Detail_Relevant!$G$2:$G$491,Exploded_Detail_Relevant!$A$2:$A$491,$A138,Exploded_Detail_Relevant!$B$2:$B$491,$B138,Exploded_Detail_Relevant!$E$2:$E$491,$C138,Exploded_Detail_Relevant!$F$2:$F$491,$D138)</f>
        <v/>
      </c>
      <c r="F138">
        <f>COUNTIFS(Exploded_Detail_Relevant!$A$2:$A$491,$A138,Exploded_Detail_Relevant!$B$2:$B$491,$B138,Exploded_Detail_Relevant!$E$2:$E$491,$C138,Exploded_Detail_Relevant!$F$2:$F$491,$D138)</f>
        <v/>
      </c>
    </row>
    <row r="139">
      <c r="A139" t="inlineStr">
        <is>
          <t>FFY2025</t>
        </is>
      </c>
      <c r="B139" t="inlineStr">
        <is>
          <t>AC Authorization</t>
        </is>
      </c>
      <c r="C139" t="inlineStr">
        <is>
          <t>Road Maintenance</t>
        </is>
      </c>
      <c r="D139" t="inlineStr">
        <is>
          <t>McCook</t>
        </is>
      </c>
      <c r="E139" s="5">
        <f>SUMIFS(Exploded_Detail_Relevant!$G$2:$G$491,Exploded_Detail_Relevant!$A$2:$A$491,$A139,Exploded_Detail_Relevant!$B$2:$B$491,$B139,Exploded_Detail_Relevant!$E$2:$E$491,$C139,Exploded_Detail_Relevant!$F$2:$F$491,$D139)</f>
        <v/>
      </c>
      <c r="F139">
        <f>COUNTIFS(Exploded_Detail_Relevant!$A$2:$A$491,$A139,Exploded_Detail_Relevant!$B$2:$B$491,$B139,Exploded_Detail_Relevant!$E$2:$E$491,$C139,Exploded_Detail_Relevant!$F$2:$F$491,$D139)</f>
        <v/>
      </c>
    </row>
    <row r="140">
      <c r="A140" t="inlineStr">
        <is>
          <t>FFY2025</t>
        </is>
      </c>
      <c r="B140" t="inlineStr">
        <is>
          <t>FHWA Obligation</t>
        </is>
      </c>
      <c r="C140" t="inlineStr">
        <is>
          <t>Road Maintenance</t>
        </is>
      </c>
      <c r="D140" t="inlineStr">
        <is>
          <t>McCook</t>
        </is>
      </c>
      <c r="E140" s="5">
        <f>SUMIFS(Exploded_Detail_Relevant!$G$2:$G$491,Exploded_Detail_Relevant!$A$2:$A$491,$A140,Exploded_Detail_Relevant!$B$2:$B$491,$B140,Exploded_Detail_Relevant!$E$2:$E$491,$C140,Exploded_Detail_Relevant!$F$2:$F$491,$D140)</f>
        <v/>
      </c>
      <c r="F140">
        <f>COUNTIFS(Exploded_Detail_Relevant!$A$2:$A$491,$A140,Exploded_Detail_Relevant!$B$2:$B$491,$B140,Exploded_Detail_Relevant!$E$2:$E$491,$C140,Exploded_Detail_Relevant!$F$2:$F$491,$D140)</f>
        <v/>
      </c>
    </row>
    <row r="141">
      <c r="A141" t="inlineStr">
        <is>
          <t>FFY2025</t>
        </is>
      </c>
      <c r="B141" t="inlineStr">
        <is>
          <t>FHWA Obligation</t>
        </is>
      </c>
      <c r="C141" t="inlineStr">
        <is>
          <t>Transit Station/Stop Improvements</t>
        </is>
      </c>
      <c r="D141" t="inlineStr">
        <is>
          <t>McCook</t>
        </is>
      </c>
      <c r="E141" s="5">
        <f>SUMIFS(Exploded_Detail_Relevant!$G$2:$G$491,Exploded_Detail_Relevant!$A$2:$A$491,$A141,Exploded_Detail_Relevant!$B$2:$B$491,$B141,Exploded_Detail_Relevant!$E$2:$E$491,$C141,Exploded_Detail_Relevant!$F$2:$F$491,$D141)</f>
        <v/>
      </c>
      <c r="F141">
        <f>COUNTIFS(Exploded_Detail_Relevant!$A$2:$A$491,$A141,Exploded_Detail_Relevant!$B$2:$B$491,$B141,Exploded_Detail_Relevant!$E$2:$E$491,$C141,Exploded_Detail_Relevant!$F$2:$F$491,$D141)</f>
        <v/>
      </c>
    </row>
    <row r="142">
      <c r="A142" t="inlineStr">
        <is>
          <t>FFY2025</t>
        </is>
      </c>
      <c r="B142" t="inlineStr">
        <is>
          <t>FHWA Obligation</t>
        </is>
      </c>
      <c r="C142" t="inlineStr">
        <is>
          <t>Bridge Repair, Rehab, or Replace</t>
        </is>
      </c>
      <c r="D142" t="inlineStr">
        <is>
          <t>Melrose Park</t>
        </is>
      </c>
      <c r="E142" s="5">
        <f>SUMIFS(Exploded_Detail_Relevant!$G$2:$G$491,Exploded_Detail_Relevant!$A$2:$A$491,$A142,Exploded_Detail_Relevant!$B$2:$B$491,$B142,Exploded_Detail_Relevant!$E$2:$E$491,$C142,Exploded_Detail_Relevant!$F$2:$F$491,$D142)</f>
        <v/>
      </c>
      <c r="F142">
        <f>COUNTIFS(Exploded_Detail_Relevant!$A$2:$A$491,$A142,Exploded_Detail_Relevant!$B$2:$B$491,$B142,Exploded_Detail_Relevant!$E$2:$E$491,$C142,Exploded_Detail_Relevant!$F$2:$F$491,$D142)</f>
        <v/>
      </c>
    </row>
    <row r="143">
      <c r="A143" t="inlineStr">
        <is>
          <t>FFY2025</t>
        </is>
      </c>
      <c r="B143" t="inlineStr">
        <is>
          <t>AC Authorization</t>
        </is>
      </c>
      <c r="C143" t="inlineStr">
        <is>
          <t>Road Maintenance</t>
        </is>
      </c>
      <c r="D143" t="inlineStr">
        <is>
          <t>Melrose Park</t>
        </is>
      </c>
      <c r="E143" s="5">
        <f>SUMIFS(Exploded_Detail_Relevant!$G$2:$G$491,Exploded_Detail_Relevant!$A$2:$A$491,$A143,Exploded_Detail_Relevant!$B$2:$B$491,$B143,Exploded_Detail_Relevant!$E$2:$E$491,$C143,Exploded_Detail_Relevant!$F$2:$F$491,$D143)</f>
        <v/>
      </c>
      <c r="F143">
        <f>COUNTIFS(Exploded_Detail_Relevant!$A$2:$A$491,$A143,Exploded_Detail_Relevant!$B$2:$B$491,$B143,Exploded_Detail_Relevant!$E$2:$E$491,$C143,Exploded_Detail_Relevant!$F$2:$F$491,$D143)</f>
        <v/>
      </c>
    </row>
    <row r="144">
      <c r="A144" t="inlineStr">
        <is>
          <t>FFY2025</t>
        </is>
      </c>
      <c r="B144" t="inlineStr">
        <is>
          <t>FHWA Obligation</t>
        </is>
      </c>
      <c r="C144" t="inlineStr">
        <is>
          <t>Road Maintenance</t>
        </is>
      </c>
      <c r="D144" t="inlineStr">
        <is>
          <t>Melrose Park</t>
        </is>
      </c>
      <c r="E144" s="5">
        <f>SUMIFS(Exploded_Detail_Relevant!$G$2:$G$491,Exploded_Detail_Relevant!$A$2:$A$491,$A144,Exploded_Detail_Relevant!$B$2:$B$491,$B144,Exploded_Detail_Relevant!$E$2:$E$491,$C144,Exploded_Detail_Relevant!$F$2:$F$491,$D144)</f>
        <v/>
      </c>
      <c r="F144">
        <f>COUNTIFS(Exploded_Detail_Relevant!$A$2:$A$491,$A144,Exploded_Detail_Relevant!$B$2:$B$491,$B144,Exploded_Detail_Relevant!$E$2:$E$491,$C144,Exploded_Detail_Relevant!$F$2:$F$491,$D144)</f>
        <v/>
      </c>
    </row>
    <row r="145">
      <c r="A145" t="inlineStr">
        <is>
          <t>FFY2025</t>
        </is>
      </c>
      <c r="B145" t="inlineStr">
        <is>
          <t>AC Authorization</t>
        </is>
      </c>
      <c r="C145" t="inlineStr">
        <is>
          <t>Bicycle &amp; Pedestrian</t>
        </is>
      </c>
      <c r="D145" t="inlineStr">
        <is>
          <t>Midlothian</t>
        </is>
      </c>
      <c r="E145" s="5">
        <f>SUMIFS(Exploded_Detail_Relevant!$G$2:$G$491,Exploded_Detail_Relevant!$A$2:$A$491,$A145,Exploded_Detail_Relevant!$B$2:$B$491,$B145,Exploded_Detail_Relevant!$E$2:$E$491,$C145,Exploded_Detail_Relevant!$F$2:$F$491,$D145)</f>
        <v/>
      </c>
      <c r="F145">
        <f>COUNTIFS(Exploded_Detail_Relevant!$A$2:$A$491,$A145,Exploded_Detail_Relevant!$B$2:$B$491,$B145,Exploded_Detail_Relevant!$E$2:$E$491,$C145,Exploded_Detail_Relevant!$F$2:$F$491,$D145)</f>
        <v/>
      </c>
    </row>
    <row r="146">
      <c r="A146" t="inlineStr">
        <is>
          <t>FFY2025</t>
        </is>
      </c>
      <c r="B146" t="inlineStr">
        <is>
          <t>FHWA Obligation</t>
        </is>
      </c>
      <c r="C146" t="inlineStr">
        <is>
          <t>Road Maintenance</t>
        </is>
      </c>
      <c r="D146" t="inlineStr">
        <is>
          <t>Midlothian</t>
        </is>
      </c>
      <c r="E146" s="5">
        <f>SUMIFS(Exploded_Detail_Relevant!$G$2:$G$491,Exploded_Detail_Relevant!$A$2:$A$491,$A146,Exploded_Detail_Relevant!$B$2:$B$491,$B146,Exploded_Detail_Relevant!$E$2:$E$491,$C146,Exploded_Detail_Relevant!$F$2:$F$491,$D146)</f>
        <v/>
      </c>
      <c r="F146">
        <f>COUNTIFS(Exploded_Detail_Relevant!$A$2:$A$491,$A146,Exploded_Detail_Relevant!$B$2:$B$491,$B146,Exploded_Detail_Relevant!$E$2:$E$491,$C146,Exploded_Detail_Relevant!$F$2:$F$491,$D146)</f>
        <v/>
      </c>
    </row>
    <row r="147">
      <c r="A147" t="inlineStr">
        <is>
          <t>FFY2025</t>
        </is>
      </c>
      <c r="B147" t="inlineStr">
        <is>
          <t>FHWA Obligation</t>
        </is>
      </c>
      <c r="C147" t="inlineStr">
        <is>
          <t>Intelligent Transportation Systems</t>
        </is>
      </c>
      <c r="D147" t="inlineStr">
        <is>
          <t>Morton Grove</t>
        </is>
      </c>
      <c r="E147" s="5">
        <f>SUMIFS(Exploded_Detail_Relevant!$G$2:$G$491,Exploded_Detail_Relevant!$A$2:$A$491,$A147,Exploded_Detail_Relevant!$B$2:$B$491,$B147,Exploded_Detail_Relevant!$E$2:$E$491,$C147,Exploded_Detail_Relevant!$F$2:$F$491,$D147)</f>
        <v/>
      </c>
      <c r="F147">
        <f>COUNTIFS(Exploded_Detail_Relevant!$A$2:$A$491,$A147,Exploded_Detail_Relevant!$B$2:$B$491,$B147,Exploded_Detail_Relevant!$E$2:$E$491,$C147,Exploded_Detail_Relevant!$F$2:$F$491,$D147)</f>
        <v/>
      </c>
    </row>
    <row r="148">
      <c r="A148" t="inlineStr">
        <is>
          <t>FFY2025</t>
        </is>
      </c>
      <c r="B148" t="inlineStr">
        <is>
          <t>AC Authorization</t>
        </is>
      </c>
      <c r="C148" t="inlineStr">
        <is>
          <t>Road Maintenance</t>
        </is>
      </c>
      <c r="D148" t="inlineStr">
        <is>
          <t>Morton Grove</t>
        </is>
      </c>
      <c r="E148" s="5">
        <f>SUMIFS(Exploded_Detail_Relevant!$G$2:$G$491,Exploded_Detail_Relevant!$A$2:$A$491,$A148,Exploded_Detail_Relevant!$B$2:$B$491,$B148,Exploded_Detail_Relevant!$E$2:$E$491,$C148,Exploded_Detail_Relevant!$F$2:$F$491,$D148)</f>
        <v/>
      </c>
      <c r="F148">
        <f>COUNTIFS(Exploded_Detail_Relevant!$A$2:$A$491,$A148,Exploded_Detail_Relevant!$B$2:$B$491,$B148,Exploded_Detail_Relevant!$E$2:$E$491,$C148,Exploded_Detail_Relevant!$F$2:$F$491,$D148)</f>
        <v/>
      </c>
    </row>
    <row r="149">
      <c r="A149" t="inlineStr">
        <is>
          <t>FFY2025</t>
        </is>
      </c>
      <c r="B149" t="inlineStr">
        <is>
          <t>FHWA Obligation</t>
        </is>
      </c>
      <c r="C149" t="inlineStr">
        <is>
          <t>Road Maintenance</t>
        </is>
      </c>
      <c r="D149" t="inlineStr">
        <is>
          <t>Morton Grove</t>
        </is>
      </c>
      <c r="E149" s="5">
        <f>SUMIFS(Exploded_Detail_Relevant!$G$2:$G$491,Exploded_Detail_Relevant!$A$2:$A$491,$A149,Exploded_Detail_Relevant!$B$2:$B$491,$B149,Exploded_Detail_Relevant!$E$2:$E$491,$C149,Exploded_Detail_Relevant!$F$2:$F$491,$D149)</f>
        <v/>
      </c>
      <c r="F149">
        <f>COUNTIFS(Exploded_Detail_Relevant!$A$2:$A$491,$A149,Exploded_Detail_Relevant!$B$2:$B$491,$B149,Exploded_Detail_Relevant!$E$2:$E$491,$C149,Exploded_Detail_Relevant!$F$2:$F$491,$D149)</f>
        <v/>
      </c>
    </row>
    <row r="150">
      <c r="A150" t="inlineStr">
        <is>
          <t>FFY2025</t>
        </is>
      </c>
      <c r="B150" t="inlineStr">
        <is>
          <t>FHWA Obligation</t>
        </is>
      </c>
      <c r="C150" t="inlineStr">
        <is>
          <t>Safety</t>
        </is>
      </c>
      <c r="D150" t="inlineStr">
        <is>
          <t>Morton Grove</t>
        </is>
      </c>
      <c r="E150" s="5">
        <f>SUMIFS(Exploded_Detail_Relevant!$G$2:$G$491,Exploded_Detail_Relevant!$A$2:$A$491,$A150,Exploded_Detail_Relevant!$B$2:$B$491,$B150,Exploded_Detail_Relevant!$E$2:$E$491,$C150,Exploded_Detail_Relevant!$F$2:$F$491,$D150)</f>
        <v/>
      </c>
      <c r="F150">
        <f>COUNTIFS(Exploded_Detail_Relevant!$A$2:$A$491,$A150,Exploded_Detail_Relevant!$B$2:$B$491,$B150,Exploded_Detail_Relevant!$E$2:$E$491,$C150,Exploded_Detail_Relevant!$F$2:$F$491,$D150)</f>
        <v/>
      </c>
    </row>
    <row r="151">
      <c r="A151" t="inlineStr">
        <is>
          <t>FFY2025</t>
        </is>
      </c>
      <c r="B151" t="inlineStr">
        <is>
          <t>AC Authorization</t>
        </is>
      </c>
      <c r="C151" t="inlineStr">
        <is>
          <t>Bicycle &amp; Pedestrian</t>
        </is>
      </c>
      <c r="D151" t="inlineStr">
        <is>
          <t>Mount Prospect</t>
        </is>
      </c>
      <c r="E151" s="5">
        <f>SUMIFS(Exploded_Detail_Relevant!$G$2:$G$491,Exploded_Detail_Relevant!$A$2:$A$491,$A151,Exploded_Detail_Relevant!$B$2:$B$491,$B151,Exploded_Detail_Relevant!$E$2:$E$491,$C151,Exploded_Detail_Relevant!$F$2:$F$491,$D151)</f>
        <v/>
      </c>
      <c r="F151">
        <f>COUNTIFS(Exploded_Detail_Relevant!$A$2:$A$491,$A151,Exploded_Detail_Relevant!$B$2:$B$491,$B151,Exploded_Detail_Relevant!$E$2:$E$491,$C151,Exploded_Detail_Relevant!$F$2:$F$491,$D151)</f>
        <v/>
      </c>
    </row>
    <row r="152">
      <c r="A152" t="inlineStr">
        <is>
          <t>FFY2025</t>
        </is>
      </c>
      <c r="B152" t="inlineStr">
        <is>
          <t>FHWA Obligation</t>
        </is>
      </c>
      <c r="C152" t="inlineStr">
        <is>
          <t>Bicycle &amp; Pedestrian</t>
        </is>
      </c>
      <c r="D152" t="inlineStr">
        <is>
          <t>Mount Prospect</t>
        </is>
      </c>
      <c r="E152" s="5">
        <f>SUMIFS(Exploded_Detail_Relevant!$G$2:$G$491,Exploded_Detail_Relevant!$A$2:$A$491,$A152,Exploded_Detail_Relevant!$B$2:$B$491,$B152,Exploded_Detail_Relevant!$E$2:$E$491,$C152,Exploded_Detail_Relevant!$F$2:$F$491,$D152)</f>
        <v/>
      </c>
      <c r="F152">
        <f>COUNTIFS(Exploded_Detail_Relevant!$A$2:$A$491,$A152,Exploded_Detail_Relevant!$B$2:$B$491,$B152,Exploded_Detail_Relevant!$E$2:$E$491,$C152,Exploded_Detail_Relevant!$F$2:$F$491,$D152)</f>
        <v/>
      </c>
    </row>
    <row r="153">
      <c r="A153" t="inlineStr">
        <is>
          <t>FFY2025</t>
        </is>
      </c>
      <c r="B153" t="inlineStr">
        <is>
          <t>AC Authorization</t>
        </is>
      </c>
      <c r="C153" t="inlineStr">
        <is>
          <t>Intersection/Interchange Improvements</t>
        </is>
      </c>
      <c r="D153" t="inlineStr">
        <is>
          <t>Mount Prospect</t>
        </is>
      </c>
      <c r="E153" s="5">
        <f>SUMIFS(Exploded_Detail_Relevant!$G$2:$G$491,Exploded_Detail_Relevant!$A$2:$A$491,$A153,Exploded_Detail_Relevant!$B$2:$B$491,$B153,Exploded_Detail_Relevant!$E$2:$E$491,$C153,Exploded_Detail_Relevant!$F$2:$F$491,$D153)</f>
        <v/>
      </c>
      <c r="F153">
        <f>COUNTIFS(Exploded_Detail_Relevant!$A$2:$A$491,$A153,Exploded_Detail_Relevant!$B$2:$B$491,$B153,Exploded_Detail_Relevant!$E$2:$E$491,$C153,Exploded_Detail_Relevant!$F$2:$F$491,$D153)</f>
        <v/>
      </c>
    </row>
    <row r="154">
      <c r="A154" t="inlineStr">
        <is>
          <t>FFY2025</t>
        </is>
      </c>
      <c r="B154" t="inlineStr">
        <is>
          <t>FHWA Obligation</t>
        </is>
      </c>
      <c r="C154" t="inlineStr">
        <is>
          <t>Intersection/Interchange Improvements</t>
        </is>
      </c>
      <c r="D154" t="inlineStr">
        <is>
          <t>Mount Prospect</t>
        </is>
      </c>
      <c r="E154" s="5">
        <f>SUMIFS(Exploded_Detail_Relevant!$G$2:$G$491,Exploded_Detail_Relevant!$A$2:$A$491,$A154,Exploded_Detail_Relevant!$B$2:$B$491,$B154,Exploded_Detail_Relevant!$E$2:$E$491,$C154,Exploded_Detail_Relevant!$F$2:$F$491,$D154)</f>
        <v/>
      </c>
      <c r="F154">
        <f>COUNTIFS(Exploded_Detail_Relevant!$A$2:$A$491,$A154,Exploded_Detail_Relevant!$B$2:$B$491,$B154,Exploded_Detail_Relevant!$E$2:$E$491,$C154,Exploded_Detail_Relevant!$F$2:$F$491,$D154)</f>
        <v/>
      </c>
    </row>
    <row r="155">
      <c r="A155" t="inlineStr">
        <is>
          <t>FFY2025</t>
        </is>
      </c>
      <c r="B155" t="inlineStr">
        <is>
          <t>AC Authorization</t>
        </is>
      </c>
      <c r="C155" t="inlineStr">
        <is>
          <t>Road Maintenance</t>
        </is>
      </c>
      <c r="D155" t="inlineStr">
        <is>
          <t>Mount Prospect</t>
        </is>
      </c>
      <c r="E155" s="5">
        <f>SUMIFS(Exploded_Detail_Relevant!$G$2:$G$491,Exploded_Detail_Relevant!$A$2:$A$491,$A155,Exploded_Detail_Relevant!$B$2:$B$491,$B155,Exploded_Detail_Relevant!$E$2:$E$491,$C155,Exploded_Detail_Relevant!$F$2:$F$491,$D155)</f>
        <v/>
      </c>
      <c r="F155">
        <f>COUNTIFS(Exploded_Detail_Relevant!$A$2:$A$491,$A155,Exploded_Detail_Relevant!$B$2:$B$491,$B155,Exploded_Detail_Relevant!$E$2:$E$491,$C155,Exploded_Detail_Relevant!$F$2:$F$491,$D155)</f>
        <v/>
      </c>
    </row>
    <row r="156">
      <c r="A156" t="inlineStr">
        <is>
          <t>FFY2025</t>
        </is>
      </c>
      <c r="B156" t="inlineStr">
        <is>
          <t>FHWA Obligation</t>
        </is>
      </c>
      <c r="C156" t="inlineStr">
        <is>
          <t>Road Maintenance</t>
        </is>
      </c>
      <c r="D156" t="inlineStr">
        <is>
          <t>Mount Prospect</t>
        </is>
      </c>
      <c r="E156" s="5">
        <f>SUMIFS(Exploded_Detail_Relevant!$G$2:$G$491,Exploded_Detail_Relevant!$A$2:$A$491,$A156,Exploded_Detail_Relevant!$B$2:$B$491,$B156,Exploded_Detail_Relevant!$E$2:$E$491,$C156,Exploded_Detail_Relevant!$F$2:$F$491,$D156)</f>
        <v/>
      </c>
      <c r="F156">
        <f>COUNTIFS(Exploded_Detail_Relevant!$A$2:$A$491,$A156,Exploded_Detail_Relevant!$B$2:$B$491,$B156,Exploded_Detail_Relevant!$E$2:$E$491,$C156,Exploded_Detail_Relevant!$F$2:$F$491,$D156)</f>
        <v/>
      </c>
    </row>
    <row r="157">
      <c r="A157" t="inlineStr">
        <is>
          <t>FFY2025</t>
        </is>
      </c>
      <c r="B157" t="inlineStr">
        <is>
          <t>FHWA Obligation</t>
        </is>
      </c>
      <c r="C157" t="inlineStr">
        <is>
          <t>Bridge Routine Maintenance</t>
        </is>
      </c>
      <c r="D157" t="inlineStr">
        <is>
          <t>Niles</t>
        </is>
      </c>
      <c r="E157" s="5">
        <f>SUMIFS(Exploded_Detail_Relevant!$G$2:$G$491,Exploded_Detail_Relevant!$A$2:$A$491,$A157,Exploded_Detail_Relevant!$B$2:$B$491,$B157,Exploded_Detail_Relevant!$E$2:$E$491,$C157,Exploded_Detail_Relevant!$F$2:$F$491,$D157)</f>
        <v/>
      </c>
      <c r="F157">
        <f>COUNTIFS(Exploded_Detail_Relevant!$A$2:$A$491,$A157,Exploded_Detail_Relevant!$B$2:$B$491,$B157,Exploded_Detail_Relevant!$E$2:$E$491,$C157,Exploded_Detail_Relevant!$F$2:$F$491,$D157)</f>
        <v/>
      </c>
    </row>
    <row r="158">
      <c r="A158" t="inlineStr">
        <is>
          <t>FFY2025</t>
        </is>
      </c>
      <c r="B158" t="inlineStr">
        <is>
          <t>FHWA Obligation</t>
        </is>
      </c>
      <c r="C158" t="inlineStr">
        <is>
          <t>Bicycle &amp; Pedestrian</t>
        </is>
      </c>
      <c r="D158" t="inlineStr">
        <is>
          <t>Norridge</t>
        </is>
      </c>
      <c r="E158" s="5">
        <f>SUMIFS(Exploded_Detail_Relevant!$G$2:$G$491,Exploded_Detail_Relevant!$A$2:$A$491,$A158,Exploded_Detail_Relevant!$B$2:$B$491,$B158,Exploded_Detail_Relevant!$E$2:$E$491,$C158,Exploded_Detail_Relevant!$F$2:$F$491,$D158)</f>
        <v/>
      </c>
      <c r="F158">
        <f>COUNTIFS(Exploded_Detail_Relevant!$A$2:$A$491,$A158,Exploded_Detail_Relevant!$B$2:$B$491,$B158,Exploded_Detail_Relevant!$E$2:$E$491,$C158,Exploded_Detail_Relevant!$F$2:$F$491,$D158)</f>
        <v/>
      </c>
    </row>
    <row r="159">
      <c r="A159" t="inlineStr">
        <is>
          <t>FFY2025</t>
        </is>
      </c>
      <c r="B159" t="inlineStr">
        <is>
          <t>FHWA Obligation</t>
        </is>
      </c>
      <c r="C159" t="inlineStr">
        <is>
          <t>Bridge Routine Maintenance</t>
        </is>
      </c>
      <c r="D159" t="inlineStr">
        <is>
          <t>North Riverside</t>
        </is>
      </c>
      <c r="E159" s="5">
        <f>SUMIFS(Exploded_Detail_Relevant!$G$2:$G$491,Exploded_Detail_Relevant!$A$2:$A$491,$A159,Exploded_Detail_Relevant!$B$2:$B$491,$B159,Exploded_Detail_Relevant!$E$2:$E$491,$C159,Exploded_Detail_Relevant!$F$2:$F$491,$D159)</f>
        <v/>
      </c>
      <c r="F159">
        <f>COUNTIFS(Exploded_Detail_Relevant!$A$2:$A$491,$A159,Exploded_Detail_Relevant!$B$2:$B$491,$B159,Exploded_Detail_Relevant!$E$2:$E$491,$C159,Exploded_Detail_Relevant!$F$2:$F$491,$D159)</f>
        <v/>
      </c>
    </row>
    <row r="160">
      <c r="A160" t="inlineStr">
        <is>
          <t>FFY2025</t>
        </is>
      </c>
      <c r="B160" t="inlineStr">
        <is>
          <t>AC Authorization</t>
        </is>
      </c>
      <c r="C160" t="inlineStr">
        <is>
          <t>Road Maintenance</t>
        </is>
      </c>
      <c r="D160" t="inlineStr">
        <is>
          <t>North Riverside</t>
        </is>
      </c>
      <c r="E160" s="5">
        <f>SUMIFS(Exploded_Detail_Relevant!$G$2:$G$491,Exploded_Detail_Relevant!$A$2:$A$491,$A160,Exploded_Detail_Relevant!$B$2:$B$491,$B160,Exploded_Detail_Relevant!$E$2:$E$491,$C160,Exploded_Detail_Relevant!$F$2:$F$491,$D160)</f>
        <v/>
      </c>
      <c r="F160">
        <f>COUNTIFS(Exploded_Detail_Relevant!$A$2:$A$491,$A160,Exploded_Detail_Relevant!$B$2:$B$491,$B160,Exploded_Detail_Relevant!$E$2:$E$491,$C160,Exploded_Detail_Relevant!$F$2:$F$491,$D160)</f>
        <v/>
      </c>
    </row>
    <row r="161">
      <c r="A161" t="inlineStr">
        <is>
          <t>FFY2025</t>
        </is>
      </c>
      <c r="B161" t="inlineStr">
        <is>
          <t>FHWA Obligation</t>
        </is>
      </c>
      <c r="C161" t="inlineStr">
        <is>
          <t>Road Maintenance</t>
        </is>
      </c>
      <c r="D161" t="inlineStr">
        <is>
          <t>North Riverside</t>
        </is>
      </c>
      <c r="E161" s="5">
        <f>SUMIFS(Exploded_Detail_Relevant!$G$2:$G$491,Exploded_Detail_Relevant!$A$2:$A$491,$A161,Exploded_Detail_Relevant!$B$2:$B$491,$B161,Exploded_Detail_Relevant!$E$2:$E$491,$C161,Exploded_Detail_Relevant!$F$2:$F$491,$D161)</f>
        <v/>
      </c>
      <c r="F161">
        <f>COUNTIFS(Exploded_Detail_Relevant!$A$2:$A$491,$A161,Exploded_Detail_Relevant!$B$2:$B$491,$B161,Exploded_Detail_Relevant!$E$2:$E$491,$C161,Exploded_Detail_Relevant!$F$2:$F$491,$D161)</f>
        <v/>
      </c>
    </row>
    <row r="162">
      <c r="A162" t="inlineStr">
        <is>
          <t>FFY2025</t>
        </is>
      </c>
      <c r="B162" t="inlineStr">
        <is>
          <t>FHWA Obligation</t>
        </is>
      </c>
      <c r="C162" t="inlineStr">
        <is>
          <t>Transportation Enhancements</t>
        </is>
      </c>
      <c r="D162" t="inlineStr">
        <is>
          <t>North Riverside</t>
        </is>
      </c>
      <c r="E162" s="5">
        <f>SUMIFS(Exploded_Detail_Relevant!$G$2:$G$491,Exploded_Detail_Relevant!$A$2:$A$491,$A162,Exploded_Detail_Relevant!$B$2:$B$491,$B162,Exploded_Detail_Relevant!$E$2:$E$491,$C162,Exploded_Detail_Relevant!$F$2:$F$491,$D162)</f>
        <v/>
      </c>
      <c r="F162">
        <f>COUNTIFS(Exploded_Detail_Relevant!$A$2:$A$491,$A162,Exploded_Detail_Relevant!$B$2:$B$491,$B162,Exploded_Detail_Relevant!$E$2:$E$491,$C162,Exploded_Detail_Relevant!$F$2:$F$491,$D162)</f>
        <v/>
      </c>
    </row>
    <row r="163">
      <c r="A163" t="inlineStr">
        <is>
          <t>FFY2025</t>
        </is>
      </c>
      <c r="B163" t="inlineStr">
        <is>
          <t>FHWA Obligation</t>
        </is>
      </c>
      <c r="C163" t="inlineStr">
        <is>
          <t>Intelligent Transportation Systems</t>
        </is>
      </c>
      <c r="D163" t="inlineStr">
        <is>
          <t>Northbrook</t>
        </is>
      </c>
      <c r="E163" s="5">
        <f>SUMIFS(Exploded_Detail_Relevant!$G$2:$G$491,Exploded_Detail_Relevant!$A$2:$A$491,$A163,Exploded_Detail_Relevant!$B$2:$B$491,$B163,Exploded_Detail_Relevant!$E$2:$E$491,$C163,Exploded_Detail_Relevant!$F$2:$F$491,$D163)</f>
        <v/>
      </c>
      <c r="F163">
        <f>COUNTIFS(Exploded_Detail_Relevant!$A$2:$A$491,$A163,Exploded_Detail_Relevant!$B$2:$B$491,$B163,Exploded_Detail_Relevant!$E$2:$E$491,$C163,Exploded_Detail_Relevant!$F$2:$F$491,$D163)</f>
        <v/>
      </c>
    </row>
    <row r="164">
      <c r="A164" t="inlineStr">
        <is>
          <t>FFY2025</t>
        </is>
      </c>
      <c r="B164" t="inlineStr">
        <is>
          <t>FHWA Obligation</t>
        </is>
      </c>
      <c r="C164" t="inlineStr">
        <is>
          <t>Road Modernization</t>
        </is>
      </c>
      <c r="D164" t="inlineStr">
        <is>
          <t>Northbrook</t>
        </is>
      </c>
      <c r="E164" s="5">
        <f>SUMIFS(Exploded_Detail_Relevant!$G$2:$G$491,Exploded_Detail_Relevant!$A$2:$A$491,$A164,Exploded_Detail_Relevant!$B$2:$B$491,$B164,Exploded_Detail_Relevant!$E$2:$E$491,$C164,Exploded_Detail_Relevant!$F$2:$F$491,$D164)</f>
        <v/>
      </c>
      <c r="F164">
        <f>COUNTIFS(Exploded_Detail_Relevant!$A$2:$A$491,$A164,Exploded_Detail_Relevant!$B$2:$B$491,$B164,Exploded_Detail_Relevant!$E$2:$E$491,$C164,Exploded_Detail_Relevant!$F$2:$F$491,$D164)</f>
        <v/>
      </c>
    </row>
    <row r="165">
      <c r="A165" t="inlineStr">
        <is>
          <t>FFY2025</t>
        </is>
      </c>
      <c r="B165" t="inlineStr">
        <is>
          <t>FHWA Obligation</t>
        </is>
      </c>
      <c r="C165" t="inlineStr">
        <is>
          <t>Safety</t>
        </is>
      </c>
      <c r="D165" t="inlineStr">
        <is>
          <t>Northbrook</t>
        </is>
      </c>
      <c r="E165" s="5">
        <f>SUMIFS(Exploded_Detail_Relevant!$G$2:$G$491,Exploded_Detail_Relevant!$A$2:$A$491,$A165,Exploded_Detail_Relevant!$B$2:$B$491,$B165,Exploded_Detail_Relevant!$E$2:$E$491,$C165,Exploded_Detail_Relevant!$F$2:$F$491,$D165)</f>
        <v/>
      </c>
      <c r="F165">
        <f>COUNTIFS(Exploded_Detail_Relevant!$A$2:$A$491,$A165,Exploded_Detail_Relevant!$B$2:$B$491,$B165,Exploded_Detail_Relevant!$E$2:$E$491,$C165,Exploded_Detail_Relevant!$F$2:$F$491,$D165)</f>
        <v/>
      </c>
    </row>
    <row r="166">
      <c r="A166" t="inlineStr">
        <is>
          <t>FFY2025</t>
        </is>
      </c>
      <c r="B166" t="inlineStr">
        <is>
          <t>FHWA Obligation</t>
        </is>
      </c>
      <c r="C166" t="inlineStr">
        <is>
          <t>Intelligent Transportation Systems</t>
        </is>
      </c>
      <c r="D166" t="inlineStr">
        <is>
          <t>Northfield</t>
        </is>
      </c>
      <c r="E166" s="5">
        <f>SUMIFS(Exploded_Detail_Relevant!$G$2:$G$491,Exploded_Detail_Relevant!$A$2:$A$491,$A166,Exploded_Detail_Relevant!$B$2:$B$491,$B166,Exploded_Detail_Relevant!$E$2:$E$491,$C166,Exploded_Detail_Relevant!$F$2:$F$491,$D166)</f>
        <v/>
      </c>
      <c r="F166">
        <f>COUNTIFS(Exploded_Detail_Relevant!$A$2:$A$491,$A166,Exploded_Detail_Relevant!$B$2:$B$491,$B166,Exploded_Detail_Relevant!$E$2:$E$491,$C166,Exploded_Detail_Relevant!$F$2:$F$491,$D166)</f>
        <v/>
      </c>
    </row>
    <row r="167">
      <c r="A167" t="inlineStr">
        <is>
          <t>FFY2025</t>
        </is>
      </c>
      <c r="B167" t="inlineStr">
        <is>
          <t>FHWA Obligation</t>
        </is>
      </c>
      <c r="C167" t="inlineStr">
        <is>
          <t>Safety</t>
        </is>
      </c>
      <c r="D167" t="inlineStr">
        <is>
          <t>Northfield</t>
        </is>
      </c>
      <c r="E167" s="5">
        <f>SUMIFS(Exploded_Detail_Relevant!$G$2:$G$491,Exploded_Detail_Relevant!$A$2:$A$491,$A167,Exploded_Detail_Relevant!$B$2:$B$491,$B167,Exploded_Detail_Relevant!$E$2:$E$491,$C167,Exploded_Detail_Relevant!$F$2:$F$491,$D167)</f>
        <v/>
      </c>
      <c r="F167">
        <f>COUNTIFS(Exploded_Detail_Relevant!$A$2:$A$491,$A167,Exploded_Detail_Relevant!$B$2:$B$491,$B167,Exploded_Detail_Relevant!$E$2:$E$491,$C167,Exploded_Detail_Relevant!$F$2:$F$491,$D167)</f>
        <v/>
      </c>
    </row>
    <row r="168">
      <c r="A168" t="inlineStr">
        <is>
          <t>FFY2025</t>
        </is>
      </c>
      <c r="B168" t="inlineStr">
        <is>
          <t>FHWA Obligation</t>
        </is>
      </c>
      <c r="C168" t="inlineStr">
        <is>
          <t>Bridge Repair, Rehab, or Replace</t>
        </is>
      </c>
      <c r="D168" t="inlineStr">
        <is>
          <t>Northlake</t>
        </is>
      </c>
      <c r="E168" s="5">
        <f>SUMIFS(Exploded_Detail_Relevant!$G$2:$G$491,Exploded_Detail_Relevant!$A$2:$A$491,$A168,Exploded_Detail_Relevant!$B$2:$B$491,$B168,Exploded_Detail_Relevant!$E$2:$E$491,$C168,Exploded_Detail_Relevant!$F$2:$F$491,$D168)</f>
        <v/>
      </c>
      <c r="F168">
        <f>COUNTIFS(Exploded_Detail_Relevant!$A$2:$A$491,$A168,Exploded_Detail_Relevant!$B$2:$B$491,$B168,Exploded_Detail_Relevant!$E$2:$E$491,$C168,Exploded_Detail_Relevant!$F$2:$F$491,$D168)</f>
        <v/>
      </c>
    </row>
    <row r="169">
      <c r="A169" t="inlineStr">
        <is>
          <t>FFY2025</t>
        </is>
      </c>
      <c r="B169" t="inlineStr">
        <is>
          <t>AC Authorization</t>
        </is>
      </c>
      <c r="C169" t="inlineStr">
        <is>
          <t>Road Maintenance</t>
        </is>
      </c>
      <c r="D169" t="inlineStr">
        <is>
          <t>Northlake</t>
        </is>
      </c>
      <c r="E169" s="5">
        <f>SUMIFS(Exploded_Detail_Relevant!$G$2:$G$491,Exploded_Detail_Relevant!$A$2:$A$491,$A169,Exploded_Detail_Relevant!$B$2:$B$491,$B169,Exploded_Detail_Relevant!$E$2:$E$491,$C169,Exploded_Detail_Relevant!$F$2:$F$491,$D169)</f>
        <v/>
      </c>
      <c r="F169">
        <f>COUNTIFS(Exploded_Detail_Relevant!$A$2:$A$491,$A169,Exploded_Detail_Relevant!$B$2:$B$491,$B169,Exploded_Detail_Relevant!$E$2:$E$491,$C169,Exploded_Detail_Relevant!$F$2:$F$491,$D169)</f>
        <v/>
      </c>
    </row>
    <row r="170">
      <c r="A170" t="inlineStr">
        <is>
          <t>FFY2025</t>
        </is>
      </c>
      <c r="B170" t="inlineStr">
        <is>
          <t>FHWA Obligation</t>
        </is>
      </c>
      <c r="C170" t="inlineStr">
        <is>
          <t>Road Maintenance</t>
        </is>
      </c>
      <c r="D170" t="inlineStr">
        <is>
          <t>Northlake</t>
        </is>
      </c>
      <c r="E170" s="5">
        <f>SUMIFS(Exploded_Detail_Relevant!$G$2:$G$491,Exploded_Detail_Relevant!$A$2:$A$491,$A170,Exploded_Detail_Relevant!$B$2:$B$491,$B170,Exploded_Detail_Relevant!$E$2:$E$491,$C170,Exploded_Detail_Relevant!$F$2:$F$491,$D170)</f>
        <v/>
      </c>
      <c r="F170">
        <f>COUNTIFS(Exploded_Detail_Relevant!$A$2:$A$491,$A170,Exploded_Detail_Relevant!$B$2:$B$491,$B170,Exploded_Detail_Relevant!$E$2:$E$491,$C170,Exploded_Detail_Relevant!$F$2:$F$491,$D170)</f>
        <v/>
      </c>
    </row>
    <row r="171">
      <c r="A171" t="inlineStr">
        <is>
          <t>FFY2025</t>
        </is>
      </c>
      <c r="B171" t="inlineStr">
        <is>
          <t>FHWA Obligation</t>
        </is>
      </c>
      <c r="C171" t="inlineStr">
        <is>
          <t>Road Modernization</t>
        </is>
      </c>
      <c r="D171" t="inlineStr">
        <is>
          <t>Northlake</t>
        </is>
      </c>
      <c r="E171" s="5">
        <f>SUMIFS(Exploded_Detail_Relevant!$G$2:$G$491,Exploded_Detail_Relevant!$A$2:$A$491,$A171,Exploded_Detail_Relevant!$B$2:$B$491,$B171,Exploded_Detail_Relevant!$E$2:$E$491,$C171,Exploded_Detail_Relevant!$F$2:$F$491,$D171)</f>
        <v/>
      </c>
      <c r="F171">
        <f>COUNTIFS(Exploded_Detail_Relevant!$A$2:$A$491,$A171,Exploded_Detail_Relevant!$B$2:$B$491,$B171,Exploded_Detail_Relevant!$E$2:$E$491,$C171,Exploded_Detail_Relevant!$F$2:$F$491,$D171)</f>
        <v/>
      </c>
    </row>
    <row r="172">
      <c r="A172" t="inlineStr">
        <is>
          <t>FFY2025</t>
        </is>
      </c>
      <c r="B172" t="inlineStr">
        <is>
          <t>AC Authorization</t>
        </is>
      </c>
      <c r="C172" t="inlineStr">
        <is>
          <t>Signal Systems</t>
        </is>
      </c>
      <c r="D172" t="inlineStr">
        <is>
          <t>Northlake</t>
        </is>
      </c>
      <c r="E172" s="5">
        <f>SUMIFS(Exploded_Detail_Relevant!$G$2:$G$491,Exploded_Detail_Relevant!$A$2:$A$491,$A172,Exploded_Detail_Relevant!$B$2:$B$491,$B172,Exploded_Detail_Relevant!$E$2:$E$491,$C172,Exploded_Detail_Relevant!$F$2:$F$491,$D172)</f>
        <v/>
      </c>
      <c r="F172">
        <f>COUNTIFS(Exploded_Detail_Relevant!$A$2:$A$491,$A172,Exploded_Detail_Relevant!$B$2:$B$491,$B172,Exploded_Detail_Relevant!$E$2:$E$491,$C172,Exploded_Detail_Relevant!$F$2:$F$491,$D172)</f>
        <v/>
      </c>
    </row>
    <row r="173">
      <c r="A173" t="inlineStr">
        <is>
          <t>FFY2025</t>
        </is>
      </c>
      <c r="B173" t="inlineStr">
        <is>
          <t>FHWA Obligation</t>
        </is>
      </c>
      <c r="C173" t="inlineStr">
        <is>
          <t>Signal Systems</t>
        </is>
      </c>
      <c r="D173" t="inlineStr">
        <is>
          <t>Northlake</t>
        </is>
      </c>
      <c r="E173" s="5">
        <f>SUMIFS(Exploded_Detail_Relevant!$G$2:$G$491,Exploded_Detail_Relevant!$A$2:$A$491,$A173,Exploded_Detail_Relevant!$B$2:$B$491,$B173,Exploded_Detail_Relevant!$E$2:$E$491,$C173,Exploded_Detail_Relevant!$F$2:$F$491,$D173)</f>
        <v/>
      </c>
      <c r="F173">
        <f>COUNTIFS(Exploded_Detail_Relevant!$A$2:$A$491,$A173,Exploded_Detail_Relevant!$B$2:$B$491,$B173,Exploded_Detail_Relevant!$E$2:$E$491,$C173,Exploded_Detail_Relevant!$F$2:$F$491,$D173)</f>
        <v/>
      </c>
    </row>
    <row r="174">
      <c r="A174" t="inlineStr">
        <is>
          <t>FFY2025</t>
        </is>
      </c>
      <c r="B174" t="inlineStr">
        <is>
          <t>FHWA Obligation</t>
        </is>
      </c>
      <c r="C174" t="inlineStr">
        <is>
          <t>Road Maintenance</t>
        </is>
      </c>
      <c r="D174" t="inlineStr">
        <is>
          <t>Oak Forest</t>
        </is>
      </c>
      <c r="E174" s="5">
        <f>SUMIFS(Exploded_Detail_Relevant!$G$2:$G$491,Exploded_Detail_Relevant!$A$2:$A$491,$A174,Exploded_Detail_Relevant!$B$2:$B$491,$B174,Exploded_Detail_Relevant!$E$2:$E$491,$C174,Exploded_Detail_Relevant!$F$2:$F$491,$D174)</f>
        <v/>
      </c>
      <c r="F174">
        <f>COUNTIFS(Exploded_Detail_Relevant!$A$2:$A$491,$A174,Exploded_Detail_Relevant!$B$2:$B$491,$B174,Exploded_Detail_Relevant!$E$2:$E$491,$C174,Exploded_Detail_Relevant!$F$2:$F$491,$D174)</f>
        <v/>
      </c>
    </row>
    <row r="175">
      <c r="A175" t="inlineStr">
        <is>
          <t>FFY2025</t>
        </is>
      </c>
      <c r="B175" t="inlineStr">
        <is>
          <t>AC Authorization</t>
        </is>
      </c>
      <c r="C175" t="inlineStr">
        <is>
          <t>Road Maintenance</t>
        </is>
      </c>
      <c r="D175" t="inlineStr">
        <is>
          <t>Oak Lawn</t>
        </is>
      </c>
      <c r="E175" s="5">
        <f>SUMIFS(Exploded_Detail_Relevant!$G$2:$G$491,Exploded_Detail_Relevant!$A$2:$A$491,$A175,Exploded_Detail_Relevant!$B$2:$B$491,$B175,Exploded_Detail_Relevant!$E$2:$E$491,$C175,Exploded_Detail_Relevant!$F$2:$F$491,$D175)</f>
        <v/>
      </c>
      <c r="F175">
        <f>COUNTIFS(Exploded_Detail_Relevant!$A$2:$A$491,$A175,Exploded_Detail_Relevant!$B$2:$B$491,$B175,Exploded_Detail_Relevant!$E$2:$E$491,$C175,Exploded_Detail_Relevant!$F$2:$F$491,$D175)</f>
        <v/>
      </c>
    </row>
    <row r="176">
      <c r="A176" t="inlineStr">
        <is>
          <t>FFY2025</t>
        </is>
      </c>
      <c r="B176" t="inlineStr">
        <is>
          <t>AC Authorization</t>
        </is>
      </c>
      <c r="C176" t="inlineStr">
        <is>
          <t>Bridge Repair, Rehab, or Replace</t>
        </is>
      </c>
      <c r="D176" t="inlineStr">
        <is>
          <t>Oak Park</t>
        </is>
      </c>
      <c r="E176" s="5">
        <f>SUMIFS(Exploded_Detail_Relevant!$G$2:$G$491,Exploded_Detail_Relevant!$A$2:$A$491,$A176,Exploded_Detail_Relevant!$B$2:$B$491,$B176,Exploded_Detail_Relevant!$E$2:$E$491,$C176,Exploded_Detail_Relevant!$F$2:$F$491,$D176)</f>
        <v/>
      </c>
      <c r="F176">
        <f>COUNTIFS(Exploded_Detail_Relevant!$A$2:$A$491,$A176,Exploded_Detail_Relevant!$B$2:$B$491,$B176,Exploded_Detail_Relevant!$E$2:$E$491,$C176,Exploded_Detail_Relevant!$F$2:$F$491,$D176)</f>
        <v/>
      </c>
    </row>
    <row r="177">
      <c r="A177" t="inlineStr">
        <is>
          <t>FFY2025</t>
        </is>
      </c>
      <c r="B177" t="inlineStr">
        <is>
          <t>FHWA Obligation</t>
        </is>
      </c>
      <c r="C177" t="inlineStr">
        <is>
          <t>Road Expansion</t>
        </is>
      </c>
      <c r="D177" t="inlineStr">
        <is>
          <t>Oak Park</t>
        </is>
      </c>
      <c r="E177" s="5">
        <f>SUMIFS(Exploded_Detail_Relevant!$G$2:$G$491,Exploded_Detail_Relevant!$A$2:$A$491,$A177,Exploded_Detail_Relevant!$B$2:$B$491,$B177,Exploded_Detail_Relevant!$E$2:$E$491,$C177,Exploded_Detail_Relevant!$F$2:$F$491,$D177)</f>
        <v/>
      </c>
      <c r="F177">
        <f>COUNTIFS(Exploded_Detail_Relevant!$A$2:$A$491,$A177,Exploded_Detail_Relevant!$B$2:$B$491,$B177,Exploded_Detail_Relevant!$E$2:$E$491,$C177,Exploded_Detail_Relevant!$F$2:$F$491,$D177)</f>
        <v/>
      </c>
    </row>
    <row r="178">
      <c r="A178" t="inlineStr">
        <is>
          <t>FFY2025</t>
        </is>
      </c>
      <c r="B178" t="inlineStr">
        <is>
          <t>AC Authorization</t>
        </is>
      </c>
      <c r="C178" t="inlineStr">
        <is>
          <t>Road Maintenance</t>
        </is>
      </c>
      <c r="D178" t="inlineStr">
        <is>
          <t>Oak Park</t>
        </is>
      </c>
      <c r="E178" s="5">
        <f>SUMIFS(Exploded_Detail_Relevant!$G$2:$G$491,Exploded_Detail_Relevant!$A$2:$A$491,$A178,Exploded_Detail_Relevant!$B$2:$B$491,$B178,Exploded_Detail_Relevant!$E$2:$E$491,$C178,Exploded_Detail_Relevant!$F$2:$F$491,$D178)</f>
        <v/>
      </c>
      <c r="F178">
        <f>COUNTIFS(Exploded_Detail_Relevant!$A$2:$A$491,$A178,Exploded_Detail_Relevant!$B$2:$B$491,$B178,Exploded_Detail_Relevant!$E$2:$E$491,$C178,Exploded_Detail_Relevant!$F$2:$F$491,$D178)</f>
        <v/>
      </c>
    </row>
    <row r="179">
      <c r="A179" t="inlineStr">
        <is>
          <t>FFY2025</t>
        </is>
      </c>
      <c r="B179" t="inlineStr">
        <is>
          <t>FHWA Obligation</t>
        </is>
      </c>
      <c r="C179" t="inlineStr">
        <is>
          <t>Road Maintenance</t>
        </is>
      </c>
      <c r="D179" t="inlineStr">
        <is>
          <t>Oak Park</t>
        </is>
      </c>
      <c r="E179" s="5">
        <f>SUMIFS(Exploded_Detail_Relevant!$G$2:$G$491,Exploded_Detail_Relevant!$A$2:$A$491,$A179,Exploded_Detail_Relevant!$B$2:$B$491,$B179,Exploded_Detail_Relevant!$E$2:$E$491,$C179,Exploded_Detail_Relevant!$F$2:$F$491,$D179)</f>
        <v/>
      </c>
      <c r="F179">
        <f>COUNTIFS(Exploded_Detail_Relevant!$A$2:$A$491,$A179,Exploded_Detail_Relevant!$B$2:$B$491,$B179,Exploded_Detail_Relevant!$E$2:$E$491,$C179,Exploded_Detail_Relevant!$F$2:$F$491,$D179)</f>
        <v/>
      </c>
    </row>
    <row r="180">
      <c r="A180" t="inlineStr">
        <is>
          <t>FFY2025</t>
        </is>
      </c>
      <c r="B180" t="inlineStr">
        <is>
          <t>FHWA Obligation</t>
        </is>
      </c>
      <c r="C180" t="inlineStr">
        <is>
          <t>Road Expansion</t>
        </is>
      </c>
      <c r="D180" t="inlineStr">
        <is>
          <t>Orland Park</t>
        </is>
      </c>
      <c r="E180" s="5">
        <f>SUMIFS(Exploded_Detail_Relevant!$G$2:$G$491,Exploded_Detail_Relevant!$A$2:$A$491,$A180,Exploded_Detail_Relevant!$B$2:$B$491,$B180,Exploded_Detail_Relevant!$E$2:$E$491,$C180,Exploded_Detail_Relevant!$F$2:$F$491,$D180)</f>
        <v/>
      </c>
      <c r="F180">
        <f>COUNTIFS(Exploded_Detail_Relevant!$A$2:$A$491,$A180,Exploded_Detail_Relevant!$B$2:$B$491,$B180,Exploded_Detail_Relevant!$E$2:$E$491,$C180,Exploded_Detail_Relevant!$F$2:$F$491,$D180)</f>
        <v/>
      </c>
    </row>
    <row r="181">
      <c r="A181" t="inlineStr">
        <is>
          <t>FFY2025</t>
        </is>
      </c>
      <c r="B181" t="inlineStr">
        <is>
          <t>AC Authorization</t>
        </is>
      </c>
      <c r="C181" t="inlineStr">
        <is>
          <t>Road Maintenance</t>
        </is>
      </c>
      <c r="D181" t="inlineStr">
        <is>
          <t>Orland Park</t>
        </is>
      </c>
      <c r="E181" s="5">
        <f>SUMIFS(Exploded_Detail_Relevant!$G$2:$G$491,Exploded_Detail_Relevant!$A$2:$A$491,$A181,Exploded_Detail_Relevant!$B$2:$B$491,$B181,Exploded_Detail_Relevant!$E$2:$E$491,$C181,Exploded_Detail_Relevant!$F$2:$F$491,$D181)</f>
        <v/>
      </c>
      <c r="F181">
        <f>COUNTIFS(Exploded_Detail_Relevant!$A$2:$A$491,$A181,Exploded_Detail_Relevant!$B$2:$B$491,$B181,Exploded_Detail_Relevant!$E$2:$E$491,$C181,Exploded_Detail_Relevant!$F$2:$F$491,$D181)</f>
        <v/>
      </c>
    </row>
    <row r="182">
      <c r="A182" t="inlineStr">
        <is>
          <t>FFY2025</t>
        </is>
      </c>
      <c r="B182" t="inlineStr">
        <is>
          <t>FHWA Obligation</t>
        </is>
      </c>
      <c r="C182" t="inlineStr">
        <is>
          <t>Road Modernization</t>
        </is>
      </c>
      <c r="D182" t="inlineStr">
        <is>
          <t>Orland Park</t>
        </is>
      </c>
      <c r="E182" s="5">
        <f>SUMIFS(Exploded_Detail_Relevant!$G$2:$G$491,Exploded_Detail_Relevant!$A$2:$A$491,$A182,Exploded_Detail_Relevant!$B$2:$B$491,$B182,Exploded_Detail_Relevant!$E$2:$E$491,$C182,Exploded_Detail_Relevant!$F$2:$F$491,$D182)</f>
        <v/>
      </c>
      <c r="F182">
        <f>COUNTIFS(Exploded_Detail_Relevant!$A$2:$A$491,$A182,Exploded_Detail_Relevant!$B$2:$B$491,$B182,Exploded_Detail_Relevant!$E$2:$E$491,$C182,Exploded_Detail_Relevant!$F$2:$F$491,$D182)</f>
        <v/>
      </c>
    </row>
    <row r="183">
      <c r="A183" t="inlineStr">
        <is>
          <t>FFY2025</t>
        </is>
      </c>
      <c r="B183" t="inlineStr">
        <is>
          <t>AC Authorization</t>
        </is>
      </c>
      <c r="C183" t="inlineStr">
        <is>
          <t>Bridge Repair, Rehab, or Replace</t>
        </is>
      </c>
      <c r="D183" t="inlineStr">
        <is>
          <t>Palatine</t>
        </is>
      </c>
      <c r="E183" s="5">
        <f>SUMIFS(Exploded_Detail_Relevant!$G$2:$G$491,Exploded_Detail_Relevant!$A$2:$A$491,$A183,Exploded_Detail_Relevant!$B$2:$B$491,$B183,Exploded_Detail_Relevant!$E$2:$E$491,$C183,Exploded_Detail_Relevant!$F$2:$F$491,$D183)</f>
        <v/>
      </c>
      <c r="F183">
        <f>COUNTIFS(Exploded_Detail_Relevant!$A$2:$A$491,$A183,Exploded_Detail_Relevant!$B$2:$B$491,$B183,Exploded_Detail_Relevant!$E$2:$E$491,$C183,Exploded_Detail_Relevant!$F$2:$F$491,$D183)</f>
        <v/>
      </c>
    </row>
    <row r="184">
      <c r="A184" t="inlineStr">
        <is>
          <t>FFY2025</t>
        </is>
      </c>
      <c r="B184" t="inlineStr">
        <is>
          <t>FHWA Obligation</t>
        </is>
      </c>
      <c r="C184" t="inlineStr">
        <is>
          <t>Bridge Repair, Rehab, or Replace</t>
        </is>
      </c>
      <c r="D184" t="inlineStr">
        <is>
          <t>Palatine</t>
        </is>
      </c>
      <c r="E184" s="5">
        <f>SUMIFS(Exploded_Detail_Relevant!$G$2:$G$491,Exploded_Detail_Relevant!$A$2:$A$491,$A184,Exploded_Detail_Relevant!$B$2:$B$491,$B184,Exploded_Detail_Relevant!$E$2:$E$491,$C184,Exploded_Detail_Relevant!$F$2:$F$491,$D184)</f>
        <v/>
      </c>
      <c r="F184">
        <f>COUNTIFS(Exploded_Detail_Relevant!$A$2:$A$491,$A184,Exploded_Detail_Relevant!$B$2:$B$491,$B184,Exploded_Detail_Relevant!$E$2:$E$491,$C184,Exploded_Detail_Relevant!$F$2:$F$491,$D184)</f>
        <v/>
      </c>
    </row>
    <row r="185">
      <c r="A185" t="inlineStr">
        <is>
          <t>FFY2025</t>
        </is>
      </c>
      <c r="B185" t="inlineStr">
        <is>
          <t>FHWA Obligation</t>
        </is>
      </c>
      <c r="C185" t="inlineStr">
        <is>
          <t>Intersection/Interchange Improvements</t>
        </is>
      </c>
      <c r="D185" t="inlineStr">
        <is>
          <t>Palatine</t>
        </is>
      </c>
      <c r="E185" s="5">
        <f>SUMIFS(Exploded_Detail_Relevant!$G$2:$G$491,Exploded_Detail_Relevant!$A$2:$A$491,$A185,Exploded_Detail_Relevant!$B$2:$B$491,$B185,Exploded_Detail_Relevant!$E$2:$E$491,$C185,Exploded_Detail_Relevant!$F$2:$F$491,$D185)</f>
        <v/>
      </c>
      <c r="F185">
        <f>COUNTIFS(Exploded_Detail_Relevant!$A$2:$A$491,$A185,Exploded_Detail_Relevant!$B$2:$B$491,$B185,Exploded_Detail_Relevant!$E$2:$E$491,$C185,Exploded_Detail_Relevant!$F$2:$F$491,$D185)</f>
        <v/>
      </c>
    </row>
    <row r="186">
      <c r="A186" t="inlineStr">
        <is>
          <t>FFY2025</t>
        </is>
      </c>
      <c r="B186" t="inlineStr">
        <is>
          <t>AC Authorization</t>
        </is>
      </c>
      <c r="C186" t="inlineStr">
        <is>
          <t>Bicycle &amp; Pedestrian</t>
        </is>
      </c>
      <c r="D186" t="inlineStr">
        <is>
          <t>Palos Heights</t>
        </is>
      </c>
      <c r="E186" s="5">
        <f>SUMIFS(Exploded_Detail_Relevant!$G$2:$G$491,Exploded_Detail_Relevant!$A$2:$A$491,$A186,Exploded_Detail_Relevant!$B$2:$B$491,$B186,Exploded_Detail_Relevant!$E$2:$E$491,$C186,Exploded_Detail_Relevant!$F$2:$F$491,$D186)</f>
        <v/>
      </c>
      <c r="F186">
        <f>COUNTIFS(Exploded_Detail_Relevant!$A$2:$A$491,$A186,Exploded_Detail_Relevant!$B$2:$B$491,$B186,Exploded_Detail_Relevant!$E$2:$E$491,$C186,Exploded_Detail_Relevant!$F$2:$F$491,$D186)</f>
        <v/>
      </c>
    </row>
    <row r="187">
      <c r="A187" t="inlineStr">
        <is>
          <t>FFY2025</t>
        </is>
      </c>
      <c r="B187" t="inlineStr">
        <is>
          <t>FHWA Obligation</t>
        </is>
      </c>
      <c r="C187" t="inlineStr">
        <is>
          <t>Intersection/Interchange Improvements</t>
        </is>
      </c>
      <c r="D187" t="inlineStr">
        <is>
          <t>Palos Hills</t>
        </is>
      </c>
      <c r="E187" s="5">
        <f>SUMIFS(Exploded_Detail_Relevant!$G$2:$G$491,Exploded_Detail_Relevant!$A$2:$A$491,$A187,Exploded_Detail_Relevant!$B$2:$B$491,$B187,Exploded_Detail_Relevant!$E$2:$E$491,$C187,Exploded_Detail_Relevant!$F$2:$F$491,$D187)</f>
        <v/>
      </c>
      <c r="F187">
        <f>COUNTIFS(Exploded_Detail_Relevant!$A$2:$A$491,$A187,Exploded_Detail_Relevant!$B$2:$B$491,$B187,Exploded_Detail_Relevant!$E$2:$E$491,$C187,Exploded_Detail_Relevant!$F$2:$F$491,$D187)</f>
        <v/>
      </c>
    </row>
    <row r="188">
      <c r="A188" t="inlineStr">
        <is>
          <t>FFY2025</t>
        </is>
      </c>
      <c r="B188" t="inlineStr">
        <is>
          <t>FHWA Obligation</t>
        </is>
      </c>
      <c r="C188" t="inlineStr">
        <is>
          <t>Bridge Repair, Rehab, or Replace</t>
        </is>
      </c>
      <c r="D188" t="inlineStr">
        <is>
          <t>Palos Park</t>
        </is>
      </c>
      <c r="E188" s="5">
        <f>SUMIFS(Exploded_Detail_Relevant!$G$2:$G$491,Exploded_Detail_Relevant!$A$2:$A$491,$A188,Exploded_Detail_Relevant!$B$2:$B$491,$B188,Exploded_Detail_Relevant!$E$2:$E$491,$C188,Exploded_Detail_Relevant!$F$2:$F$491,$D188)</f>
        <v/>
      </c>
      <c r="F188">
        <f>COUNTIFS(Exploded_Detail_Relevant!$A$2:$A$491,$A188,Exploded_Detail_Relevant!$B$2:$B$491,$B188,Exploded_Detail_Relevant!$E$2:$E$491,$C188,Exploded_Detail_Relevant!$F$2:$F$491,$D188)</f>
        <v/>
      </c>
    </row>
    <row r="189">
      <c r="A189" t="inlineStr">
        <is>
          <t>FFY2025</t>
        </is>
      </c>
      <c r="B189" t="inlineStr">
        <is>
          <t>FHWA Obligation</t>
        </is>
      </c>
      <c r="C189" t="inlineStr">
        <is>
          <t>Bridge Routine Maintenance</t>
        </is>
      </c>
      <c r="D189" t="inlineStr">
        <is>
          <t>Park Forest</t>
        </is>
      </c>
      <c r="E189" s="5">
        <f>SUMIFS(Exploded_Detail_Relevant!$G$2:$G$491,Exploded_Detail_Relevant!$A$2:$A$491,$A189,Exploded_Detail_Relevant!$B$2:$B$491,$B189,Exploded_Detail_Relevant!$E$2:$E$491,$C189,Exploded_Detail_Relevant!$F$2:$F$491,$D189)</f>
        <v/>
      </c>
      <c r="F189">
        <f>COUNTIFS(Exploded_Detail_Relevant!$A$2:$A$491,$A189,Exploded_Detail_Relevant!$B$2:$B$491,$B189,Exploded_Detail_Relevant!$E$2:$E$491,$C189,Exploded_Detail_Relevant!$F$2:$F$491,$D189)</f>
        <v/>
      </c>
    </row>
    <row r="190">
      <c r="A190" t="inlineStr">
        <is>
          <t>FFY2025</t>
        </is>
      </c>
      <c r="B190" t="inlineStr">
        <is>
          <t>AC Authorization</t>
        </is>
      </c>
      <c r="C190" t="inlineStr">
        <is>
          <t>Road Maintenance</t>
        </is>
      </c>
      <c r="D190" t="inlineStr">
        <is>
          <t>Park Forest</t>
        </is>
      </c>
      <c r="E190" s="5">
        <f>SUMIFS(Exploded_Detail_Relevant!$G$2:$G$491,Exploded_Detail_Relevant!$A$2:$A$491,$A190,Exploded_Detail_Relevant!$B$2:$B$491,$B190,Exploded_Detail_Relevant!$E$2:$E$491,$C190,Exploded_Detail_Relevant!$F$2:$F$491,$D190)</f>
        <v/>
      </c>
      <c r="F190">
        <f>COUNTIFS(Exploded_Detail_Relevant!$A$2:$A$491,$A190,Exploded_Detail_Relevant!$B$2:$B$491,$B190,Exploded_Detail_Relevant!$E$2:$E$491,$C190,Exploded_Detail_Relevant!$F$2:$F$491,$D190)</f>
        <v/>
      </c>
    </row>
    <row r="191">
      <c r="A191" t="inlineStr">
        <is>
          <t>FFY2025</t>
        </is>
      </c>
      <c r="B191" t="inlineStr">
        <is>
          <t>FHWA Obligation</t>
        </is>
      </c>
      <c r="C191" t="inlineStr">
        <is>
          <t>Bicycle &amp; Pedestrian</t>
        </is>
      </c>
      <c r="D191" t="inlineStr">
        <is>
          <t>Park Ridge</t>
        </is>
      </c>
      <c r="E191" s="5">
        <f>SUMIFS(Exploded_Detail_Relevant!$G$2:$G$491,Exploded_Detail_Relevant!$A$2:$A$491,$A191,Exploded_Detail_Relevant!$B$2:$B$491,$B191,Exploded_Detail_Relevant!$E$2:$E$491,$C191,Exploded_Detail_Relevant!$F$2:$F$491,$D191)</f>
        <v/>
      </c>
      <c r="F191">
        <f>COUNTIFS(Exploded_Detail_Relevant!$A$2:$A$491,$A191,Exploded_Detail_Relevant!$B$2:$B$491,$B191,Exploded_Detail_Relevant!$E$2:$E$491,$C191,Exploded_Detail_Relevant!$F$2:$F$491,$D191)</f>
        <v/>
      </c>
    </row>
    <row r="192">
      <c r="A192" t="inlineStr">
        <is>
          <t>FFY2025</t>
        </is>
      </c>
      <c r="B192" t="inlineStr">
        <is>
          <t>AC Authorization</t>
        </is>
      </c>
      <c r="C192" t="inlineStr">
        <is>
          <t>Road Maintenance</t>
        </is>
      </c>
      <c r="D192" t="inlineStr">
        <is>
          <t>Park Ridge</t>
        </is>
      </c>
      <c r="E192" s="5">
        <f>SUMIFS(Exploded_Detail_Relevant!$G$2:$G$491,Exploded_Detail_Relevant!$A$2:$A$491,$A192,Exploded_Detail_Relevant!$B$2:$B$491,$B192,Exploded_Detail_Relevant!$E$2:$E$491,$C192,Exploded_Detail_Relevant!$F$2:$F$491,$D192)</f>
        <v/>
      </c>
      <c r="F192">
        <f>COUNTIFS(Exploded_Detail_Relevant!$A$2:$A$491,$A192,Exploded_Detail_Relevant!$B$2:$B$491,$B192,Exploded_Detail_Relevant!$E$2:$E$491,$C192,Exploded_Detail_Relevant!$F$2:$F$491,$D192)</f>
        <v/>
      </c>
    </row>
    <row r="193">
      <c r="A193" t="inlineStr">
        <is>
          <t>FFY2025</t>
        </is>
      </c>
      <c r="B193" t="inlineStr">
        <is>
          <t>FHWA Obligation</t>
        </is>
      </c>
      <c r="C193" t="inlineStr">
        <is>
          <t>Road Maintenance</t>
        </is>
      </c>
      <c r="D193" t="inlineStr">
        <is>
          <t>Park Ridge</t>
        </is>
      </c>
      <c r="E193" s="5">
        <f>SUMIFS(Exploded_Detail_Relevant!$G$2:$G$491,Exploded_Detail_Relevant!$A$2:$A$491,$A193,Exploded_Detail_Relevant!$B$2:$B$491,$B193,Exploded_Detail_Relevant!$E$2:$E$491,$C193,Exploded_Detail_Relevant!$F$2:$F$491,$D193)</f>
        <v/>
      </c>
      <c r="F193">
        <f>COUNTIFS(Exploded_Detail_Relevant!$A$2:$A$491,$A193,Exploded_Detail_Relevant!$B$2:$B$491,$B193,Exploded_Detail_Relevant!$E$2:$E$491,$C193,Exploded_Detail_Relevant!$F$2:$F$491,$D193)</f>
        <v/>
      </c>
    </row>
    <row r="194">
      <c r="A194" t="inlineStr">
        <is>
          <t>FFY2025</t>
        </is>
      </c>
      <c r="B194" t="inlineStr">
        <is>
          <t>FHWA Obligation</t>
        </is>
      </c>
      <c r="C194" t="inlineStr">
        <is>
          <t>Bicycle &amp; Pedestrian</t>
        </is>
      </c>
      <c r="D194" t="inlineStr">
        <is>
          <t>Prospect Heights</t>
        </is>
      </c>
      <c r="E194" s="5">
        <f>SUMIFS(Exploded_Detail_Relevant!$G$2:$G$491,Exploded_Detail_Relevant!$A$2:$A$491,$A194,Exploded_Detail_Relevant!$B$2:$B$491,$B194,Exploded_Detail_Relevant!$E$2:$E$491,$C194,Exploded_Detail_Relevant!$F$2:$F$491,$D194)</f>
        <v/>
      </c>
      <c r="F194">
        <f>COUNTIFS(Exploded_Detail_Relevant!$A$2:$A$491,$A194,Exploded_Detail_Relevant!$B$2:$B$491,$B194,Exploded_Detail_Relevant!$E$2:$E$491,$C194,Exploded_Detail_Relevant!$F$2:$F$491,$D194)</f>
        <v/>
      </c>
    </row>
    <row r="195">
      <c r="A195" t="inlineStr">
        <is>
          <t>FFY2025</t>
        </is>
      </c>
      <c r="B195" t="inlineStr">
        <is>
          <t>AC Authorization</t>
        </is>
      </c>
      <c r="C195" t="inlineStr">
        <is>
          <t>Intersection/Interchange Improvements</t>
        </is>
      </c>
      <c r="D195" t="inlineStr">
        <is>
          <t>Richton Park</t>
        </is>
      </c>
      <c r="E195" s="5">
        <f>SUMIFS(Exploded_Detail_Relevant!$G$2:$G$491,Exploded_Detail_Relevant!$A$2:$A$491,$A195,Exploded_Detail_Relevant!$B$2:$B$491,$B195,Exploded_Detail_Relevant!$E$2:$E$491,$C195,Exploded_Detail_Relevant!$F$2:$F$491,$D195)</f>
        <v/>
      </c>
      <c r="F195">
        <f>COUNTIFS(Exploded_Detail_Relevant!$A$2:$A$491,$A195,Exploded_Detail_Relevant!$B$2:$B$491,$B195,Exploded_Detail_Relevant!$E$2:$E$491,$C195,Exploded_Detail_Relevant!$F$2:$F$491,$D195)</f>
        <v/>
      </c>
    </row>
    <row r="196">
      <c r="A196" t="inlineStr">
        <is>
          <t>FFY2025</t>
        </is>
      </c>
      <c r="B196" t="inlineStr">
        <is>
          <t>AC Authorization</t>
        </is>
      </c>
      <c r="C196" t="inlineStr">
        <is>
          <t>Transportation Enhancements</t>
        </is>
      </c>
      <c r="D196" t="inlineStr">
        <is>
          <t>Richton Park</t>
        </is>
      </c>
      <c r="E196" s="5">
        <f>SUMIFS(Exploded_Detail_Relevant!$G$2:$G$491,Exploded_Detail_Relevant!$A$2:$A$491,$A196,Exploded_Detail_Relevant!$B$2:$B$491,$B196,Exploded_Detail_Relevant!$E$2:$E$491,$C196,Exploded_Detail_Relevant!$F$2:$F$491,$D196)</f>
        <v/>
      </c>
      <c r="F196">
        <f>COUNTIFS(Exploded_Detail_Relevant!$A$2:$A$491,$A196,Exploded_Detail_Relevant!$B$2:$B$491,$B196,Exploded_Detail_Relevant!$E$2:$E$491,$C196,Exploded_Detail_Relevant!$F$2:$F$491,$D196)</f>
        <v/>
      </c>
    </row>
    <row r="197">
      <c r="A197" t="inlineStr">
        <is>
          <t>FFY2025</t>
        </is>
      </c>
      <c r="B197" t="inlineStr">
        <is>
          <t>AC Authorization</t>
        </is>
      </c>
      <c r="C197" t="inlineStr">
        <is>
          <t>Road Maintenance</t>
        </is>
      </c>
      <c r="D197" t="inlineStr">
        <is>
          <t>River Forest</t>
        </is>
      </c>
      <c r="E197" s="5">
        <f>SUMIFS(Exploded_Detail_Relevant!$G$2:$G$491,Exploded_Detail_Relevant!$A$2:$A$491,$A197,Exploded_Detail_Relevant!$B$2:$B$491,$B197,Exploded_Detail_Relevant!$E$2:$E$491,$C197,Exploded_Detail_Relevant!$F$2:$F$491,$D197)</f>
        <v/>
      </c>
      <c r="F197">
        <f>COUNTIFS(Exploded_Detail_Relevant!$A$2:$A$491,$A197,Exploded_Detail_Relevant!$B$2:$B$491,$B197,Exploded_Detail_Relevant!$E$2:$E$491,$C197,Exploded_Detail_Relevant!$F$2:$F$491,$D197)</f>
        <v/>
      </c>
    </row>
    <row r="198">
      <c r="A198" t="inlineStr">
        <is>
          <t>FFY2025</t>
        </is>
      </c>
      <c r="B198" t="inlineStr">
        <is>
          <t>FHWA Obligation</t>
        </is>
      </c>
      <c r="C198" t="inlineStr">
        <is>
          <t>Road Maintenance</t>
        </is>
      </c>
      <c r="D198" t="inlineStr">
        <is>
          <t>River Forest</t>
        </is>
      </c>
      <c r="E198" s="5">
        <f>SUMIFS(Exploded_Detail_Relevant!$G$2:$G$491,Exploded_Detail_Relevant!$A$2:$A$491,$A198,Exploded_Detail_Relevant!$B$2:$B$491,$B198,Exploded_Detail_Relevant!$E$2:$E$491,$C198,Exploded_Detail_Relevant!$F$2:$F$491,$D198)</f>
        <v/>
      </c>
      <c r="F198">
        <f>COUNTIFS(Exploded_Detail_Relevant!$A$2:$A$491,$A198,Exploded_Detail_Relevant!$B$2:$B$491,$B198,Exploded_Detail_Relevant!$E$2:$E$491,$C198,Exploded_Detail_Relevant!$F$2:$F$491,$D198)</f>
        <v/>
      </c>
    </row>
    <row r="199">
      <c r="A199" t="inlineStr">
        <is>
          <t>FFY2025</t>
        </is>
      </c>
      <c r="B199" t="inlineStr">
        <is>
          <t>FHWA Obligation</t>
        </is>
      </c>
      <c r="C199" t="inlineStr">
        <is>
          <t>Bicycle &amp; Pedestrian</t>
        </is>
      </c>
      <c r="D199" t="inlineStr">
        <is>
          <t>River Grove</t>
        </is>
      </c>
      <c r="E199" s="5">
        <f>SUMIFS(Exploded_Detail_Relevant!$G$2:$G$491,Exploded_Detail_Relevant!$A$2:$A$491,$A199,Exploded_Detail_Relevant!$B$2:$B$491,$B199,Exploded_Detail_Relevant!$E$2:$E$491,$C199,Exploded_Detail_Relevant!$F$2:$F$491,$D199)</f>
        <v/>
      </c>
      <c r="F199">
        <f>COUNTIFS(Exploded_Detail_Relevant!$A$2:$A$491,$A199,Exploded_Detail_Relevant!$B$2:$B$491,$B199,Exploded_Detail_Relevant!$E$2:$E$491,$C199,Exploded_Detail_Relevant!$F$2:$F$491,$D199)</f>
        <v/>
      </c>
    </row>
    <row r="200">
      <c r="A200" t="inlineStr">
        <is>
          <t>FFY2025</t>
        </is>
      </c>
      <c r="B200" t="inlineStr">
        <is>
          <t>AC Authorization</t>
        </is>
      </c>
      <c r="C200" t="inlineStr">
        <is>
          <t>Road Maintenance</t>
        </is>
      </c>
      <c r="D200" t="inlineStr">
        <is>
          <t>River Grove</t>
        </is>
      </c>
      <c r="E200" s="5">
        <f>SUMIFS(Exploded_Detail_Relevant!$G$2:$G$491,Exploded_Detail_Relevant!$A$2:$A$491,$A200,Exploded_Detail_Relevant!$B$2:$B$491,$B200,Exploded_Detail_Relevant!$E$2:$E$491,$C200,Exploded_Detail_Relevant!$F$2:$F$491,$D200)</f>
        <v/>
      </c>
      <c r="F200">
        <f>COUNTIFS(Exploded_Detail_Relevant!$A$2:$A$491,$A200,Exploded_Detail_Relevant!$B$2:$B$491,$B200,Exploded_Detail_Relevant!$E$2:$E$491,$C200,Exploded_Detail_Relevant!$F$2:$F$491,$D200)</f>
        <v/>
      </c>
    </row>
    <row r="201">
      <c r="A201" t="inlineStr">
        <is>
          <t>FFY2025</t>
        </is>
      </c>
      <c r="B201" t="inlineStr">
        <is>
          <t>FHWA Obligation</t>
        </is>
      </c>
      <c r="C201" t="inlineStr">
        <is>
          <t>Road Maintenance</t>
        </is>
      </c>
      <c r="D201" t="inlineStr">
        <is>
          <t>River Grove</t>
        </is>
      </c>
      <c r="E201" s="5">
        <f>SUMIFS(Exploded_Detail_Relevant!$G$2:$G$491,Exploded_Detail_Relevant!$A$2:$A$491,$A201,Exploded_Detail_Relevant!$B$2:$B$491,$B201,Exploded_Detail_Relevant!$E$2:$E$491,$C201,Exploded_Detail_Relevant!$F$2:$F$491,$D201)</f>
        <v/>
      </c>
      <c r="F201">
        <f>COUNTIFS(Exploded_Detail_Relevant!$A$2:$A$491,$A201,Exploded_Detail_Relevant!$B$2:$B$491,$B201,Exploded_Detail_Relevant!$E$2:$E$491,$C201,Exploded_Detail_Relevant!$F$2:$F$491,$D201)</f>
        <v/>
      </c>
    </row>
    <row r="202">
      <c r="A202" t="inlineStr">
        <is>
          <t>FFY2025</t>
        </is>
      </c>
      <c r="B202" t="inlineStr">
        <is>
          <t>FHWA Obligation</t>
        </is>
      </c>
      <c r="C202" t="inlineStr">
        <is>
          <t>Safety</t>
        </is>
      </c>
      <c r="D202" t="inlineStr">
        <is>
          <t>River Grove</t>
        </is>
      </c>
      <c r="E202" s="5">
        <f>SUMIFS(Exploded_Detail_Relevant!$G$2:$G$491,Exploded_Detail_Relevant!$A$2:$A$491,$A202,Exploded_Detail_Relevant!$B$2:$B$491,$B202,Exploded_Detail_Relevant!$E$2:$E$491,$C202,Exploded_Detail_Relevant!$F$2:$F$491,$D202)</f>
        <v/>
      </c>
      <c r="F202">
        <f>COUNTIFS(Exploded_Detail_Relevant!$A$2:$A$491,$A202,Exploded_Detail_Relevant!$B$2:$B$491,$B202,Exploded_Detail_Relevant!$E$2:$E$491,$C202,Exploded_Detail_Relevant!$F$2:$F$491,$D202)</f>
        <v/>
      </c>
    </row>
    <row r="203">
      <c r="A203" t="inlineStr">
        <is>
          <t>FFY2025</t>
        </is>
      </c>
      <c r="B203" t="inlineStr">
        <is>
          <t>FHWA Obligation</t>
        </is>
      </c>
      <c r="C203" t="inlineStr">
        <is>
          <t>Bridge Repair, Rehab, or Replace</t>
        </is>
      </c>
      <c r="D203" t="inlineStr">
        <is>
          <t>Riverdale</t>
        </is>
      </c>
      <c r="E203" s="5">
        <f>SUMIFS(Exploded_Detail_Relevant!$G$2:$G$491,Exploded_Detail_Relevant!$A$2:$A$491,$A203,Exploded_Detail_Relevant!$B$2:$B$491,$B203,Exploded_Detail_Relevant!$E$2:$E$491,$C203,Exploded_Detail_Relevant!$F$2:$F$491,$D203)</f>
        <v/>
      </c>
      <c r="F203">
        <f>COUNTIFS(Exploded_Detail_Relevant!$A$2:$A$491,$A203,Exploded_Detail_Relevant!$B$2:$B$491,$B203,Exploded_Detail_Relevant!$E$2:$E$491,$C203,Exploded_Detail_Relevant!$F$2:$F$491,$D203)</f>
        <v/>
      </c>
    </row>
    <row r="204">
      <c r="A204" t="inlineStr">
        <is>
          <t>FFY2025</t>
        </is>
      </c>
      <c r="B204" t="inlineStr">
        <is>
          <t>AC Authorization</t>
        </is>
      </c>
      <c r="C204" t="inlineStr">
        <is>
          <t>Bicycle &amp; Pedestrian</t>
        </is>
      </c>
      <c r="D204" t="inlineStr">
        <is>
          <t>Robbins</t>
        </is>
      </c>
      <c r="E204" s="5">
        <f>SUMIFS(Exploded_Detail_Relevant!$G$2:$G$491,Exploded_Detail_Relevant!$A$2:$A$491,$A204,Exploded_Detail_Relevant!$B$2:$B$491,$B204,Exploded_Detail_Relevant!$E$2:$E$491,$C204,Exploded_Detail_Relevant!$F$2:$F$491,$D204)</f>
        <v/>
      </c>
      <c r="F204">
        <f>COUNTIFS(Exploded_Detail_Relevant!$A$2:$A$491,$A204,Exploded_Detail_Relevant!$B$2:$B$491,$B204,Exploded_Detail_Relevant!$E$2:$E$491,$C204,Exploded_Detail_Relevant!$F$2:$F$491,$D204)</f>
        <v/>
      </c>
    </row>
    <row r="205">
      <c r="A205" t="inlineStr">
        <is>
          <t>FFY2025</t>
        </is>
      </c>
      <c r="B205" t="inlineStr">
        <is>
          <t>FHWA Obligation</t>
        </is>
      </c>
      <c r="C205" t="inlineStr">
        <is>
          <t>Bicycle &amp; Pedestrian</t>
        </is>
      </c>
      <c r="D205" t="inlineStr">
        <is>
          <t>Rolling Meadows</t>
        </is>
      </c>
      <c r="E205" s="5">
        <f>SUMIFS(Exploded_Detail_Relevant!$G$2:$G$491,Exploded_Detail_Relevant!$A$2:$A$491,$A205,Exploded_Detail_Relevant!$B$2:$B$491,$B205,Exploded_Detail_Relevant!$E$2:$E$491,$C205,Exploded_Detail_Relevant!$F$2:$F$491,$D205)</f>
        <v/>
      </c>
      <c r="F205">
        <f>COUNTIFS(Exploded_Detail_Relevant!$A$2:$A$491,$A205,Exploded_Detail_Relevant!$B$2:$B$491,$B205,Exploded_Detail_Relevant!$E$2:$E$491,$C205,Exploded_Detail_Relevant!$F$2:$F$491,$D205)</f>
        <v/>
      </c>
    </row>
    <row r="206">
      <c r="A206" t="inlineStr">
        <is>
          <t>FFY2025</t>
        </is>
      </c>
      <c r="B206" t="inlineStr">
        <is>
          <t>AC Authorization</t>
        </is>
      </c>
      <c r="C206" t="inlineStr">
        <is>
          <t>Bridge Repair, Rehab, or Replace</t>
        </is>
      </c>
      <c r="D206" t="inlineStr">
        <is>
          <t>Rolling Meadows</t>
        </is>
      </c>
      <c r="E206" s="5">
        <f>SUMIFS(Exploded_Detail_Relevant!$G$2:$G$491,Exploded_Detail_Relevant!$A$2:$A$491,$A206,Exploded_Detail_Relevant!$B$2:$B$491,$B206,Exploded_Detail_Relevant!$E$2:$E$491,$C206,Exploded_Detail_Relevant!$F$2:$F$491,$D206)</f>
        <v/>
      </c>
      <c r="F206">
        <f>COUNTIFS(Exploded_Detail_Relevant!$A$2:$A$491,$A206,Exploded_Detail_Relevant!$B$2:$B$491,$B206,Exploded_Detail_Relevant!$E$2:$E$491,$C206,Exploded_Detail_Relevant!$F$2:$F$491,$D206)</f>
        <v/>
      </c>
    </row>
    <row r="207">
      <c r="A207" t="inlineStr">
        <is>
          <t>FFY2025</t>
        </is>
      </c>
      <c r="B207" t="inlineStr">
        <is>
          <t>FHWA Obligation</t>
        </is>
      </c>
      <c r="C207" t="inlineStr">
        <is>
          <t>Bridge Repair, Rehab, or Replace</t>
        </is>
      </c>
      <c r="D207" t="inlineStr">
        <is>
          <t>Rolling Meadows</t>
        </is>
      </c>
      <c r="E207" s="5">
        <f>SUMIFS(Exploded_Detail_Relevant!$G$2:$G$491,Exploded_Detail_Relevant!$A$2:$A$491,$A207,Exploded_Detail_Relevant!$B$2:$B$491,$B207,Exploded_Detail_Relevant!$E$2:$E$491,$C207,Exploded_Detail_Relevant!$F$2:$F$491,$D207)</f>
        <v/>
      </c>
      <c r="F207">
        <f>COUNTIFS(Exploded_Detail_Relevant!$A$2:$A$491,$A207,Exploded_Detail_Relevant!$B$2:$B$491,$B207,Exploded_Detail_Relevant!$E$2:$E$491,$C207,Exploded_Detail_Relevant!$F$2:$F$491,$D207)</f>
        <v/>
      </c>
    </row>
    <row r="208">
      <c r="A208" t="inlineStr">
        <is>
          <t>FFY2025</t>
        </is>
      </c>
      <c r="B208" t="inlineStr">
        <is>
          <t>AC Authorization</t>
        </is>
      </c>
      <c r="C208" t="inlineStr">
        <is>
          <t>Intersection/Interchange Improvements</t>
        </is>
      </c>
      <c r="D208" t="inlineStr">
        <is>
          <t>Rolling Meadows</t>
        </is>
      </c>
      <c r="E208" s="5">
        <f>SUMIFS(Exploded_Detail_Relevant!$G$2:$G$491,Exploded_Detail_Relevant!$A$2:$A$491,$A208,Exploded_Detail_Relevant!$B$2:$B$491,$B208,Exploded_Detail_Relevant!$E$2:$E$491,$C208,Exploded_Detail_Relevant!$F$2:$F$491,$D208)</f>
        <v/>
      </c>
      <c r="F208">
        <f>COUNTIFS(Exploded_Detail_Relevant!$A$2:$A$491,$A208,Exploded_Detail_Relevant!$B$2:$B$491,$B208,Exploded_Detail_Relevant!$E$2:$E$491,$C208,Exploded_Detail_Relevant!$F$2:$F$491,$D208)</f>
        <v/>
      </c>
    </row>
    <row r="209">
      <c r="A209" t="inlineStr">
        <is>
          <t>FFY2025</t>
        </is>
      </c>
      <c r="B209" t="inlineStr">
        <is>
          <t>FHWA Obligation</t>
        </is>
      </c>
      <c r="C209" t="inlineStr">
        <is>
          <t>Intersection/Interchange Improvements</t>
        </is>
      </c>
      <c r="D209" t="inlineStr">
        <is>
          <t>Rolling Meadows</t>
        </is>
      </c>
      <c r="E209" s="5">
        <f>SUMIFS(Exploded_Detail_Relevant!$G$2:$G$491,Exploded_Detail_Relevant!$A$2:$A$491,$A209,Exploded_Detail_Relevant!$B$2:$B$491,$B209,Exploded_Detail_Relevant!$E$2:$E$491,$C209,Exploded_Detail_Relevant!$F$2:$F$491,$D209)</f>
        <v/>
      </c>
      <c r="F209">
        <f>COUNTIFS(Exploded_Detail_Relevant!$A$2:$A$491,$A209,Exploded_Detail_Relevant!$B$2:$B$491,$B209,Exploded_Detail_Relevant!$E$2:$E$491,$C209,Exploded_Detail_Relevant!$F$2:$F$491,$D209)</f>
        <v/>
      </c>
    </row>
    <row r="210">
      <c r="A210" t="inlineStr">
        <is>
          <t>FFY2025</t>
        </is>
      </c>
      <c r="B210" t="inlineStr">
        <is>
          <t>FHWA Obligation</t>
        </is>
      </c>
      <c r="C210" t="inlineStr">
        <is>
          <t>Road Modernization</t>
        </is>
      </c>
      <c r="D210" t="inlineStr">
        <is>
          <t>Rolling Meadows</t>
        </is>
      </c>
      <c r="E210" s="5">
        <f>SUMIFS(Exploded_Detail_Relevant!$G$2:$G$491,Exploded_Detail_Relevant!$A$2:$A$491,$A210,Exploded_Detail_Relevant!$B$2:$B$491,$B210,Exploded_Detail_Relevant!$E$2:$E$491,$C210,Exploded_Detail_Relevant!$F$2:$F$491,$D210)</f>
        <v/>
      </c>
      <c r="F210">
        <f>COUNTIFS(Exploded_Detail_Relevant!$A$2:$A$491,$A210,Exploded_Detail_Relevant!$B$2:$B$491,$B210,Exploded_Detail_Relevant!$E$2:$E$491,$C210,Exploded_Detail_Relevant!$F$2:$F$491,$D210)</f>
        <v/>
      </c>
    </row>
    <row r="211">
      <c r="A211" t="inlineStr">
        <is>
          <t>FFY2025</t>
        </is>
      </c>
      <c r="B211" t="inlineStr">
        <is>
          <t>FHWA Obligation</t>
        </is>
      </c>
      <c r="C211" t="inlineStr">
        <is>
          <t>Bicycle &amp; Pedestrian</t>
        </is>
      </c>
      <c r="D211" t="inlineStr">
        <is>
          <t>Rosemont</t>
        </is>
      </c>
      <c r="E211" s="5">
        <f>SUMIFS(Exploded_Detail_Relevant!$G$2:$G$491,Exploded_Detail_Relevant!$A$2:$A$491,$A211,Exploded_Detail_Relevant!$B$2:$B$491,$B211,Exploded_Detail_Relevant!$E$2:$E$491,$C211,Exploded_Detail_Relevant!$F$2:$F$491,$D211)</f>
        <v/>
      </c>
      <c r="F211">
        <f>COUNTIFS(Exploded_Detail_Relevant!$A$2:$A$491,$A211,Exploded_Detail_Relevant!$B$2:$B$491,$B211,Exploded_Detail_Relevant!$E$2:$E$491,$C211,Exploded_Detail_Relevant!$F$2:$F$491,$D211)</f>
        <v/>
      </c>
    </row>
    <row r="212">
      <c r="A212" t="inlineStr">
        <is>
          <t>FFY2025</t>
        </is>
      </c>
      <c r="B212" t="inlineStr">
        <is>
          <t>AC Authorization</t>
        </is>
      </c>
      <c r="C212" t="inlineStr">
        <is>
          <t>Road Modernization</t>
        </is>
      </c>
      <c r="D212" t="inlineStr">
        <is>
          <t>Rosemont</t>
        </is>
      </c>
      <c r="E212" s="5">
        <f>SUMIFS(Exploded_Detail_Relevant!$G$2:$G$491,Exploded_Detail_Relevant!$A$2:$A$491,$A212,Exploded_Detail_Relevant!$B$2:$B$491,$B212,Exploded_Detail_Relevant!$E$2:$E$491,$C212,Exploded_Detail_Relevant!$F$2:$F$491,$D212)</f>
        <v/>
      </c>
      <c r="F212">
        <f>COUNTIFS(Exploded_Detail_Relevant!$A$2:$A$491,$A212,Exploded_Detail_Relevant!$B$2:$B$491,$B212,Exploded_Detail_Relevant!$E$2:$E$491,$C212,Exploded_Detail_Relevant!$F$2:$F$491,$D212)</f>
        <v/>
      </c>
    </row>
    <row r="213">
      <c r="A213" t="inlineStr">
        <is>
          <t>FFY2025</t>
        </is>
      </c>
      <c r="B213" t="inlineStr">
        <is>
          <t>FHWA Obligation</t>
        </is>
      </c>
      <c r="C213" t="inlineStr">
        <is>
          <t>Road Modernization</t>
        </is>
      </c>
      <c r="D213" t="inlineStr">
        <is>
          <t>Rosemont</t>
        </is>
      </c>
      <c r="E213" s="5">
        <f>SUMIFS(Exploded_Detail_Relevant!$G$2:$G$491,Exploded_Detail_Relevant!$A$2:$A$491,$A213,Exploded_Detail_Relevant!$B$2:$B$491,$B213,Exploded_Detail_Relevant!$E$2:$E$491,$C213,Exploded_Detail_Relevant!$F$2:$F$491,$D213)</f>
        <v/>
      </c>
      <c r="F213">
        <f>COUNTIFS(Exploded_Detail_Relevant!$A$2:$A$491,$A213,Exploded_Detail_Relevant!$B$2:$B$491,$B213,Exploded_Detail_Relevant!$E$2:$E$491,$C213,Exploded_Detail_Relevant!$F$2:$F$491,$D213)</f>
        <v/>
      </c>
    </row>
    <row r="214">
      <c r="A214" t="inlineStr">
        <is>
          <t>FFY2025</t>
        </is>
      </c>
      <c r="B214" t="inlineStr">
        <is>
          <t>AC Authorization</t>
        </is>
      </c>
      <c r="C214" t="inlineStr">
        <is>
          <t>Bicycle &amp; Pedestrian</t>
        </is>
      </c>
      <c r="D214" t="inlineStr">
        <is>
          <t>Sauk Village</t>
        </is>
      </c>
      <c r="E214" s="5">
        <f>SUMIFS(Exploded_Detail_Relevant!$G$2:$G$491,Exploded_Detail_Relevant!$A$2:$A$491,$A214,Exploded_Detail_Relevant!$B$2:$B$491,$B214,Exploded_Detail_Relevant!$E$2:$E$491,$C214,Exploded_Detail_Relevant!$F$2:$F$491,$D214)</f>
        <v/>
      </c>
      <c r="F214">
        <f>COUNTIFS(Exploded_Detail_Relevant!$A$2:$A$491,$A214,Exploded_Detail_Relevant!$B$2:$B$491,$B214,Exploded_Detail_Relevant!$E$2:$E$491,$C214,Exploded_Detail_Relevant!$F$2:$F$491,$D214)</f>
        <v/>
      </c>
    </row>
    <row r="215">
      <c r="A215" t="inlineStr">
        <is>
          <t>FFY2025</t>
        </is>
      </c>
      <c r="B215" t="inlineStr">
        <is>
          <t>AC Authorization</t>
        </is>
      </c>
      <c r="C215" t="inlineStr">
        <is>
          <t>Bicycle &amp; Pedestrian</t>
        </is>
      </c>
      <c r="D215" t="inlineStr">
        <is>
          <t>Schaumburg</t>
        </is>
      </c>
      <c r="E215" s="5">
        <f>SUMIFS(Exploded_Detail_Relevant!$G$2:$G$491,Exploded_Detail_Relevant!$A$2:$A$491,$A215,Exploded_Detail_Relevant!$B$2:$B$491,$B215,Exploded_Detail_Relevant!$E$2:$E$491,$C215,Exploded_Detail_Relevant!$F$2:$F$491,$D215)</f>
        <v/>
      </c>
      <c r="F215">
        <f>COUNTIFS(Exploded_Detail_Relevant!$A$2:$A$491,$A215,Exploded_Detail_Relevant!$B$2:$B$491,$B215,Exploded_Detail_Relevant!$E$2:$E$491,$C215,Exploded_Detail_Relevant!$F$2:$F$491,$D215)</f>
        <v/>
      </c>
    </row>
    <row r="216">
      <c r="A216" t="inlineStr">
        <is>
          <t>FFY2025</t>
        </is>
      </c>
      <c r="B216" t="inlineStr">
        <is>
          <t>FHWA Obligation</t>
        </is>
      </c>
      <c r="C216" t="inlineStr">
        <is>
          <t>Bicycle &amp; Pedestrian</t>
        </is>
      </c>
      <c r="D216" t="inlineStr">
        <is>
          <t>Schaumburg</t>
        </is>
      </c>
      <c r="E216" s="5">
        <f>SUMIFS(Exploded_Detail_Relevant!$G$2:$G$491,Exploded_Detail_Relevant!$A$2:$A$491,$A216,Exploded_Detail_Relevant!$B$2:$B$491,$B216,Exploded_Detail_Relevant!$E$2:$E$491,$C216,Exploded_Detail_Relevant!$F$2:$F$491,$D216)</f>
        <v/>
      </c>
      <c r="F216">
        <f>COUNTIFS(Exploded_Detail_Relevant!$A$2:$A$491,$A216,Exploded_Detail_Relevant!$B$2:$B$491,$B216,Exploded_Detail_Relevant!$E$2:$E$491,$C216,Exploded_Detail_Relevant!$F$2:$F$491,$D216)</f>
        <v/>
      </c>
    </row>
    <row r="217">
      <c r="A217" t="inlineStr">
        <is>
          <t>FFY2025</t>
        </is>
      </c>
      <c r="B217" t="inlineStr">
        <is>
          <t>AC Authorization</t>
        </is>
      </c>
      <c r="C217" t="inlineStr">
        <is>
          <t>Road Maintenance</t>
        </is>
      </c>
      <c r="D217" t="inlineStr">
        <is>
          <t>Schaumburg</t>
        </is>
      </c>
      <c r="E217" s="5">
        <f>SUMIFS(Exploded_Detail_Relevant!$G$2:$G$491,Exploded_Detail_Relevant!$A$2:$A$491,$A217,Exploded_Detail_Relevant!$B$2:$B$491,$B217,Exploded_Detail_Relevant!$E$2:$E$491,$C217,Exploded_Detail_Relevant!$F$2:$F$491,$D217)</f>
        <v/>
      </c>
      <c r="F217">
        <f>COUNTIFS(Exploded_Detail_Relevant!$A$2:$A$491,$A217,Exploded_Detail_Relevant!$B$2:$B$491,$B217,Exploded_Detail_Relevant!$E$2:$E$491,$C217,Exploded_Detail_Relevant!$F$2:$F$491,$D217)</f>
        <v/>
      </c>
    </row>
    <row r="218">
      <c r="A218" t="inlineStr">
        <is>
          <t>FFY2025</t>
        </is>
      </c>
      <c r="B218" t="inlineStr">
        <is>
          <t>FHWA Obligation</t>
        </is>
      </c>
      <c r="C218" t="inlineStr">
        <is>
          <t>Road Maintenance</t>
        </is>
      </c>
      <c r="D218" t="inlineStr">
        <is>
          <t>Schaumburg</t>
        </is>
      </c>
      <c r="E218" s="5">
        <f>SUMIFS(Exploded_Detail_Relevant!$G$2:$G$491,Exploded_Detail_Relevant!$A$2:$A$491,$A218,Exploded_Detail_Relevant!$B$2:$B$491,$B218,Exploded_Detail_Relevant!$E$2:$E$491,$C218,Exploded_Detail_Relevant!$F$2:$F$491,$D218)</f>
        <v/>
      </c>
      <c r="F218">
        <f>COUNTIFS(Exploded_Detail_Relevant!$A$2:$A$491,$A218,Exploded_Detail_Relevant!$B$2:$B$491,$B218,Exploded_Detail_Relevant!$E$2:$E$491,$C218,Exploded_Detail_Relevant!$F$2:$F$491,$D218)</f>
        <v/>
      </c>
    </row>
    <row r="219">
      <c r="A219" t="inlineStr">
        <is>
          <t>FFY2025</t>
        </is>
      </c>
      <c r="B219" t="inlineStr">
        <is>
          <t>AC Authorization</t>
        </is>
      </c>
      <c r="C219" t="inlineStr">
        <is>
          <t>Road Modernization</t>
        </is>
      </c>
      <c r="D219" t="inlineStr">
        <is>
          <t>Schaumburg</t>
        </is>
      </c>
      <c r="E219" s="5">
        <f>SUMIFS(Exploded_Detail_Relevant!$G$2:$G$491,Exploded_Detail_Relevant!$A$2:$A$491,$A219,Exploded_Detail_Relevant!$B$2:$B$491,$B219,Exploded_Detail_Relevant!$E$2:$E$491,$C219,Exploded_Detail_Relevant!$F$2:$F$491,$D219)</f>
        <v/>
      </c>
      <c r="F219">
        <f>COUNTIFS(Exploded_Detail_Relevant!$A$2:$A$491,$A219,Exploded_Detail_Relevant!$B$2:$B$491,$B219,Exploded_Detail_Relevant!$E$2:$E$491,$C219,Exploded_Detail_Relevant!$F$2:$F$491,$D219)</f>
        <v/>
      </c>
    </row>
    <row r="220">
      <c r="A220" t="inlineStr">
        <is>
          <t>FFY2025</t>
        </is>
      </c>
      <c r="B220" t="inlineStr">
        <is>
          <t>FHWA Obligation</t>
        </is>
      </c>
      <c r="C220" t="inlineStr">
        <is>
          <t>Road Modernization</t>
        </is>
      </c>
      <c r="D220" t="inlineStr">
        <is>
          <t>Schaumburg</t>
        </is>
      </c>
      <c r="E220" s="5">
        <f>SUMIFS(Exploded_Detail_Relevant!$G$2:$G$491,Exploded_Detail_Relevant!$A$2:$A$491,$A220,Exploded_Detail_Relevant!$B$2:$B$491,$B220,Exploded_Detail_Relevant!$E$2:$E$491,$C220,Exploded_Detail_Relevant!$F$2:$F$491,$D220)</f>
        <v/>
      </c>
      <c r="F220">
        <f>COUNTIFS(Exploded_Detail_Relevant!$A$2:$A$491,$A220,Exploded_Detail_Relevant!$B$2:$B$491,$B220,Exploded_Detail_Relevant!$E$2:$E$491,$C220,Exploded_Detail_Relevant!$F$2:$F$491,$D220)</f>
        <v/>
      </c>
    </row>
    <row r="221">
      <c r="A221" t="inlineStr">
        <is>
          <t>FFY2025</t>
        </is>
      </c>
      <c r="B221" t="inlineStr">
        <is>
          <t>FHWA Obligation</t>
        </is>
      </c>
      <c r="C221" t="inlineStr">
        <is>
          <t>Bicycle &amp; Pedestrian</t>
        </is>
      </c>
      <c r="D221" t="inlineStr">
        <is>
          <t>Schiller Park</t>
        </is>
      </c>
      <c r="E221" s="5">
        <f>SUMIFS(Exploded_Detail_Relevant!$G$2:$G$491,Exploded_Detail_Relevant!$A$2:$A$491,$A221,Exploded_Detail_Relevant!$B$2:$B$491,$B221,Exploded_Detail_Relevant!$E$2:$E$491,$C221,Exploded_Detail_Relevant!$F$2:$F$491,$D221)</f>
        <v/>
      </c>
      <c r="F221">
        <f>COUNTIFS(Exploded_Detail_Relevant!$A$2:$A$491,$A221,Exploded_Detail_Relevant!$B$2:$B$491,$B221,Exploded_Detail_Relevant!$E$2:$E$491,$C221,Exploded_Detail_Relevant!$F$2:$F$491,$D221)</f>
        <v/>
      </c>
    </row>
    <row r="222">
      <c r="A222" t="inlineStr">
        <is>
          <t>FFY2025</t>
        </is>
      </c>
      <c r="B222" t="inlineStr">
        <is>
          <t>AC Authorization</t>
        </is>
      </c>
      <c r="C222" t="inlineStr">
        <is>
          <t>Bridge Routine Maintenance</t>
        </is>
      </c>
      <c r="D222" t="inlineStr">
        <is>
          <t>Schiller Park</t>
        </is>
      </c>
      <c r="E222" s="5">
        <f>SUMIFS(Exploded_Detail_Relevant!$G$2:$G$491,Exploded_Detail_Relevant!$A$2:$A$491,$A222,Exploded_Detail_Relevant!$B$2:$B$491,$B222,Exploded_Detail_Relevant!$E$2:$E$491,$C222,Exploded_Detail_Relevant!$F$2:$F$491,$D222)</f>
        <v/>
      </c>
      <c r="F222">
        <f>COUNTIFS(Exploded_Detail_Relevant!$A$2:$A$491,$A222,Exploded_Detail_Relevant!$B$2:$B$491,$B222,Exploded_Detail_Relevant!$E$2:$E$491,$C222,Exploded_Detail_Relevant!$F$2:$F$491,$D222)</f>
        <v/>
      </c>
    </row>
    <row r="223">
      <c r="A223" t="inlineStr">
        <is>
          <t>FFY2025</t>
        </is>
      </c>
      <c r="B223" t="inlineStr">
        <is>
          <t>FHWA Obligation</t>
        </is>
      </c>
      <c r="C223" t="inlineStr">
        <is>
          <t>Intersection/Interchange Improvements</t>
        </is>
      </c>
      <c r="D223" t="inlineStr">
        <is>
          <t>Schiller Park</t>
        </is>
      </c>
      <c r="E223" s="5">
        <f>SUMIFS(Exploded_Detail_Relevant!$G$2:$G$491,Exploded_Detail_Relevant!$A$2:$A$491,$A223,Exploded_Detail_Relevant!$B$2:$B$491,$B223,Exploded_Detail_Relevant!$E$2:$E$491,$C223,Exploded_Detail_Relevant!$F$2:$F$491,$D223)</f>
        <v/>
      </c>
      <c r="F223">
        <f>COUNTIFS(Exploded_Detail_Relevant!$A$2:$A$491,$A223,Exploded_Detail_Relevant!$B$2:$B$491,$B223,Exploded_Detail_Relevant!$E$2:$E$491,$C223,Exploded_Detail_Relevant!$F$2:$F$491,$D223)</f>
        <v/>
      </c>
    </row>
    <row r="224">
      <c r="A224" t="inlineStr">
        <is>
          <t>FFY2025</t>
        </is>
      </c>
      <c r="B224" t="inlineStr">
        <is>
          <t>AC Authorization</t>
        </is>
      </c>
      <c r="C224" t="inlineStr">
        <is>
          <t>Bicycle &amp; Pedestrian</t>
        </is>
      </c>
      <c r="D224" t="inlineStr">
        <is>
          <t>Skokie</t>
        </is>
      </c>
      <c r="E224" s="5">
        <f>SUMIFS(Exploded_Detail_Relevant!$G$2:$G$491,Exploded_Detail_Relevant!$A$2:$A$491,$A224,Exploded_Detail_Relevant!$B$2:$B$491,$B224,Exploded_Detail_Relevant!$E$2:$E$491,$C224,Exploded_Detail_Relevant!$F$2:$F$491,$D224)</f>
        <v/>
      </c>
      <c r="F224">
        <f>COUNTIFS(Exploded_Detail_Relevant!$A$2:$A$491,$A224,Exploded_Detail_Relevant!$B$2:$B$491,$B224,Exploded_Detail_Relevant!$E$2:$E$491,$C224,Exploded_Detail_Relevant!$F$2:$F$491,$D224)</f>
        <v/>
      </c>
    </row>
    <row r="225">
      <c r="A225" t="inlineStr">
        <is>
          <t>FFY2025</t>
        </is>
      </c>
      <c r="B225" t="inlineStr">
        <is>
          <t>FHWA Obligation</t>
        </is>
      </c>
      <c r="C225" t="inlineStr">
        <is>
          <t>Bicycle &amp; Pedestrian</t>
        </is>
      </c>
      <c r="D225" t="inlineStr">
        <is>
          <t>Skokie</t>
        </is>
      </c>
      <c r="E225" s="5">
        <f>SUMIFS(Exploded_Detail_Relevant!$G$2:$G$491,Exploded_Detail_Relevant!$A$2:$A$491,$A225,Exploded_Detail_Relevant!$B$2:$B$491,$B225,Exploded_Detail_Relevant!$E$2:$E$491,$C225,Exploded_Detail_Relevant!$F$2:$F$491,$D225)</f>
        <v/>
      </c>
      <c r="F225">
        <f>COUNTIFS(Exploded_Detail_Relevant!$A$2:$A$491,$A225,Exploded_Detail_Relevant!$B$2:$B$491,$B225,Exploded_Detail_Relevant!$E$2:$E$491,$C225,Exploded_Detail_Relevant!$F$2:$F$491,$D225)</f>
        <v/>
      </c>
    </row>
    <row r="226">
      <c r="A226" t="inlineStr">
        <is>
          <t>FFY2025</t>
        </is>
      </c>
      <c r="B226" t="inlineStr">
        <is>
          <t>FHWA Obligation</t>
        </is>
      </c>
      <c r="C226" t="inlineStr">
        <is>
          <t>Intelligent Transportation Systems</t>
        </is>
      </c>
      <c r="D226" t="inlineStr">
        <is>
          <t>Skokie</t>
        </is>
      </c>
      <c r="E226" s="5">
        <f>SUMIFS(Exploded_Detail_Relevant!$G$2:$G$491,Exploded_Detail_Relevant!$A$2:$A$491,$A226,Exploded_Detail_Relevant!$B$2:$B$491,$B226,Exploded_Detail_Relevant!$E$2:$E$491,$C226,Exploded_Detail_Relevant!$F$2:$F$491,$D226)</f>
        <v/>
      </c>
      <c r="F226">
        <f>COUNTIFS(Exploded_Detail_Relevant!$A$2:$A$491,$A226,Exploded_Detail_Relevant!$B$2:$B$491,$B226,Exploded_Detail_Relevant!$E$2:$E$491,$C226,Exploded_Detail_Relevant!$F$2:$F$491,$D226)</f>
        <v/>
      </c>
    </row>
    <row r="227">
      <c r="A227" t="inlineStr">
        <is>
          <t>FFY2025</t>
        </is>
      </c>
      <c r="B227" t="inlineStr">
        <is>
          <t>AC Authorization</t>
        </is>
      </c>
      <c r="C227" t="inlineStr">
        <is>
          <t>Road Maintenance</t>
        </is>
      </c>
      <c r="D227" t="inlineStr">
        <is>
          <t>Skokie</t>
        </is>
      </c>
      <c r="E227" s="5">
        <f>SUMIFS(Exploded_Detail_Relevant!$G$2:$G$491,Exploded_Detail_Relevant!$A$2:$A$491,$A227,Exploded_Detail_Relevant!$B$2:$B$491,$B227,Exploded_Detail_Relevant!$E$2:$E$491,$C227,Exploded_Detail_Relevant!$F$2:$F$491,$D227)</f>
        <v/>
      </c>
      <c r="F227">
        <f>COUNTIFS(Exploded_Detail_Relevant!$A$2:$A$491,$A227,Exploded_Detail_Relevant!$B$2:$B$491,$B227,Exploded_Detail_Relevant!$E$2:$E$491,$C227,Exploded_Detail_Relevant!$F$2:$F$491,$D227)</f>
        <v/>
      </c>
    </row>
    <row r="228">
      <c r="A228" t="inlineStr">
        <is>
          <t>FFY2025</t>
        </is>
      </c>
      <c r="B228" t="inlineStr">
        <is>
          <t>AC Authorization</t>
        </is>
      </c>
      <c r="C228" t="inlineStr">
        <is>
          <t>Road Modernization</t>
        </is>
      </c>
      <c r="D228" t="inlineStr">
        <is>
          <t>Skokie</t>
        </is>
      </c>
      <c r="E228" s="5">
        <f>SUMIFS(Exploded_Detail_Relevant!$G$2:$G$491,Exploded_Detail_Relevant!$A$2:$A$491,$A228,Exploded_Detail_Relevant!$B$2:$B$491,$B228,Exploded_Detail_Relevant!$E$2:$E$491,$C228,Exploded_Detail_Relevant!$F$2:$F$491,$D228)</f>
        <v/>
      </c>
      <c r="F228">
        <f>COUNTIFS(Exploded_Detail_Relevant!$A$2:$A$491,$A228,Exploded_Detail_Relevant!$B$2:$B$491,$B228,Exploded_Detail_Relevant!$E$2:$E$491,$C228,Exploded_Detail_Relevant!$F$2:$F$491,$D228)</f>
        <v/>
      </c>
    </row>
    <row r="229">
      <c r="A229" t="inlineStr">
        <is>
          <t>FFY2025</t>
        </is>
      </c>
      <c r="B229" t="inlineStr">
        <is>
          <t>FHWA Obligation</t>
        </is>
      </c>
      <c r="C229" t="inlineStr">
        <is>
          <t>Safety</t>
        </is>
      </c>
      <c r="D229" t="inlineStr">
        <is>
          <t>Skokie</t>
        </is>
      </c>
      <c r="E229" s="5">
        <f>SUMIFS(Exploded_Detail_Relevant!$G$2:$G$491,Exploded_Detail_Relevant!$A$2:$A$491,$A229,Exploded_Detail_Relevant!$B$2:$B$491,$B229,Exploded_Detail_Relevant!$E$2:$E$491,$C229,Exploded_Detail_Relevant!$F$2:$F$491,$D229)</f>
        <v/>
      </c>
      <c r="F229">
        <f>COUNTIFS(Exploded_Detail_Relevant!$A$2:$A$491,$A229,Exploded_Detail_Relevant!$B$2:$B$491,$B229,Exploded_Detail_Relevant!$E$2:$E$491,$C229,Exploded_Detail_Relevant!$F$2:$F$491,$D229)</f>
        <v/>
      </c>
    </row>
    <row r="230">
      <c r="A230" t="inlineStr">
        <is>
          <t>FFY2025</t>
        </is>
      </c>
      <c r="B230" t="inlineStr">
        <is>
          <t>FHWA Obligation</t>
        </is>
      </c>
      <c r="C230" t="inlineStr">
        <is>
          <t>Signal Systems</t>
        </is>
      </c>
      <c r="D230" t="inlineStr">
        <is>
          <t>Skokie</t>
        </is>
      </c>
      <c r="E230" s="5">
        <f>SUMIFS(Exploded_Detail_Relevant!$G$2:$G$491,Exploded_Detail_Relevant!$A$2:$A$491,$A230,Exploded_Detail_Relevant!$B$2:$B$491,$B230,Exploded_Detail_Relevant!$E$2:$E$491,$C230,Exploded_Detail_Relevant!$F$2:$F$491,$D230)</f>
        <v/>
      </c>
      <c r="F230">
        <f>COUNTIFS(Exploded_Detail_Relevant!$A$2:$A$491,$A230,Exploded_Detail_Relevant!$B$2:$B$491,$B230,Exploded_Detail_Relevant!$E$2:$E$491,$C230,Exploded_Detail_Relevant!$F$2:$F$491,$D230)</f>
        <v/>
      </c>
    </row>
    <row r="231">
      <c r="A231" t="inlineStr">
        <is>
          <t>FFY2025</t>
        </is>
      </c>
      <c r="B231" t="inlineStr">
        <is>
          <t>FHWA Obligation</t>
        </is>
      </c>
      <c r="C231" t="inlineStr">
        <is>
          <t>Road Expansion</t>
        </is>
      </c>
      <c r="D231" t="inlineStr">
        <is>
          <t>South Barrington</t>
        </is>
      </c>
      <c r="E231" s="5">
        <f>SUMIFS(Exploded_Detail_Relevant!$G$2:$G$491,Exploded_Detail_Relevant!$A$2:$A$491,$A231,Exploded_Detail_Relevant!$B$2:$B$491,$B231,Exploded_Detail_Relevant!$E$2:$E$491,$C231,Exploded_Detail_Relevant!$F$2:$F$491,$D231)</f>
        <v/>
      </c>
      <c r="F231">
        <f>COUNTIFS(Exploded_Detail_Relevant!$A$2:$A$491,$A231,Exploded_Detail_Relevant!$B$2:$B$491,$B231,Exploded_Detail_Relevant!$E$2:$E$491,$C231,Exploded_Detail_Relevant!$F$2:$F$491,$D231)</f>
        <v/>
      </c>
    </row>
    <row r="232">
      <c r="A232" t="inlineStr">
        <is>
          <t>FFY2025</t>
        </is>
      </c>
      <c r="B232" t="inlineStr">
        <is>
          <t>AC Authorization</t>
        </is>
      </c>
      <c r="C232" t="inlineStr">
        <is>
          <t>Road Maintenance</t>
        </is>
      </c>
      <c r="D232" t="inlineStr">
        <is>
          <t>South Chicago Heights</t>
        </is>
      </c>
      <c r="E232" s="5">
        <f>SUMIFS(Exploded_Detail_Relevant!$G$2:$G$491,Exploded_Detail_Relevant!$A$2:$A$491,$A232,Exploded_Detail_Relevant!$B$2:$B$491,$B232,Exploded_Detail_Relevant!$E$2:$E$491,$C232,Exploded_Detail_Relevant!$F$2:$F$491,$D232)</f>
        <v/>
      </c>
      <c r="F232">
        <f>COUNTIFS(Exploded_Detail_Relevant!$A$2:$A$491,$A232,Exploded_Detail_Relevant!$B$2:$B$491,$B232,Exploded_Detail_Relevant!$E$2:$E$491,$C232,Exploded_Detail_Relevant!$F$2:$F$491,$D232)</f>
        <v/>
      </c>
    </row>
    <row r="233">
      <c r="A233" t="inlineStr">
        <is>
          <t>FFY2025</t>
        </is>
      </c>
      <c r="B233" t="inlineStr">
        <is>
          <t>AC Authorization</t>
        </is>
      </c>
      <c r="C233" t="inlineStr">
        <is>
          <t>Bridge Repair, Rehab, or Replace</t>
        </is>
      </c>
      <c r="D233" t="inlineStr">
        <is>
          <t>South Holland</t>
        </is>
      </c>
      <c r="E233" s="5">
        <f>SUMIFS(Exploded_Detail_Relevant!$G$2:$G$491,Exploded_Detail_Relevant!$A$2:$A$491,$A233,Exploded_Detail_Relevant!$B$2:$B$491,$B233,Exploded_Detail_Relevant!$E$2:$E$491,$C233,Exploded_Detail_Relevant!$F$2:$F$491,$D233)</f>
        <v/>
      </c>
      <c r="F233">
        <f>COUNTIFS(Exploded_Detail_Relevant!$A$2:$A$491,$A233,Exploded_Detail_Relevant!$B$2:$B$491,$B233,Exploded_Detail_Relevant!$E$2:$E$491,$C233,Exploded_Detail_Relevant!$F$2:$F$491,$D233)</f>
        <v/>
      </c>
    </row>
    <row r="234">
      <c r="A234" t="inlineStr">
        <is>
          <t>FFY2025</t>
        </is>
      </c>
      <c r="B234" t="inlineStr">
        <is>
          <t>AC Authorization</t>
        </is>
      </c>
      <c r="C234" t="inlineStr">
        <is>
          <t>Bridge Routine Maintenance</t>
        </is>
      </c>
      <c r="D234" t="inlineStr">
        <is>
          <t>South Holland</t>
        </is>
      </c>
      <c r="E234" s="5">
        <f>SUMIFS(Exploded_Detail_Relevant!$G$2:$G$491,Exploded_Detail_Relevant!$A$2:$A$491,$A234,Exploded_Detail_Relevant!$B$2:$B$491,$B234,Exploded_Detail_Relevant!$E$2:$E$491,$C234,Exploded_Detail_Relevant!$F$2:$F$491,$D234)</f>
        <v/>
      </c>
      <c r="F234">
        <f>COUNTIFS(Exploded_Detail_Relevant!$A$2:$A$491,$A234,Exploded_Detail_Relevant!$B$2:$B$491,$B234,Exploded_Detail_Relevant!$E$2:$E$491,$C234,Exploded_Detail_Relevant!$F$2:$F$491,$D234)</f>
        <v/>
      </c>
    </row>
    <row r="235">
      <c r="A235" t="inlineStr">
        <is>
          <t>FFY2025</t>
        </is>
      </c>
      <c r="B235" t="inlineStr">
        <is>
          <t>FHWA Obligation</t>
        </is>
      </c>
      <c r="C235" t="inlineStr">
        <is>
          <t>Bridge Routine Maintenance</t>
        </is>
      </c>
      <c r="D235" t="inlineStr">
        <is>
          <t>South Holland</t>
        </is>
      </c>
      <c r="E235" s="5">
        <f>SUMIFS(Exploded_Detail_Relevant!$G$2:$G$491,Exploded_Detail_Relevant!$A$2:$A$491,$A235,Exploded_Detail_Relevant!$B$2:$B$491,$B235,Exploded_Detail_Relevant!$E$2:$E$491,$C235,Exploded_Detail_Relevant!$F$2:$F$491,$D235)</f>
        <v/>
      </c>
      <c r="F235">
        <f>COUNTIFS(Exploded_Detail_Relevant!$A$2:$A$491,$A235,Exploded_Detail_Relevant!$B$2:$B$491,$B235,Exploded_Detail_Relevant!$E$2:$E$491,$C235,Exploded_Detail_Relevant!$F$2:$F$491,$D235)</f>
        <v/>
      </c>
    </row>
    <row r="236">
      <c r="A236" t="inlineStr">
        <is>
          <t>FFY2025</t>
        </is>
      </c>
      <c r="B236" t="inlineStr">
        <is>
          <t>FHWA Obligation</t>
        </is>
      </c>
      <c r="C236" t="inlineStr">
        <is>
          <t>Road Maintenance</t>
        </is>
      </c>
      <c r="D236" t="inlineStr">
        <is>
          <t>South Holland</t>
        </is>
      </c>
      <c r="E236" s="5">
        <f>SUMIFS(Exploded_Detail_Relevant!$G$2:$G$491,Exploded_Detail_Relevant!$A$2:$A$491,$A236,Exploded_Detail_Relevant!$B$2:$B$491,$B236,Exploded_Detail_Relevant!$E$2:$E$491,$C236,Exploded_Detail_Relevant!$F$2:$F$491,$D236)</f>
        <v/>
      </c>
      <c r="F236">
        <f>COUNTIFS(Exploded_Detail_Relevant!$A$2:$A$491,$A236,Exploded_Detail_Relevant!$B$2:$B$491,$B236,Exploded_Detail_Relevant!$E$2:$E$491,$C236,Exploded_Detail_Relevant!$F$2:$F$491,$D236)</f>
        <v/>
      </c>
    </row>
    <row r="237">
      <c r="A237" t="inlineStr">
        <is>
          <t>FFY2025</t>
        </is>
      </c>
      <c r="B237" t="inlineStr">
        <is>
          <t>AC Authorization</t>
        </is>
      </c>
      <c r="C237" t="inlineStr">
        <is>
          <t>Road Maintenance</t>
        </is>
      </c>
      <c r="D237" t="inlineStr">
        <is>
          <t>Stickney</t>
        </is>
      </c>
      <c r="E237" s="5">
        <f>SUMIFS(Exploded_Detail_Relevant!$G$2:$G$491,Exploded_Detail_Relevant!$A$2:$A$491,$A237,Exploded_Detail_Relevant!$B$2:$B$491,$B237,Exploded_Detail_Relevant!$E$2:$E$491,$C237,Exploded_Detail_Relevant!$F$2:$F$491,$D237)</f>
        <v/>
      </c>
      <c r="F237">
        <f>COUNTIFS(Exploded_Detail_Relevant!$A$2:$A$491,$A237,Exploded_Detail_Relevant!$B$2:$B$491,$B237,Exploded_Detail_Relevant!$E$2:$E$491,$C237,Exploded_Detail_Relevant!$F$2:$F$491,$D237)</f>
        <v/>
      </c>
    </row>
    <row r="238">
      <c r="A238" t="inlineStr">
        <is>
          <t>FFY2025</t>
        </is>
      </c>
      <c r="B238" t="inlineStr">
        <is>
          <t>FHWA Obligation</t>
        </is>
      </c>
      <c r="C238" t="inlineStr">
        <is>
          <t>Bicycle &amp; Pedestrian</t>
        </is>
      </c>
      <c r="D238" t="inlineStr">
        <is>
          <t>Streamwood</t>
        </is>
      </c>
      <c r="E238" s="5">
        <f>SUMIFS(Exploded_Detail_Relevant!$G$2:$G$491,Exploded_Detail_Relevant!$A$2:$A$491,$A238,Exploded_Detail_Relevant!$B$2:$B$491,$B238,Exploded_Detail_Relevant!$E$2:$E$491,$C238,Exploded_Detail_Relevant!$F$2:$F$491,$D238)</f>
        <v/>
      </c>
      <c r="F238">
        <f>COUNTIFS(Exploded_Detail_Relevant!$A$2:$A$491,$A238,Exploded_Detail_Relevant!$B$2:$B$491,$B238,Exploded_Detail_Relevant!$E$2:$E$491,$C238,Exploded_Detail_Relevant!$F$2:$F$491,$D238)</f>
        <v/>
      </c>
    </row>
    <row r="239">
      <c r="A239" t="inlineStr">
        <is>
          <t>FFY2025</t>
        </is>
      </c>
      <c r="B239" t="inlineStr">
        <is>
          <t>FHWA Obligation</t>
        </is>
      </c>
      <c r="C239" t="inlineStr">
        <is>
          <t>Road Expansion</t>
        </is>
      </c>
      <c r="D239" t="inlineStr">
        <is>
          <t>Streamwood</t>
        </is>
      </c>
      <c r="E239" s="5">
        <f>SUMIFS(Exploded_Detail_Relevant!$G$2:$G$491,Exploded_Detail_Relevant!$A$2:$A$491,$A239,Exploded_Detail_Relevant!$B$2:$B$491,$B239,Exploded_Detail_Relevant!$E$2:$E$491,$C239,Exploded_Detail_Relevant!$F$2:$F$491,$D239)</f>
        <v/>
      </c>
      <c r="F239">
        <f>COUNTIFS(Exploded_Detail_Relevant!$A$2:$A$491,$A239,Exploded_Detail_Relevant!$B$2:$B$491,$B239,Exploded_Detail_Relevant!$E$2:$E$491,$C239,Exploded_Detail_Relevant!$F$2:$F$491,$D239)</f>
        <v/>
      </c>
    </row>
    <row r="240">
      <c r="A240" t="inlineStr">
        <is>
          <t>FFY2025</t>
        </is>
      </c>
      <c r="B240" t="inlineStr">
        <is>
          <t>FHWA Obligation</t>
        </is>
      </c>
      <c r="C240" t="inlineStr">
        <is>
          <t>Bridge Routine Maintenance</t>
        </is>
      </c>
      <c r="D240" t="inlineStr">
        <is>
          <t>Summit</t>
        </is>
      </c>
      <c r="E240" s="5">
        <f>SUMIFS(Exploded_Detail_Relevant!$G$2:$G$491,Exploded_Detail_Relevant!$A$2:$A$491,$A240,Exploded_Detail_Relevant!$B$2:$B$491,$B240,Exploded_Detail_Relevant!$E$2:$E$491,$C240,Exploded_Detail_Relevant!$F$2:$F$491,$D240)</f>
        <v/>
      </c>
      <c r="F240">
        <f>COUNTIFS(Exploded_Detail_Relevant!$A$2:$A$491,$A240,Exploded_Detail_Relevant!$B$2:$B$491,$B240,Exploded_Detail_Relevant!$E$2:$E$491,$C240,Exploded_Detail_Relevant!$F$2:$F$491,$D240)</f>
        <v/>
      </c>
    </row>
    <row r="241">
      <c r="A241" t="inlineStr">
        <is>
          <t>FFY2025</t>
        </is>
      </c>
      <c r="B241" t="inlineStr">
        <is>
          <t>AC Authorization</t>
        </is>
      </c>
      <c r="C241" t="inlineStr">
        <is>
          <t>Freight Movement</t>
        </is>
      </c>
      <c r="D241" t="inlineStr">
        <is>
          <t>Summit</t>
        </is>
      </c>
      <c r="E241" s="5">
        <f>SUMIFS(Exploded_Detail_Relevant!$G$2:$G$491,Exploded_Detail_Relevant!$A$2:$A$491,$A241,Exploded_Detail_Relevant!$B$2:$B$491,$B241,Exploded_Detail_Relevant!$E$2:$E$491,$C241,Exploded_Detail_Relevant!$F$2:$F$491,$D241)</f>
        <v/>
      </c>
      <c r="F241">
        <f>COUNTIFS(Exploded_Detail_Relevant!$A$2:$A$491,$A241,Exploded_Detail_Relevant!$B$2:$B$491,$B241,Exploded_Detail_Relevant!$E$2:$E$491,$C241,Exploded_Detail_Relevant!$F$2:$F$491,$D241)</f>
        <v/>
      </c>
    </row>
    <row r="242">
      <c r="A242" t="inlineStr">
        <is>
          <t>FFY2025</t>
        </is>
      </c>
      <c r="B242" t="inlineStr">
        <is>
          <t>AC Authorization</t>
        </is>
      </c>
      <c r="C242" t="inlineStr">
        <is>
          <t>Road Maintenance</t>
        </is>
      </c>
      <c r="D242" t="inlineStr">
        <is>
          <t>Summit</t>
        </is>
      </c>
      <c r="E242" s="5">
        <f>SUMIFS(Exploded_Detail_Relevant!$G$2:$G$491,Exploded_Detail_Relevant!$A$2:$A$491,$A242,Exploded_Detail_Relevant!$B$2:$B$491,$B242,Exploded_Detail_Relevant!$E$2:$E$491,$C242,Exploded_Detail_Relevant!$F$2:$F$491,$D242)</f>
        <v/>
      </c>
      <c r="F242">
        <f>COUNTIFS(Exploded_Detail_Relevant!$A$2:$A$491,$A242,Exploded_Detail_Relevant!$B$2:$B$491,$B242,Exploded_Detail_Relevant!$E$2:$E$491,$C242,Exploded_Detail_Relevant!$F$2:$F$491,$D242)</f>
        <v/>
      </c>
    </row>
    <row r="243">
      <c r="A243" t="inlineStr">
        <is>
          <t>FFY2025</t>
        </is>
      </c>
      <c r="B243" t="inlineStr">
        <is>
          <t>FHWA Obligation</t>
        </is>
      </c>
      <c r="C243" t="inlineStr">
        <is>
          <t>Road Maintenance</t>
        </is>
      </c>
      <c r="D243" t="inlineStr">
        <is>
          <t>Summit</t>
        </is>
      </c>
      <c r="E243" s="5">
        <f>SUMIFS(Exploded_Detail_Relevant!$G$2:$G$491,Exploded_Detail_Relevant!$A$2:$A$491,$A243,Exploded_Detail_Relevant!$B$2:$B$491,$B243,Exploded_Detail_Relevant!$E$2:$E$491,$C243,Exploded_Detail_Relevant!$F$2:$F$491,$D243)</f>
        <v/>
      </c>
      <c r="F243">
        <f>COUNTIFS(Exploded_Detail_Relevant!$A$2:$A$491,$A243,Exploded_Detail_Relevant!$B$2:$B$491,$B243,Exploded_Detail_Relevant!$E$2:$E$491,$C243,Exploded_Detail_Relevant!$F$2:$F$491,$D243)</f>
        <v/>
      </c>
    </row>
    <row r="244">
      <c r="A244" t="inlineStr">
        <is>
          <t>FFY2025</t>
        </is>
      </c>
      <c r="B244" t="inlineStr">
        <is>
          <t>AC Authorization</t>
        </is>
      </c>
      <c r="C244" t="inlineStr">
        <is>
          <t>Intersection/Interchange Improvements</t>
        </is>
      </c>
      <c r="D244" t="inlineStr">
        <is>
          <t>Unincorporated (Cook)</t>
        </is>
      </c>
      <c r="E244" s="5">
        <f>SUMIFS(Exploded_Detail_Relevant!$G$2:$G$491,Exploded_Detail_Relevant!$A$2:$A$491,$A244,Exploded_Detail_Relevant!$B$2:$B$491,$B244,Exploded_Detail_Relevant!$E$2:$E$491,$C244,Exploded_Detail_Relevant!$F$2:$F$491,$D244)</f>
        <v/>
      </c>
      <c r="F244">
        <f>COUNTIFS(Exploded_Detail_Relevant!$A$2:$A$491,$A244,Exploded_Detail_Relevant!$B$2:$B$491,$B244,Exploded_Detail_Relevant!$E$2:$E$491,$C244,Exploded_Detail_Relevant!$F$2:$F$491,$D244)</f>
        <v/>
      </c>
    </row>
    <row r="245">
      <c r="A245" t="inlineStr">
        <is>
          <t>FFY2025</t>
        </is>
      </c>
      <c r="B245" t="inlineStr">
        <is>
          <t>FHWA Obligation</t>
        </is>
      </c>
      <c r="C245" t="inlineStr">
        <is>
          <t>Intersection/Interchange Improvements</t>
        </is>
      </c>
      <c r="D245" t="inlineStr">
        <is>
          <t>Unincorporated (Cook)</t>
        </is>
      </c>
      <c r="E245" s="5">
        <f>SUMIFS(Exploded_Detail_Relevant!$G$2:$G$491,Exploded_Detail_Relevant!$A$2:$A$491,$A245,Exploded_Detail_Relevant!$B$2:$B$491,$B245,Exploded_Detail_Relevant!$E$2:$E$491,$C245,Exploded_Detail_Relevant!$F$2:$F$491,$D245)</f>
        <v/>
      </c>
      <c r="F245">
        <f>COUNTIFS(Exploded_Detail_Relevant!$A$2:$A$491,$A245,Exploded_Detail_Relevant!$B$2:$B$491,$B245,Exploded_Detail_Relevant!$E$2:$E$491,$C245,Exploded_Detail_Relevant!$F$2:$F$491,$D245)</f>
        <v/>
      </c>
    </row>
    <row r="246">
      <c r="A246" t="inlineStr">
        <is>
          <t>FFY2025</t>
        </is>
      </c>
      <c r="B246" t="inlineStr">
        <is>
          <t>AC Authorization</t>
        </is>
      </c>
      <c r="C246" t="inlineStr">
        <is>
          <t>Bridge Repair, Rehab, or Replace</t>
        </is>
      </c>
      <c r="D246" t="inlineStr">
        <is>
          <t>Westchester</t>
        </is>
      </c>
      <c r="E246" s="5">
        <f>SUMIFS(Exploded_Detail_Relevant!$G$2:$G$491,Exploded_Detail_Relevant!$A$2:$A$491,$A246,Exploded_Detail_Relevant!$B$2:$B$491,$B246,Exploded_Detail_Relevant!$E$2:$E$491,$C246,Exploded_Detail_Relevant!$F$2:$F$491,$D246)</f>
        <v/>
      </c>
      <c r="F246">
        <f>COUNTIFS(Exploded_Detail_Relevant!$A$2:$A$491,$A246,Exploded_Detail_Relevant!$B$2:$B$491,$B246,Exploded_Detail_Relevant!$E$2:$E$491,$C246,Exploded_Detail_Relevant!$F$2:$F$491,$D246)</f>
        <v/>
      </c>
    </row>
    <row r="247">
      <c r="A247" t="inlineStr">
        <is>
          <t>FFY2025</t>
        </is>
      </c>
      <c r="B247" t="inlineStr">
        <is>
          <t>FHWA Obligation</t>
        </is>
      </c>
      <c r="C247" t="inlineStr">
        <is>
          <t>Road Expansion</t>
        </is>
      </c>
      <c r="D247" t="inlineStr">
        <is>
          <t>Westchester</t>
        </is>
      </c>
      <c r="E247" s="5">
        <f>SUMIFS(Exploded_Detail_Relevant!$G$2:$G$491,Exploded_Detail_Relevant!$A$2:$A$491,$A247,Exploded_Detail_Relevant!$B$2:$B$491,$B247,Exploded_Detail_Relevant!$E$2:$E$491,$C247,Exploded_Detail_Relevant!$F$2:$F$491,$D247)</f>
        <v/>
      </c>
      <c r="F247">
        <f>COUNTIFS(Exploded_Detail_Relevant!$A$2:$A$491,$A247,Exploded_Detail_Relevant!$B$2:$B$491,$B247,Exploded_Detail_Relevant!$E$2:$E$491,$C247,Exploded_Detail_Relevant!$F$2:$F$491,$D247)</f>
        <v/>
      </c>
    </row>
    <row r="248">
      <c r="A248" t="inlineStr">
        <is>
          <t>FFY2025</t>
        </is>
      </c>
      <c r="B248" t="inlineStr">
        <is>
          <t>AC Authorization</t>
        </is>
      </c>
      <c r="C248" t="inlineStr">
        <is>
          <t>Road Maintenance</t>
        </is>
      </c>
      <c r="D248" t="inlineStr">
        <is>
          <t>Westchester</t>
        </is>
      </c>
      <c r="E248" s="5">
        <f>SUMIFS(Exploded_Detail_Relevant!$G$2:$G$491,Exploded_Detail_Relevant!$A$2:$A$491,$A248,Exploded_Detail_Relevant!$B$2:$B$491,$B248,Exploded_Detail_Relevant!$E$2:$E$491,$C248,Exploded_Detail_Relevant!$F$2:$F$491,$D248)</f>
        <v/>
      </c>
      <c r="F248">
        <f>COUNTIFS(Exploded_Detail_Relevant!$A$2:$A$491,$A248,Exploded_Detail_Relevant!$B$2:$B$491,$B248,Exploded_Detail_Relevant!$E$2:$E$491,$C248,Exploded_Detail_Relevant!$F$2:$F$491,$D248)</f>
        <v/>
      </c>
    </row>
    <row r="249">
      <c r="A249" t="inlineStr">
        <is>
          <t>FFY2025</t>
        </is>
      </c>
      <c r="B249" t="inlineStr">
        <is>
          <t>FHWA Obligation</t>
        </is>
      </c>
      <c r="C249" t="inlineStr">
        <is>
          <t>Road Maintenance</t>
        </is>
      </c>
      <c r="D249" t="inlineStr">
        <is>
          <t>Westchester</t>
        </is>
      </c>
      <c r="E249" s="5">
        <f>SUMIFS(Exploded_Detail_Relevant!$G$2:$G$491,Exploded_Detail_Relevant!$A$2:$A$491,$A249,Exploded_Detail_Relevant!$B$2:$B$491,$B249,Exploded_Detail_Relevant!$E$2:$E$491,$C249,Exploded_Detail_Relevant!$F$2:$F$491,$D249)</f>
        <v/>
      </c>
      <c r="F249">
        <f>COUNTIFS(Exploded_Detail_Relevant!$A$2:$A$491,$A249,Exploded_Detail_Relevant!$B$2:$B$491,$B249,Exploded_Detail_Relevant!$E$2:$E$491,$C249,Exploded_Detail_Relevant!$F$2:$F$491,$D249)</f>
        <v/>
      </c>
    </row>
    <row r="250">
      <c r="A250" t="inlineStr">
        <is>
          <t>FFY2025</t>
        </is>
      </c>
      <c r="B250" t="inlineStr">
        <is>
          <t>FHWA Obligation</t>
        </is>
      </c>
      <c r="C250" t="inlineStr">
        <is>
          <t>Road Modernization</t>
        </is>
      </c>
      <c r="D250" t="inlineStr">
        <is>
          <t>Westchester</t>
        </is>
      </c>
      <c r="E250" s="5">
        <f>SUMIFS(Exploded_Detail_Relevant!$G$2:$G$491,Exploded_Detail_Relevant!$A$2:$A$491,$A250,Exploded_Detail_Relevant!$B$2:$B$491,$B250,Exploded_Detail_Relevant!$E$2:$E$491,$C250,Exploded_Detail_Relevant!$F$2:$F$491,$D250)</f>
        <v/>
      </c>
      <c r="F250">
        <f>COUNTIFS(Exploded_Detail_Relevant!$A$2:$A$491,$A250,Exploded_Detail_Relevant!$B$2:$B$491,$B250,Exploded_Detail_Relevant!$E$2:$E$491,$C250,Exploded_Detail_Relevant!$F$2:$F$491,$D250)</f>
        <v/>
      </c>
    </row>
    <row r="251">
      <c r="A251" t="inlineStr">
        <is>
          <t>FFY2025</t>
        </is>
      </c>
      <c r="B251" t="inlineStr">
        <is>
          <t>FHWA Obligation</t>
        </is>
      </c>
      <c r="C251" t="inlineStr">
        <is>
          <t>Intersection/Interchange Improvements</t>
        </is>
      </c>
      <c r="D251" t="inlineStr">
        <is>
          <t>Western Springs</t>
        </is>
      </c>
      <c r="E251" s="5">
        <f>SUMIFS(Exploded_Detail_Relevant!$G$2:$G$491,Exploded_Detail_Relevant!$A$2:$A$491,$A251,Exploded_Detail_Relevant!$B$2:$B$491,$B251,Exploded_Detail_Relevant!$E$2:$E$491,$C251,Exploded_Detail_Relevant!$F$2:$F$491,$D251)</f>
        <v/>
      </c>
      <c r="F251">
        <f>COUNTIFS(Exploded_Detail_Relevant!$A$2:$A$491,$A251,Exploded_Detail_Relevant!$B$2:$B$491,$B251,Exploded_Detail_Relevant!$E$2:$E$491,$C251,Exploded_Detail_Relevant!$F$2:$F$491,$D251)</f>
        <v/>
      </c>
    </row>
    <row r="252">
      <c r="A252" t="inlineStr">
        <is>
          <t>FFY2025</t>
        </is>
      </c>
      <c r="B252" t="inlineStr">
        <is>
          <t>FHWA Obligation</t>
        </is>
      </c>
      <c r="C252" t="inlineStr">
        <is>
          <t>Road Maintenance</t>
        </is>
      </c>
      <c r="D252" t="inlineStr">
        <is>
          <t>Western Springs</t>
        </is>
      </c>
      <c r="E252" s="5">
        <f>SUMIFS(Exploded_Detail_Relevant!$G$2:$G$491,Exploded_Detail_Relevant!$A$2:$A$491,$A252,Exploded_Detail_Relevant!$B$2:$B$491,$B252,Exploded_Detail_Relevant!$E$2:$E$491,$C252,Exploded_Detail_Relevant!$F$2:$F$491,$D252)</f>
        <v/>
      </c>
      <c r="F252">
        <f>COUNTIFS(Exploded_Detail_Relevant!$A$2:$A$491,$A252,Exploded_Detail_Relevant!$B$2:$B$491,$B252,Exploded_Detail_Relevant!$E$2:$E$491,$C252,Exploded_Detail_Relevant!$F$2:$F$491,$D252)</f>
        <v/>
      </c>
    </row>
    <row r="253">
      <c r="A253" t="inlineStr">
        <is>
          <t>FFY2025</t>
        </is>
      </c>
      <c r="B253" t="inlineStr">
        <is>
          <t>AC Authorization</t>
        </is>
      </c>
      <c r="C253" t="inlineStr">
        <is>
          <t>Road Maintenance</t>
        </is>
      </c>
      <c r="D253" t="inlineStr">
        <is>
          <t>Wheeling</t>
        </is>
      </c>
      <c r="E253" s="5">
        <f>SUMIFS(Exploded_Detail_Relevant!$G$2:$G$491,Exploded_Detail_Relevant!$A$2:$A$491,$A253,Exploded_Detail_Relevant!$B$2:$B$491,$B253,Exploded_Detail_Relevant!$E$2:$E$491,$C253,Exploded_Detail_Relevant!$F$2:$F$491,$D253)</f>
        <v/>
      </c>
      <c r="F253">
        <f>COUNTIFS(Exploded_Detail_Relevant!$A$2:$A$491,$A253,Exploded_Detail_Relevant!$B$2:$B$491,$B253,Exploded_Detail_Relevant!$E$2:$E$491,$C253,Exploded_Detail_Relevant!$F$2:$F$491,$D253)</f>
        <v/>
      </c>
    </row>
    <row r="254">
      <c r="A254" t="inlineStr">
        <is>
          <t>FFY2025</t>
        </is>
      </c>
      <c r="B254" t="inlineStr">
        <is>
          <t>FHWA Obligation</t>
        </is>
      </c>
      <c r="C254" t="inlineStr">
        <is>
          <t>Intelligent Transportation Systems</t>
        </is>
      </c>
      <c r="D254" t="inlineStr">
        <is>
          <t>Wilmette</t>
        </is>
      </c>
      <c r="E254" s="5">
        <f>SUMIFS(Exploded_Detail_Relevant!$G$2:$G$491,Exploded_Detail_Relevant!$A$2:$A$491,$A254,Exploded_Detail_Relevant!$B$2:$B$491,$B254,Exploded_Detail_Relevant!$E$2:$E$491,$C254,Exploded_Detail_Relevant!$F$2:$F$491,$D254)</f>
        <v/>
      </c>
      <c r="F254">
        <f>COUNTIFS(Exploded_Detail_Relevant!$A$2:$A$491,$A254,Exploded_Detail_Relevant!$B$2:$B$491,$B254,Exploded_Detail_Relevant!$E$2:$E$491,$C254,Exploded_Detail_Relevant!$F$2:$F$491,$D254)</f>
        <v/>
      </c>
    </row>
    <row r="255">
      <c r="A255" t="inlineStr">
        <is>
          <t>FFY2025</t>
        </is>
      </c>
      <c r="B255" t="inlineStr">
        <is>
          <t>AC Authorization</t>
        </is>
      </c>
      <c r="C255" t="inlineStr">
        <is>
          <t>Intersection/Interchange Improvements</t>
        </is>
      </c>
      <c r="D255" t="inlineStr">
        <is>
          <t>Wilmette</t>
        </is>
      </c>
      <c r="E255" s="5">
        <f>SUMIFS(Exploded_Detail_Relevant!$G$2:$G$491,Exploded_Detail_Relevant!$A$2:$A$491,$A255,Exploded_Detail_Relevant!$B$2:$B$491,$B255,Exploded_Detail_Relevant!$E$2:$E$491,$C255,Exploded_Detail_Relevant!$F$2:$F$491,$D255)</f>
        <v/>
      </c>
      <c r="F255">
        <f>COUNTIFS(Exploded_Detail_Relevant!$A$2:$A$491,$A255,Exploded_Detail_Relevant!$B$2:$B$491,$B255,Exploded_Detail_Relevant!$E$2:$E$491,$C255,Exploded_Detail_Relevant!$F$2:$F$491,$D255)</f>
        <v/>
      </c>
    </row>
    <row r="256">
      <c r="A256" t="inlineStr">
        <is>
          <t>FFY2025</t>
        </is>
      </c>
      <c r="B256" t="inlineStr">
        <is>
          <t>AC Authorization</t>
        </is>
      </c>
      <c r="C256" t="inlineStr">
        <is>
          <t>Road Maintenance</t>
        </is>
      </c>
      <c r="D256" t="inlineStr">
        <is>
          <t>Wilmette</t>
        </is>
      </c>
      <c r="E256" s="5">
        <f>SUMIFS(Exploded_Detail_Relevant!$G$2:$G$491,Exploded_Detail_Relevant!$A$2:$A$491,$A256,Exploded_Detail_Relevant!$B$2:$B$491,$B256,Exploded_Detail_Relevant!$E$2:$E$491,$C256,Exploded_Detail_Relevant!$F$2:$F$491,$D256)</f>
        <v/>
      </c>
      <c r="F256">
        <f>COUNTIFS(Exploded_Detail_Relevant!$A$2:$A$491,$A256,Exploded_Detail_Relevant!$B$2:$B$491,$B256,Exploded_Detail_Relevant!$E$2:$E$491,$C256,Exploded_Detail_Relevant!$F$2:$F$491,$D256)</f>
        <v/>
      </c>
    </row>
    <row r="257">
      <c r="A257" t="inlineStr">
        <is>
          <t>FFY2025</t>
        </is>
      </c>
      <c r="B257" t="inlineStr">
        <is>
          <t>FHWA Obligation</t>
        </is>
      </c>
      <c r="C257" t="inlineStr">
        <is>
          <t>Safety</t>
        </is>
      </c>
      <c r="D257" t="inlineStr">
        <is>
          <t>Wilmette</t>
        </is>
      </c>
      <c r="E257" s="5">
        <f>SUMIFS(Exploded_Detail_Relevant!$G$2:$G$491,Exploded_Detail_Relevant!$A$2:$A$491,$A257,Exploded_Detail_Relevant!$B$2:$B$491,$B257,Exploded_Detail_Relevant!$E$2:$E$491,$C257,Exploded_Detail_Relevant!$F$2:$F$491,$D257)</f>
        <v/>
      </c>
      <c r="F257">
        <f>COUNTIFS(Exploded_Detail_Relevant!$A$2:$A$491,$A257,Exploded_Detail_Relevant!$B$2:$B$491,$B257,Exploded_Detail_Relevant!$E$2:$E$491,$C257,Exploded_Detail_Relevant!$F$2:$F$491,$D257)</f>
        <v/>
      </c>
    </row>
    <row r="258">
      <c r="A258" t="inlineStr">
        <is>
          <t>FFY2025</t>
        </is>
      </c>
      <c r="B258" t="inlineStr">
        <is>
          <t>AC Authorization</t>
        </is>
      </c>
      <c r="C258" t="inlineStr">
        <is>
          <t>Road Maintenance</t>
        </is>
      </c>
      <c r="D258" t="inlineStr">
        <is>
          <t>Winnetka</t>
        </is>
      </c>
      <c r="E258" s="5">
        <f>SUMIFS(Exploded_Detail_Relevant!$G$2:$G$491,Exploded_Detail_Relevant!$A$2:$A$491,$A258,Exploded_Detail_Relevant!$B$2:$B$491,$B258,Exploded_Detail_Relevant!$E$2:$E$491,$C258,Exploded_Detail_Relevant!$F$2:$F$491,$D258)</f>
        <v/>
      </c>
      <c r="F258">
        <f>COUNTIFS(Exploded_Detail_Relevant!$A$2:$A$491,$A258,Exploded_Detail_Relevant!$B$2:$B$491,$B258,Exploded_Detail_Relevant!$E$2:$E$491,$C258,Exploded_Detail_Relevant!$F$2:$F$491,$D258)</f>
        <v/>
      </c>
    </row>
    <row r="259">
      <c r="A259" t="inlineStr">
        <is>
          <t>FFY2025</t>
        </is>
      </c>
      <c r="B259" t="inlineStr">
        <is>
          <t>AC Authorization</t>
        </is>
      </c>
      <c r="C259" t="inlineStr">
        <is>
          <t>Intersection/Interchange Improvements</t>
        </is>
      </c>
      <c r="D259" t="inlineStr">
        <is>
          <t>Worth</t>
        </is>
      </c>
      <c r="E259" s="5">
        <f>SUMIFS(Exploded_Detail_Relevant!$G$2:$G$491,Exploded_Detail_Relevant!$A$2:$A$491,$A259,Exploded_Detail_Relevant!$B$2:$B$491,$B259,Exploded_Detail_Relevant!$E$2:$E$491,$C259,Exploded_Detail_Relevant!$F$2:$F$491,$D259)</f>
        <v/>
      </c>
      <c r="F259">
        <f>COUNTIFS(Exploded_Detail_Relevant!$A$2:$A$491,$A259,Exploded_Detail_Relevant!$B$2:$B$491,$B259,Exploded_Detail_Relevant!$E$2:$E$491,$C259,Exploded_Detail_Relevant!$F$2:$F$491,$D259)</f>
        <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9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2" customWidth="1" min="3" max="3"/>
    <col width="18" customWidth="1" min="4" max="4"/>
  </cols>
  <sheetData>
    <row r="1">
      <c r="A1" s="4" t="inlineStr">
        <is>
          <t>Fiscal Year</t>
        </is>
      </c>
      <c r="B1" s="4" t="inlineStr">
        <is>
          <t>Municipality</t>
        </is>
      </c>
      <c r="C1" s="4" t="inlineStr">
        <is>
          <t>Obligated_Amount_Sum</t>
        </is>
      </c>
      <c r="D1" s="4" t="inlineStr">
        <is>
          <t>Project_Count</t>
        </is>
      </c>
    </row>
    <row r="2">
      <c r="A2" t="inlineStr">
        <is>
          <t>FFY2025</t>
        </is>
      </c>
      <c r="B2" t="inlineStr">
        <is>
          <t>Alsip</t>
        </is>
      </c>
      <c r="C2" s="5">
        <f>SUMIFS(Exploded_Detail_Relevant!$G$2:$G$491,Exploded_Detail_Relevant!$A$2:$A$491,$A2,Exploded_Detail_Relevant!$F$2:$F$491,$B2)</f>
        <v/>
      </c>
      <c r="D2">
        <f>COUNTIFS(Exploded_Detail_Relevant!$A$2:$A$491,$A2,Exploded_Detail_Relevant!$F$2:$F$491,$B2)</f>
        <v/>
      </c>
    </row>
    <row r="3">
      <c r="A3" t="inlineStr">
        <is>
          <t>FFY2025</t>
        </is>
      </c>
      <c r="B3" t="inlineStr">
        <is>
          <t>Arlington Heights</t>
        </is>
      </c>
      <c r="C3" s="5">
        <f>SUMIFS(Exploded_Detail_Relevant!$G$2:$G$491,Exploded_Detail_Relevant!$A$2:$A$491,$A3,Exploded_Detail_Relevant!$F$2:$F$491,$B3)</f>
        <v/>
      </c>
      <c r="D3">
        <f>COUNTIFS(Exploded_Detail_Relevant!$A$2:$A$491,$A3,Exploded_Detail_Relevant!$F$2:$F$491,$B3)</f>
        <v/>
      </c>
    </row>
    <row r="4">
      <c r="A4" t="inlineStr">
        <is>
          <t>FFY2025</t>
        </is>
      </c>
      <c r="B4" t="inlineStr">
        <is>
          <t>Barrington</t>
        </is>
      </c>
      <c r="C4" s="5">
        <f>SUMIFS(Exploded_Detail_Relevant!$G$2:$G$491,Exploded_Detail_Relevant!$A$2:$A$491,$A4,Exploded_Detail_Relevant!$F$2:$F$491,$B4)</f>
        <v/>
      </c>
      <c r="D4">
        <f>COUNTIFS(Exploded_Detail_Relevant!$A$2:$A$491,$A4,Exploded_Detail_Relevant!$F$2:$F$491,$B4)</f>
        <v/>
      </c>
    </row>
    <row r="5">
      <c r="A5" t="inlineStr">
        <is>
          <t>FFY2025</t>
        </is>
      </c>
      <c r="B5" t="inlineStr">
        <is>
          <t>Barrington Hills</t>
        </is>
      </c>
      <c r="C5" s="5">
        <f>SUMIFS(Exploded_Detail_Relevant!$G$2:$G$491,Exploded_Detail_Relevant!$A$2:$A$491,$A5,Exploded_Detail_Relevant!$F$2:$F$491,$B5)</f>
        <v/>
      </c>
      <c r="D5">
        <f>COUNTIFS(Exploded_Detail_Relevant!$A$2:$A$491,$A5,Exploded_Detail_Relevant!$F$2:$F$491,$B5)</f>
        <v/>
      </c>
    </row>
    <row r="6">
      <c r="A6" t="inlineStr">
        <is>
          <t>FFY2025</t>
        </is>
      </c>
      <c r="B6" t="inlineStr">
        <is>
          <t>Bedford Park</t>
        </is>
      </c>
      <c r="C6" s="5">
        <f>SUMIFS(Exploded_Detail_Relevant!$G$2:$G$491,Exploded_Detail_Relevant!$A$2:$A$491,$A6,Exploded_Detail_Relevant!$F$2:$F$491,$B6)</f>
        <v/>
      </c>
      <c r="D6">
        <f>COUNTIFS(Exploded_Detail_Relevant!$A$2:$A$491,$A6,Exploded_Detail_Relevant!$F$2:$F$491,$B6)</f>
        <v/>
      </c>
    </row>
    <row r="7">
      <c r="A7" t="inlineStr">
        <is>
          <t>FFY2025</t>
        </is>
      </c>
      <c r="B7" t="inlineStr">
        <is>
          <t>Bellwood</t>
        </is>
      </c>
      <c r="C7" s="5">
        <f>SUMIFS(Exploded_Detail_Relevant!$G$2:$G$491,Exploded_Detail_Relevant!$A$2:$A$491,$A7,Exploded_Detail_Relevant!$F$2:$F$491,$B7)</f>
        <v/>
      </c>
      <c r="D7">
        <f>COUNTIFS(Exploded_Detail_Relevant!$A$2:$A$491,$A7,Exploded_Detail_Relevant!$F$2:$F$491,$B7)</f>
        <v/>
      </c>
    </row>
    <row r="8">
      <c r="A8" t="inlineStr">
        <is>
          <t>FFY2025</t>
        </is>
      </c>
      <c r="B8" t="inlineStr">
        <is>
          <t>Berkeley</t>
        </is>
      </c>
      <c r="C8" s="5">
        <f>SUMIFS(Exploded_Detail_Relevant!$G$2:$G$491,Exploded_Detail_Relevant!$A$2:$A$491,$A8,Exploded_Detail_Relevant!$F$2:$F$491,$B8)</f>
        <v/>
      </c>
      <c r="D8">
        <f>COUNTIFS(Exploded_Detail_Relevant!$A$2:$A$491,$A8,Exploded_Detail_Relevant!$F$2:$F$491,$B8)</f>
        <v/>
      </c>
    </row>
    <row r="9">
      <c r="A9" t="inlineStr">
        <is>
          <t>FFY2025</t>
        </is>
      </c>
      <c r="B9" t="inlineStr">
        <is>
          <t>Berwyn</t>
        </is>
      </c>
      <c r="C9" s="5">
        <f>SUMIFS(Exploded_Detail_Relevant!$G$2:$G$491,Exploded_Detail_Relevant!$A$2:$A$491,$A9,Exploded_Detail_Relevant!$F$2:$F$491,$B9)</f>
        <v/>
      </c>
      <c r="D9">
        <f>COUNTIFS(Exploded_Detail_Relevant!$A$2:$A$491,$A9,Exploded_Detail_Relevant!$F$2:$F$491,$B9)</f>
        <v/>
      </c>
    </row>
    <row r="10">
      <c r="A10" t="inlineStr">
        <is>
          <t>FFY2025</t>
        </is>
      </c>
      <c r="B10" t="inlineStr">
        <is>
          <t>Blue Island</t>
        </is>
      </c>
      <c r="C10" s="5">
        <f>SUMIFS(Exploded_Detail_Relevant!$G$2:$G$491,Exploded_Detail_Relevant!$A$2:$A$491,$A10,Exploded_Detail_Relevant!$F$2:$F$491,$B10)</f>
        <v/>
      </c>
      <c r="D10">
        <f>COUNTIFS(Exploded_Detail_Relevant!$A$2:$A$491,$A10,Exploded_Detail_Relevant!$F$2:$F$491,$B10)</f>
        <v/>
      </c>
    </row>
    <row r="11">
      <c r="A11" t="inlineStr">
        <is>
          <t>FFY2025</t>
        </is>
      </c>
      <c r="B11" t="inlineStr">
        <is>
          <t>Bridgeview</t>
        </is>
      </c>
      <c r="C11" s="5">
        <f>SUMIFS(Exploded_Detail_Relevant!$G$2:$G$491,Exploded_Detail_Relevant!$A$2:$A$491,$A11,Exploded_Detail_Relevant!$F$2:$F$491,$B11)</f>
        <v/>
      </c>
      <c r="D11">
        <f>COUNTIFS(Exploded_Detail_Relevant!$A$2:$A$491,$A11,Exploded_Detail_Relevant!$F$2:$F$491,$B11)</f>
        <v/>
      </c>
    </row>
    <row r="12">
      <c r="A12" t="inlineStr">
        <is>
          <t>FFY2025</t>
        </is>
      </c>
      <c r="B12" t="inlineStr">
        <is>
          <t>Broadview</t>
        </is>
      </c>
      <c r="C12" s="5">
        <f>SUMIFS(Exploded_Detail_Relevant!$G$2:$G$491,Exploded_Detail_Relevant!$A$2:$A$491,$A12,Exploded_Detail_Relevant!$F$2:$F$491,$B12)</f>
        <v/>
      </c>
      <c r="D12">
        <f>COUNTIFS(Exploded_Detail_Relevant!$A$2:$A$491,$A12,Exploded_Detail_Relevant!$F$2:$F$491,$B12)</f>
        <v/>
      </c>
    </row>
    <row r="13">
      <c r="A13" t="inlineStr">
        <is>
          <t>FFY2025</t>
        </is>
      </c>
      <c r="B13" t="inlineStr">
        <is>
          <t>Brookfield</t>
        </is>
      </c>
      <c r="C13" s="5">
        <f>SUMIFS(Exploded_Detail_Relevant!$G$2:$G$491,Exploded_Detail_Relevant!$A$2:$A$491,$A13,Exploded_Detail_Relevant!$F$2:$F$491,$B13)</f>
        <v/>
      </c>
      <c r="D13">
        <f>COUNTIFS(Exploded_Detail_Relevant!$A$2:$A$491,$A13,Exploded_Detail_Relevant!$F$2:$F$491,$B13)</f>
        <v/>
      </c>
    </row>
    <row r="14">
      <c r="A14" t="inlineStr">
        <is>
          <t>FFY2025</t>
        </is>
      </c>
      <c r="B14" t="inlineStr">
        <is>
          <t>Calumet City</t>
        </is>
      </c>
      <c r="C14" s="5">
        <f>SUMIFS(Exploded_Detail_Relevant!$G$2:$G$491,Exploded_Detail_Relevant!$A$2:$A$491,$A14,Exploded_Detail_Relevant!$F$2:$F$491,$B14)</f>
        <v/>
      </c>
      <c r="D14">
        <f>COUNTIFS(Exploded_Detail_Relevant!$A$2:$A$491,$A14,Exploded_Detail_Relevant!$F$2:$F$491,$B14)</f>
        <v/>
      </c>
    </row>
    <row r="15">
      <c r="A15" t="inlineStr">
        <is>
          <t>FFY2025</t>
        </is>
      </c>
      <c r="B15" t="inlineStr">
        <is>
          <t>Calumet Park</t>
        </is>
      </c>
      <c r="C15" s="5">
        <f>SUMIFS(Exploded_Detail_Relevant!$G$2:$G$491,Exploded_Detail_Relevant!$A$2:$A$491,$A15,Exploded_Detail_Relevant!$F$2:$F$491,$B15)</f>
        <v/>
      </c>
      <c r="D15">
        <f>COUNTIFS(Exploded_Detail_Relevant!$A$2:$A$491,$A15,Exploded_Detail_Relevant!$F$2:$F$491,$B15)</f>
        <v/>
      </c>
    </row>
    <row r="16">
      <c r="A16" t="inlineStr">
        <is>
          <t>FFY2025</t>
        </is>
      </c>
      <c r="B16" t="inlineStr">
        <is>
          <t>Chicago</t>
        </is>
      </c>
      <c r="C16" s="5">
        <f>SUMIFS(Exploded_Detail_Relevant!$G$2:$G$491,Exploded_Detail_Relevant!$A$2:$A$491,$A16,Exploded_Detail_Relevant!$F$2:$F$491,$B16)</f>
        <v/>
      </c>
      <c r="D16">
        <f>COUNTIFS(Exploded_Detail_Relevant!$A$2:$A$491,$A16,Exploded_Detail_Relevant!$F$2:$F$491,$B16)</f>
        <v/>
      </c>
    </row>
    <row r="17">
      <c r="A17" t="inlineStr">
        <is>
          <t>FFY2025</t>
        </is>
      </c>
      <c r="B17" t="inlineStr">
        <is>
          <t>Chicago Heights</t>
        </is>
      </c>
      <c r="C17" s="5">
        <f>SUMIFS(Exploded_Detail_Relevant!$G$2:$G$491,Exploded_Detail_Relevant!$A$2:$A$491,$A17,Exploded_Detail_Relevant!$F$2:$F$491,$B17)</f>
        <v/>
      </c>
      <c r="D17">
        <f>COUNTIFS(Exploded_Detail_Relevant!$A$2:$A$491,$A17,Exploded_Detail_Relevant!$F$2:$F$491,$B17)</f>
        <v/>
      </c>
    </row>
    <row r="18">
      <c r="A18" t="inlineStr">
        <is>
          <t>FFY2025</t>
        </is>
      </c>
      <c r="B18" t="inlineStr">
        <is>
          <t>Chicago Ridge</t>
        </is>
      </c>
      <c r="C18" s="5">
        <f>SUMIFS(Exploded_Detail_Relevant!$G$2:$G$491,Exploded_Detail_Relevant!$A$2:$A$491,$A18,Exploded_Detail_Relevant!$F$2:$F$491,$B18)</f>
        <v/>
      </c>
      <c r="D18">
        <f>COUNTIFS(Exploded_Detail_Relevant!$A$2:$A$491,$A18,Exploded_Detail_Relevant!$F$2:$F$491,$B18)</f>
        <v/>
      </c>
    </row>
    <row r="19">
      <c r="A19" t="inlineStr">
        <is>
          <t>FFY2025</t>
        </is>
      </c>
      <c r="B19" t="inlineStr">
        <is>
          <t>Cicero</t>
        </is>
      </c>
      <c r="C19" s="5">
        <f>SUMIFS(Exploded_Detail_Relevant!$G$2:$G$491,Exploded_Detail_Relevant!$A$2:$A$491,$A19,Exploded_Detail_Relevant!$F$2:$F$491,$B19)</f>
        <v/>
      </c>
      <c r="D19">
        <f>COUNTIFS(Exploded_Detail_Relevant!$A$2:$A$491,$A19,Exploded_Detail_Relevant!$F$2:$F$491,$B19)</f>
        <v/>
      </c>
    </row>
    <row r="20">
      <c r="A20" t="inlineStr">
        <is>
          <t>FFY2025</t>
        </is>
      </c>
      <c r="B20" t="inlineStr">
        <is>
          <t>Countryside</t>
        </is>
      </c>
      <c r="C20" s="5">
        <f>SUMIFS(Exploded_Detail_Relevant!$G$2:$G$491,Exploded_Detail_Relevant!$A$2:$A$491,$A20,Exploded_Detail_Relevant!$F$2:$F$491,$B20)</f>
        <v/>
      </c>
      <c r="D20">
        <f>COUNTIFS(Exploded_Detail_Relevant!$A$2:$A$491,$A20,Exploded_Detail_Relevant!$F$2:$F$491,$B20)</f>
        <v/>
      </c>
    </row>
    <row r="21">
      <c r="A21" t="inlineStr">
        <is>
          <t>FFY2025</t>
        </is>
      </c>
      <c r="B21" t="inlineStr">
        <is>
          <t>Countywide (Cook)</t>
        </is>
      </c>
      <c r="C21" s="5">
        <f>SUMIFS(Exploded_Detail_Relevant!$G$2:$G$491,Exploded_Detail_Relevant!$A$2:$A$491,$A21,Exploded_Detail_Relevant!$F$2:$F$491,$B21)</f>
        <v/>
      </c>
      <c r="D21">
        <f>COUNTIFS(Exploded_Detail_Relevant!$A$2:$A$491,$A21,Exploded_Detail_Relevant!$F$2:$F$491,$B21)</f>
        <v/>
      </c>
    </row>
    <row r="22">
      <c r="A22" t="inlineStr">
        <is>
          <t>FFY2025</t>
        </is>
      </c>
      <c r="B22" t="inlineStr">
        <is>
          <t>Crestwood</t>
        </is>
      </c>
      <c r="C22" s="5">
        <f>SUMIFS(Exploded_Detail_Relevant!$G$2:$G$491,Exploded_Detail_Relevant!$A$2:$A$491,$A22,Exploded_Detail_Relevant!$F$2:$F$491,$B22)</f>
        <v/>
      </c>
      <c r="D22">
        <f>COUNTIFS(Exploded_Detail_Relevant!$A$2:$A$491,$A22,Exploded_Detail_Relevant!$F$2:$F$491,$B22)</f>
        <v/>
      </c>
    </row>
    <row r="23">
      <c r="A23" t="inlineStr">
        <is>
          <t>FFY2025</t>
        </is>
      </c>
      <c r="B23" t="inlineStr">
        <is>
          <t>Des Plaines</t>
        </is>
      </c>
      <c r="C23" s="5">
        <f>SUMIFS(Exploded_Detail_Relevant!$G$2:$G$491,Exploded_Detail_Relevant!$A$2:$A$491,$A23,Exploded_Detail_Relevant!$F$2:$F$491,$B23)</f>
        <v/>
      </c>
      <c r="D23">
        <f>COUNTIFS(Exploded_Detail_Relevant!$A$2:$A$491,$A23,Exploded_Detail_Relevant!$F$2:$F$491,$B23)</f>
        <v/>
      </c>
    </row>
    <row r="24">
      <c r="A24" t="inlineStr">
        <is>
          <t>FFY2025</t>
        </is>
      </c>
      <c r="B24" t="inlineStr">
        <is>
          <t>Dixmoor</t>
        </is>
      </c>
      <c r="C24" s="5">
        <f>SUMIFS(Exploded_Detail_Relevant!$G$2:$G$491,Exploded_Detail_Relevant!$A$2:$A$491,$A24,Exploded_Detail_Relevant!$F$2:$F$491,$B24)</f>
        <v/>
      </c>
      <c r="D24">
        <f>COUNTIFS(Exploded_Detail_Relevant!$A$2:$A$491,$A24,Exploded_Detail_Relevant!$F$2:$F$491,$B24)</f>
        <v/>
      </c>
    </row>
    <row r="25">
      <c r="A25" t="inlineStr">
        <is>
          <t>FFY2025</t>
        </is>
      </c>
      <c r="B25" t="inlineStr">
        <is>
          <t>Dolton</t>
        </is>
      </c>
      <c r="C25" s="5">
        <f>SUMIFS(Exploded_Detail_Relevant!$G$2:$G$491,Exploded_Detail_Relevant!$A$2:$A$491,$A25,Exploded_Detail_Relevant!$F$2:$F$491,$B25)</f>
        <v/>
      </c>
      <c r="D25">
        <f>COUNTIFS(Exploded_Detail_Relevant!$A$2:$A$491,$A25,Exploded_Detail_Relevant!$F$2:$F$491,$B25)</f>
        <v/>
      </c>
    </row>
    <row r="26">
      <c r="A26" t="inlineStr">
        <is>
          <t>FFY2025</t>
        </is>
      </c>
      <c r="B26" t="inlineStr">
        <is>
          <t>East Hazel Crest</t>
        </is>
      </c>
      <c r="C26" s="5">
        <f>SUMIFS(Exploded_Detail_Relevant!$G$2:$G$491,Exploded_Detail_Relevant!$A$2:$A$491,$A26,Exploded_Detail_Relevant!$F$2:$F$491,$B26)</f>
        <v/>
      </c>
      <c r="D26">
        <f>COUNTIFS(Exploded_Detail_Relevant!$A$2:$A$491,$A26,Exploded_Detail_Relevant!$F$2:$F$491,$B26)</f>
        <v/>
      </c>
    </row>
    <row r="27">
      <c r="A27" t="inlineStr">
        <is>
          <t>FFY2025</t>
        </is>
      </c>
      <c r="B27" t="inlineStr">
        <is>
          <t>Elk Grove Village</t>
        </is>
      </c>
      <c r="C27" s="5">
        <f>SUMIFS(Exploded_Detail_Relevant!$G$2:$G$491,Exploded_Detail_Relevant!$A$2:$A$491,$A27,Exploded_Detail_Relevant!$F$2:$F$491,$B27)</f>
        <v/>
      </c>
      <c r="D27">
        <f>COUNTIFS(Exploded_Detail_Relevant!$A$2:$A$491,$A27,Exploded_Detail_Relevant!$F$2:$F$491,$B27)</f>
        <v/>
      </c>
    </row>
    <row r="28">
      <c r="A28" t="inlineStr">
        <is>
          <t>FFY2025</t>
        </is>
      </c>
      <c r="B28" t="inlineStr">
        <is>
          <t>Elmwood Park</t>
        </is>
      </c>
      <c r="C28" s="5">
        <f>SUMIFS(Exploded_Detail_Relevant!$G$2:$G$491,Exploded_Detail_Relevant!$A$2:$A$491,$A28,Exploded_Detail_Relevant!$F$2:$F$491,$B28)</f>
        <v/>
      </c>
      <c r="D28">
        <f>COUNTIFS(Exploded_Detail_Relevant!$A$2:$A$491,$A28,Exploded_Detail_Relevant!$F$2:$F$491,$B28)</f>
        <v/>
      </c>
    </row>
    <row r="29">
      <c r="A29" t="inlineStr">
        <is>
          <t>FFY2025</t>
        </is>
      </c>
      <c r="B29" t="inlineStr">
        <is>
          <t>Evanston</t>
        </is>
      </c>
      <c r="C29" s="5">
        <f>SUMIFS(Exploded_Detail_Relevant!$G$2:$G$491,Exploded_Detail_Relevant!$A$2:$A$491,$A29,Exploded_Detail_Relevant!$F$2:$F$491,$B29)</f>
        <v/>
      </c>
      <c r="D29">
        <f>COUNTIFS(Exploded_Detail_Relevant!$A$2:$A$491,$A29,Exploded_Detail_Relevant!$F$2:$F$491,$B29)</f>
        <v/>
      </c>
    </row>
    <row r="30">
      <c r="A30" t="inlineStr">
        <is>
          <t>FFY2025</t>
        </is>
      </c>
      <c r="B30" t="inlineStr">
        <is>
          <t>Evergreen Park</t>
        </is>
      </c>
      <c r="C30" s="5">
        <f>SUMIFS(Exploded_Detail_Relevant!$G$2:$G$491,Exploded_Detail_Relevant!$A$2:$A$491,$A30,Exploded_Detail_Relevant!$F$2:$F$491,$B30)</f>
        <v/>
      </c>
      <c r="D30">
        <f>COUNTIFS(Exploded_Detail_Relevant!$A$2:$A$491,$A30,Exploded_Detail_Relevant!$F$2:$F$491,$B30)</f>
        <v/>
      </c>
    </row>
    <row r="31">
      <c r="A31" t="inlineStr">
        <is>
          <t>FFY2025</t>
        </is>
      </c>
      <c r="B31" t="inlineStr">
        <is>
          <t>Flossmoor</t>
        </is>
      </c>
      <c r="C31" s="5">
        <f>SUMIFS(Exploded_Detail_Relevant!$G$2:$G$491,Exploded_Detail_Relevant!$A$2:$A$491,$A31,Exploded_Detail_Relevant!$F$2:$F$491,$B31)</f>
        <v/>
      </c>
      <c r="D31">
        <f>COUNTIFS(Exploded_Detail_Relevant!$A$2:$A$491,$A31,Exploded_Detail_Relevant!$F$2:$F$491,$B31)</f>
        <v/>
      </c>
    </row>
    <row r="32">
      <c r="A32" t="inlineStr">
        <is>
          <t>FFY2025</t>
        </is>
      </c>
      <c r="B32" t="inlineStr">
        <is>
          <t>Forest Park</t>
        </is>
      </c>
      <c r="C32" s="5">
        <f>SUMIFS(Exploded_Detail_Relevant!$G$2:$G$491,Exploded_Detail_Relevant!$A$2:$A$491,$A32,Exploded_Detail_Relevant!$F$2:$F$491,$B32)</f>
        <v/>
      </c>
      <c r="D32">
        <f>COUNTIFS(Exploded_Detail_Relevant!$A$2:$A$491,$A32,Exploded_Detail_Relevant!$F$2:$F$491,$B32)</f>
        <v/>
      </c>
    </row>
    <row r="33">
      <c r="A33" t="inlineStr">
        <is>
          <t>FFY2025</t>
        </is>
      </c>
      <c r="B33" t="inlineStr">
        <is>
          <t>Forest View</t>
        </is>
      </c>
      <c r="C33" s="5">
        <f>SUMIFS(Exploded_Detail_Relevant!$G$2:$G$491,Exploded_Detail_Relevant!$A$2:$A$491,$A33,Exploded_Detail_Relevant!$F$2:$F$491,$B33)</f>
        <v/>
      </c>
      <c r="D33">
        <f>COUNTIFS(Exploded_Detail_Relevant!$A$2:$A$491,$A33,Exploded_Detail_Relevant!$F$2:$F$491,$B33)</f>
        <v/>
      </c>
    </row>
    <row r="34">
      <c r="A34" t="inlineStr">
        <is>
          <t>FFY2025</t>
        </is>
      </c>
      <c r="B34" t="inlineStr">
        <is>
          <t>Franklin Park</t>
        </is>
      </c>
      <c r="C34" s="5">
        <f>SUMIFS(Exploded_Detail_Relevant!$G$2:$G$491,Exploded_Detail_Relevant!$A$2:$A$491,$A34,Exploded_Detail_Relevant!$F$2:$F$491,$B34)</f>
        <v/>
      </c>
      <c r="D34">
        <f>COUNTIFS(Exploded_Detail_Relevant!$A$2:$A$491,$A34,Exploded_Detail_Relevant!$F$2:$F$491,$B34)</f>
        <v/>
      </c>
    </row>
    <row r="35">
      <c r="A35" t="inlineStr">
        <is>
          <t>FFY2025</t>
        </is>
      </c>
      <c r="B35" t="inlineStr">
        <is>
          <t>Glencoe</t>
        </is>
      </c>
      <c r="C35" s="5">
        <f>SUMIFS(Exploded_Detail_Relevant!$G$2:$G$491,Exploded_Detail_Relevant!$A$2:$A$491,$A35,Exploded_Detail_Relevant!$F$2:$F$491,$B35)</f>
        <v/>
      </c>
      <c r="D35">
        <f>COUNTIFS(Exploded_Detail_Relevant!$A$2:$A$491,$A35,Exploded_Detail_Relevant!$F$2:$F$491,$B35)</f>
        <v/>
      </c>
    </row>
    <row r="36">
      <c r="A36" t="inlineStr">
        <is>
          <t>FFY2025</t>
        </is>
      </c>
      <c r="B36" t="inlineStr">
        <is>
          <t>Glenview</t>
        </is>
      </c>
      <c r="C36" s="5">
        <f>SUMIFS(Exploded_Detail_Relevant!$G$2:$G$491,Exploded_Detail_Relevant!$A$2:$A$491,$A36,Exploded_Detail_Relevant!$F$2:$F$491,$B36)</f>
        <v/>
      </c>
      <c r="D36">
        <f>COUNTIFS(Exploded_Detail_Relevant!$A$2:$A$491,$A36,Exploded_Detail_Relevant!$F$2:$F$491,$B36)</f>
        <v/>
      </c>
    </row>
    <row r="37">
      <c r="A37" t="inlineStr">
        <is>
          <t>FFY2025</t>
        </is>
      </c>
      <c r="B37" t="inlineStr">
        <is>
          <t>Glenwood</t>
        </is>
      </c>
      <c r="C37" s="5">
        <f>SUMIFS(Exploded_Detail_Relevant!$G$2:$G$491,Exploded_Detail_Relevant!$A$2:$A$491,$A37,Exploded_Detail_Relevant!$F$2:$F$491,$B37)</f>
        <v/>
      </c>
      <c r="D37">
        <f>COUNTIFS(Exploded_Detail_Relevant!$A$2:$A$491,$A37,Exploded_Detail_Relevant!$F$2:$F$491,$B37)</f>
        <v/>
      </c>
    </row>
    <row r="38">
      <c r="A38" t="inlineStr">
        <is>
          <t>FFY2025</t>
        </is>
      </c>
      <c r="B38" t="inlineStr">
        <is>
          <t>Harvey</t>
        </is>
      </c>
      <c r="C38" s="5">
        <f>SUMIFS(Exploded_Detail_Relevant!$G$2:$G$491,Exploded_Detail_Relevant!$A$2:$A$491,$A38,Exploded_Detail_Relevant!$F$2:$F$491,$B38)</f>
        <v/>
      </c>
      <c r="D38">
        <f>COUNTIFS(Exploded_Detail_Relevant!$A$2:$A$491,$A38,Exploded_Detail_Relevant!$F$2:$F$491,$B38)</f>
        <v/>
      </c>
    </row>
    <row r="39">
      <c r="A39" t="inlineStr">
        <is>
          <t>FFY2025</t>
        </is>
      </c>
      <c r="B39" t="inlineStr">
        <is>
          <t>Hazel Crest</t>
        </is>
      </c>
      <c r="C39" s="5">
        <f>SUMIFS(Exploded_Detail_Relevant!$G$2:$G$491,Exploded_Detail_Relevant!$A$2:$A$491,$A39,Exploded_Detail_Relevant!$F$2:$F$491,$B39)</f>
        <v/>
      </c>
      <c r="D39">
        <f>COUNTIFS(Exploded_Detail_Relevant!$A$2:$A$491,$A39,Exploded_Detail_Relevant!$F$2:$F$491,$B39)</f>
        <v/>
      </c>
    </row>
    <row r="40">
      <c r="A40" t="inlineStr">
        <is>
          <t>FFY2025</t>
        </is>
      </c>
      <c r="B40" t="inlineStr">
        <is>
          <t>Hillside</t>
        </is>
      </c>
      <c r="C40" s="5">
        <f>SUMIFS(Exploded_Detail_Relevant!$G$2:$G$491,Exploded_Detail_Relevant!$A$2:$A$491,$A40,Exploded_Detail_Relevant!$F$2:$F$491,$B40)</f>
        <v/>
      </c>
      <c r="D40">
        <f>COUNTIFS(Exploded_Detail_Relevant!$A$2:$A$491,$A40,Exploded_Detail_Relevant!$F$2:$F$491,$B40)</f>
        <v/>
      </c>
    </row>
    <row r="41">
      <c r="A41" t="inlineStr">
        <is>
          <t>FFY2025</t>
        </is>
      </c>
      <c r="B41" t="inlineStr">
        <is>
          <t>Hoffman Estates</t>
        </is>
      </c>
      <c r="C41" s="5">
        <f>SUMIFS(Exploded_Detail_Relevant!$G$2:$G$491,Exploded_Detail_Relevant!$A$2:$A$491,$A41,Exploded_Detail_Relevant!$F$2:$F$491,$B41)</f>
        <v/>
      </c>
      <c r="D41">
        <f>COUNTIFS(Exploded_Detail_Relevant!$A$2:$A$491,$A41,Exploded_Detail_Relevant!$F$2:$F$491,$B41)</f>
        <v/>
      </c>
    </row>
    <row r="42">
      <c r="A42" t="inlineStr">
        <is>
          <t>FFY2025</t>
        </is>
      </c>
      <c r="B42" t="inlineStr">
        <is>
          <t>Homewood</t>
        </is>
      </c>
      <c r="C42" s="5">
        <f>SUMIFS(Exploded_Detail_Relevant!$G$2:$G$491,Exploded_Detail_Relevant!$A$2:$A$491,$A42,Exploded_Detail_Relevant!$F$2:$F$491,$B42)</f>
        <v/>
      </c>
      <c r="D42">
        <f>COUNTIFS(Exploded_Detail_Relevant!$A$2:$A$491,$A42,Exploded_Detail_Relevant!$F$2:$F$491,$B42)</f>
        <v/>
      </c>
    </row>
    <row r="43">
      <c r="A43" t="inlineStr">
        <is>
          <t>FFY2025</t>
        </is>
      </c>
      <c r="B43" t="inlineStr">
        <is>
          <t>Indian Head Park</t>
        </is>
      </c>
      <c r="C43" s="5">
        <f>SUMIFS(Exploded_Detail_Relevant!$G$2:$G$491,Exploded_Detail_Relevant!$A$2:$A$491,$A43,Exploded_Detail_Relevant!$F$2:$F$491,$B43)</f>
        <v/>
      </c>
      <c r="D43">
        <f>COUNTIFS(Exploded_Detail_Relevant!$A$2:$A$491,$A43,Exploded_Detail_Relevant!$F$2:$F$491,$B43)</f>
        <v/>
      </c>
    </row>
    <row r="44">
      <c r="A44" t="inlineStr">
        <is>
          <t>FFY2025</t>
        </is>
      </c>
      <c r="B44" t="inlineStr">
        <is>
          <t>Justice</t>
        </is>
      </c>
      <c r="C44" s="5">
        <f>SUMIFS(Exploded_Detail_Relevant!$G$2:$G$491,Exploded_Detail_Relevant!$A$2:$A$491,$A44,Exploded_Detail_Relevant!$F$2:$F$491,$B44)</f>
        <v/>
      </c>
      <c r="D44">
        <f>COUNTIFS(Exploded_Detail_Relevant!$A$2:$A$491,$A44,Exploded_Detail_Relevant!$F$2:$F$491,$B44)</f>
        <v/>
      </c>
    </row>
    <row r="45">
      <c r="A45" t="inlineStr">
        <is>
          <t>FFY2025</t>
        </is>
      </c>
      <c r="B45" t="inlineStr">
        <is>
          <t>Kenilworth</t>
        </is>
      </c>
      <c r="C45" s="5">
        <f>SUMIFS(Exploded_Detail_Relevant!$G$2:$G$491,Exploded_Detail_Relevant!$A$2:$A$491,$A45,Exploded_Detail_Relevant!$F$2:$F$491,$B45)</f>
        <v/>
      </c>
      <c r="D45">
        <f>COUNTIFS(Exploded_Detail_Relevant!$A$2:$A$491,$A45,Exploded_Detail_Relevant!$F$2:$F$491,$B45)</f>
        <v/>
      </c>
    </row>
    <row r="46">
      <c r="A46" t="inlineStr">
        <is>
          <t>FFY2025</t>
        </is>
      </c>
      <c r="B46" t="inlineStr">
        <is>
          <t>La Grange</t>
        </is>
      </c>
      <c r="C46" s="5">
        <f>SUMIFS(Exploded_Detail_Relevant!$G$2:$G$491,Exploded_Detail_Relevant!$A$2:$A$491,$A46,Exploded_Detail_Relevant!$F$2:$F$491,$B46)</f>
        <v/>
      </c>
      <c r="D46">
        <f>COUNTIFS(Exploded_Detail_Relevant!$A$2:$A$491,$A46,Exploded_Detail_Relevant!$F$2:$F$491,$B46)</f>
        <v/>
      </c>
    </row>
    <row r="47">
      <c r="A47" t="inlineStr">
        <is>
          <t>FFY2025</t>
        </is>
      </c>
      <c r="B47" t="inlineStr">
        <is>
          <t>Lansing</t>
        </is>
      </c>
      <c r="C47" s="5">
        <f>SUMIFS(Exploded_Detail_Relevant!$G$2:$G$491,Exploded_Detail_Relevant!$A$2:$A$491,$A47,Exploded_Detail_Relevant!$F$2:$F$491,$B47)</f>
        <v/>
      </c>
      <c r="D47">
        <f>COUNTIFS(Exploded_Detail_Relevant!$A$2:$A$491,$A47,Exploded_Detail_Relevant!$F$2:$F$491,$B47)</f>
        <v/>
      </c>
    </row>
    <row r="48">
      <c r="A48" t="inlineStr">
        <is>
          <t>FFY2025</t>
        </is>
      </c>
      <c r="B48" t="inlineStr">
        <is>
          <t>Lemont</t>
        </is>
      </c>
      <c r="C48" s="5">
        <f>SUMIFS(Exploded_Detail_Relevant!$G$2:$G$491,Exploded_Detail_Relevant!$A$2:$A$491,$A48,Exploded_Detail_Relevant!$F$2:$F$491,$B48)</f>
        <v/>
      </c>
      <c r="D48">
        <f>COUNTIFS(Exploded_Detail_Relevant!$A$2:$A$491,$A48,Exploded_Detail_Relevant!$F$2:$F$491,$B48)</f>
        <v/>
      </c>
    </row>
    <row r="49">
      <c r="A49" t="inlineStr">
        <is>
          <t>FFY2025</t>
        </is>
      </c>
      <c r="B49" t="inlineStr">
        <is>
          <t>Lincolnwood</t>
        </is>
      </c>
      <c r="C49" s="5">
        <f>SUMIFS(Exploded_Detail_Relevant!$G$2:$G$491,Exploded_Detail_Relevant!$A$2:$A$491,$A49,Exploded_Detail_Relevant!$F$2:$F$491,$B49)</f>
        <v/>
      </c>
      <c r="D49">
        <f>COUNTIFS(Exploded_Detail_Relevant!$A$2:$A$491,$A49,Exploded_Detail_Relevant!$F$2:$F$491,$B49)</f>
        <v/>
      </c>
    </row>
    <row r="50">
      <c r="A50" t="inlineStr">
        <is>
          <t>FFY2025</t>
        </is>
      </c>
      <c r="B50" t="inlineStr">
        <is>
          <t>Lynwood</t>
        </is>
      </c>
      <c r="C50" s="5">
        <f>SUMIFS(Exploded_Detail_Relevant!$G$2:$G$491,Exploded_Detail_Relevant!$A$2:$A$491,$A50,Exploded_Detail_Relevant!$F$2:$F$491,$B50)</f>
        <v/>
      </c>
      <c r="D50">
        <f>COUNTIFS(Exploded_Detail_Relevant!$A$2:$A$491,$A50,Exploded_Detail_Relevant!$F$2:$F$491,$B50)</f>
        <v/>
      </c>
    </row>
    <row r="51">
      <c r="A51" t="inlineStr">
        <is>
          <t>FFY2025</t>
        </is>
      </c>
      <c r="B51" t="inlineStr">
        <is>
          <t>Lyons</t>
        </is>
      </c>
      <c r="C51" s="5">
        <f>SUMIFS(Exploded_Detail_Relevant!$G$2:$G$491,Exploded_Detail_Relevant!$A$2:$A$491,$A51,Exploded_Detail_Relevant!$F$2:$F$491,$B51)</f>
        <v/>
      </c>
      <c r="D51">
        <f>COUNTIFS(Exploded_Detail_Relevant!$A$2:$A$491,$A51,Exploded_Detail_Relevant!$F$2:$F$491,$B51)</f>
        <v/>
      </c>
    </row>
    <row r="52">
      <c r="A52" t="inlineStr">
        <is>
          <t>FFY2025</t>
        </is>
      </c>
      <c r="B52" t="inlineStr">
        <is>
          <t>Matteson</t>
        </is>
      </c>
      <c r="C52" s="5">
        <f>SUMIFS(Exploded_Detail_Relevant!$G$2:$G$491,Exploded_Detail_Relevant!$A$2:$A$491,$A52,Exploded_Detail_Relevant!$F$2:$F$491,$B52)</f>
        <v/>
      </c>
      <c r="D52">
        <f>COUNTIFS(Exploded_Detail_Relevant!$A$2:$A$491,$A52,Exploded_Detail_Relevant!$F$2:$F$491,$B52)</f>
        <v/>
      </c>
    </row>
    <row r="53">
      <c r="A53" t="inlineStr">
        <is>
          <t>FFY2025</t>
        </is>
      </c>
      <c r="B53" t="inlineStr">
        <is>
          <t>Maywood</t>
        </is>
      </c>
      <c r="C53" s="5">
        <f>SUMIFS(Exploded_Detail_Relevant!$G$2:$G$491,Exploded_Detail_Relevant!$A$2:$A$491,$A53,Exploded_Detail_Relevant!$F$2:$F$491,$B53)</f>
        <v/>
      </c>
      <c r="D53">
        <f>COUNTIFS(Exploded_Detail_Relevant!$A$2:$A$491,$A53,Exploded_Detail_Relevant!$F$2:$F$491,$B53)</f>
        <v/>
      </c>
    </row>
    <row r="54">
      <c r="A54" t="inlineStr">
        <is>
          <t>FFY2025</t>
        </is>
      </c>
      <c r="B54" t="inlineStr">
        <is>
          <t>McCook</t>
        </is>
      </c>
      <c r="C54" s="5">
        <f>SUMIFS(Exploded_Detail_Relevant!$G$2:$G$491,Exploded_Detail_Relevant!$A$2:$A$491,$A54,Exploded_Detail_Relevant!$F$2:$F$491,$B54)</f>
        <v/>
      </c>
      <c r="D54">
        <f>COUNTIFS(Exploded_Detail_Relevant!$A$2:$A$491,$A54,Exploded_Detail_Relevant!$F$2:$F$491,$B54)</f>
        <v/>
      </c>
    </row>
    <row r="55">
      <c r="A55" t="inlineStr">
        <is>
          <t>FFY2025</t>
        </is>
      </c>
      <c r="B55" t="inlineStr">
        <is>
          <t>Melrose Park</t>
        </is>
      </c>
      <c r="C55" s="5">
        <f>SUMIFS(Exploded_Detail_Relevant!$G$2:$G$491,Exploded_Detail_Relevant!$A$2:$A$491,$A55,Exploded_Detail_Relevant!$F$2:$F$491,$B55)</f>
        <v/>
      </c>
      <c r="D55">
        <f>COUNTIFS(Exploded_Detail_Relevant!$A$2:$A$491,$A55,Exploded_Detail_Relevant!$F$2:$F$491,$B55)</f>
        <v/>
      </c>
    </row>
    <row r="56">
      <c r="A56" t="inlineStr">
        <is>
          <t>FFY2025</t>
        </is>
      </c>
      <c r="B56" t="inlineStr">
        <is>
          <t>Midlothian</t>
        </is>
      </c>
      <c r="C56" s="5">
        <f>SUMIFS(Exploded_Detail_Relevant!$G$2:$G$491,Exploded_Detail_Relevant!$A$2:$A$491,$A56,Exploded_Detail_Relevant!$F$2:$F$491,$B56)</f>
        <v/>
      </c>
      <c r="D56">
        <f>COUNTIFS(Exploded_Detail_Relevant!$A$2:$A$491,$A56,Exploded_Detail_Relevant!$F$2:$F$491,$B56)</f>
        <v/>
      </c>
    </row>
    <row r="57">
      <c r="A57" t="inlineStr">
        <is>
          <t>FFY2025</t>
        </is>
      </c>
      <c r="B57" t="inlineStr">
        <is>
          <t>Morton Grove</t>
        </is>
      </c>
      <c r="C57" s="5">
        <f>SUMIFS(Exploded_Detail_Relevant!$G$2:$G$491,Exploded_Detail_Relevant!$A$2:$A$491,$A57,Exploded_Detail_Relevant!$F$2:$F$491,$B57)</f>
        <v/>
      </c>
      <c r="D57">
        <f>COUNTIFS(Exploded_Detail_Relevant!$A$2:$A$491,$A57,Exploded_Detail_Relevant!$F$2:$F$491,$B57)</f>
        <v/>
      </c>
    </row>
    <row r="58">
      <c r="A58" t="inlineStr">
        <is>
          <t>FFY2025</t>
        </is>
      </c>
      <c r="B58" t="inlineStr">
        <is>
          <t>Mount Prospect</t>
        </is>
      </c>
      <c r="C58" s="5">
        <f>SUMIFS(Exploded_Detail_Relevant!$G$2:$G$491,Exploded_Detail_Relevant!$A$2:$A$491,$A58,Exploded_Detail_Relevant!$F$2:$F$491,$B58)</f>
        <v/>
      </c>
      <c r="D58">
        <f>COUNTIFS(Exploded_Detail_Relevant!$A$2:$A$491,$A58,Exploded_Detail_Relevant!$F$2:$F$491,$B58)</f>
        <v/>
      </c>
    </row>
    <row r="59">
      <c r="A59" t="inlineStr">
        <is>
          <t>FFY2025</t>
        </is>
      </c>
      <c r="B59" t="inlineStr">
        <is>
          <t>Niles</t>
        </is>
      </c>
      <c r="C59" s="5">
        <f>SUMIFS(Exploded_Detail_Relevant!$G$2:$G$491,Exploded_Detail_Relevant!$A$2:$A$491,$A59,Exploded_Detail_Relevant!$F$2:$F$491,$B59)</f>
        <v/>
      </c>
      <c r="D59">
        <f>COUNTIFS(Exploded_Detail_Relevant!$A$2:$A$491,$A59,Exploded_Detail_Relevant!$F$2:$F$491,$B59)</f>
        <v/>
      </c>
    </row>
    <row r="60">
      <c r="A60" t="inlineStr">
        <is>
          <t>FFY2025</t>
        </is>
      </c>
      <c r="B60" t="inlineStr">
        <is>
          <t>Norridge</t>
        </is>
      </c>
      <c r="C60" s="5">
        <f>SUMIFS(Exploded_Detail_Relevant!$G$2:$G$491,Exploded_Detail_Relevant!$A$2:$A$491,$A60,Exploded_Detail_Relevant!$F$2:$F$491,$B60)</f>
        <v/>
      </c>
      <c r="D60">
        <f>COUNTIFS(Exploded_Detail_Relevant!$A$2:$A$491,$A60,Exploded_Detail_Relevant!$F$2:$F$491,$B60)</f>
        <v/>
      </c>
    </row>
    <row r="61">
      <c r="A61" t="inlineStr">
        <is>
          <t>FFY2025</t>
        </is>
      </c>
      <c r="B61" t="inlineStr">
        <is>
          <t>North Riverside</t>
        </is>
      </c>
      <c r="C61" s="5">
        <f>SUMIFS(Exploded_Detail_Relevant!$G$2:$G$491,Exploded_Detail_Relevant!$A$2:$A$491,$A61,Exploded_Detail_Relevant!$F$2:$F$491,$B61)</f>
        <v/>
      </c>
      <c r="D61">
        <f>COUNTIFS(Exploded_Detail_Relevant!$A$2:$A$491,$A61,Exploded_Detail_Relevant!$F$2:$F$491,$B61)</f>
        <v/>
      </c>
    </row>
    <row r="62">
      <c r="A62" t="inlineStr">
        <is>
          <t>FFY2025</t>
        </is>
      </c>
      <c r="B62" t="inlineStr">
        <is>
          <t>Northbrook</t>
        </is>
      </c>
      <c r="C62" s="5">
        <f>SUMIFS(Exploded_Detail_Relevant!$G$2:$G$491,Exploded_Detail_Relevant!$A$2:$A$491,$A62,Exploded_Detail_Relevant!$F$2:$F$491,$B62)</f>
        <v/>
      </c>
      <c r="D62">
        <f>COUNTIFS(Exploded_Detail_Relevant!$A$2:$A$491,$A62,Exploded_Detail_Relevant!$F$2:$F$491,$B62)</f>
        <v/>
      </c>
    </row>
    <row r="63">
      <c r="A63" t="inlineStr">
        <is>
          <t>FFY2025</t>
        </is>
      </c>
      <c r="B63" t="inlineStr">
        <is>
          <t>Northfield</t>
        </is>
      </c>
      <c r="C63" s="5">
        <f>SUMIFS(Exploded_Detail_Relevant!$G$2:$G$491,Exploded_Detail_Relevant!$A$2:$A$491,$A63,Exploded_Detail_Relevant!$F$2:$F$491,$B63)</f>
        <v/>
      </c>
      <c r="D63">
        <f>COUNTIFS(Exploded_Detail_Relevant!$A$2:$A$491,$A63,Exploded_Detail_Relevant!$F$2:$F$491,$B63)</f>
        <v/>
      </c>
    </row>
    <row r="64">
      <c r="A64" t="inlineStr">
        <is>
          <t>FFY2025</t>
        </is>
      </c>
      <c r="B64" t="inlineStr">
        <is>
          <t>Northlake</t>
        </is>
      </c>
      <c r="C64" s="5">
        <f>SUMIFS(Exploded_Detail_Relevant!$G$2:$G$491,Exploded_Detail_Relevant!$A$2:$A$491,$A64,Exploded_Detail_Relevant!$F$2:$F$491,$B64)</f>
        <v/>
      </c>
      <c r="D64">
        <f>COUNTIFS(Exploded_Detail_Relevant!$A$2:$A$491,$A64,Exploded_Detail_Relevant!$F$2:$F$491,$B64)</f>
        <v/>
      </c>
    </row>
    <row r="65">
      <c r="A65" t="inlineStr">
        <is>
          <t>FFY2025</t>
        </is>
      </c>
      <c r="B65" t="inlineStr">
        <is>
          <t>Oak Forest</t>
        </is>
      </c>
      <c r="C65" s="5">
        <f>SUMIFS(Exploded_Detail_Relevant!$G$2:$G$491,Exploded_Detail_Relevant!$A$2:$A$491,$A65,Exploded_Detail_Relevant!$F$2:$F$491,$B65)</f>
        <v/>
      </c>
      <c r="D65">
        <f>COUNTIFS(Exploded_Detail_Relevant!$A$2:$A$491,$A65,Exploded_Detail_Relevant!$F$2:$F$491,$B65)</f>
        <v/>
      </c>
    </row>
    <row r="66">
      <c r="A66" t="inlineStr">
        <is>
          <t>FFY2025</t>
        </is>
      </c>
      <c r="B66" t="inlineStr">
        <is>
          <t>Oak Lawn</t>
        </is>
      </c>
      <c r="C66" s="5">
        <f>SUMIFS(Exploded_Detail_Relevant!$G$2:$G$491,Exploded_Detail_Relevant!$A$2:$A$491,$A66,Exploded_Detail_Relevant!$F$2:$F$491,$B66)</f>
        <v/>
      </c>
      <c r="D66">
        <f>COUNTIFS(Exploded_Detail_Relevant!$A$2:$A$491,$A66,Exploded_Detail_Relevant!$F$2:$F$491,$B66)</f>
        <v/>
      </c>
    </row>
    <row r="67">
      <c r="A67" t="inlineStr">
        <is>
          <t>FFY2025</t>
        </is>
      </c>
      <c r="B67" t="inlineStr">
        <is>
          <t>Oak Park</t>
        </is>
      </c>
      <c r="C67" s="5">
        <f>SUMIFS(Exploded_Detail_Relevant!$G$2:$G$491,Exploded_Detail_Relevant!$A$2:$A$491,$A67,Exploded_Detail_Relevant!$F$2:$F$491,$B67)</f>
        <v/>
      </c>
      <c r="D67">
        <f>COUNTIFS(Exploded_Detail_Relevant!$A$2:$A$491,$A67,Exploded_Detail_Relevant!$F$2:$F$491,$B67)</f>
        <v/>
      </c>
    </row>
    <row r="68">
      <c r="A68" t="inlineStr">
        <is>
          <t>FFY2025</t>
        </is>
      </c>
      <c r="B68" t="inlineStr">
        <is>
          <t>Orland Park</t>
        </is>
      </c>
      <c r="C68" s="5">
        <f>SUMIFS(Exploded_Detail_Relevant!$G$2:$G$491,Exploded_Detail_Relevant!$A$2:$A$491,$A68,Exploded_Detail_Relevant!$F$2:$F$491,$B68)</f>
        <v/>
      </c>
      <c r="D68">
        <f>COUNTIFS(Exploded_Detail_Relevant!$A$2:$A$491,$A68,Exploded_Detail_Relevant!$F$2:$F$491,$B68)</f>
        <v/>
      </c>
    </row>
    <row r="69">
      <c r="A69" t="inlineStr">
        <is>
          <t>FFY2025</t>
        </is>
      </c>
      <c r="B69" t="inlineStr">
        <is>
          <t>Palatine</t>
        </is>
      </c>
      <c r="C69" s="5">
        <f>SUMIFS(Exploded_Detail_Relevant!$G$2:$G$491,Exploded_Detail_Relevant!$A$2:$A$491,$A69,Exploded_Detail_Relevant!$F$2:$F$491,$B69)</f>
        <v/>
      </c>
      <c r="D69">
        <f>COUNTIFS(Exploded_Detail_Relevant!$A$2:$A$491,$A69,Exploded_Detail_Relevant!$F$2:$F$491,$B69)</f>
        <v/>
      </c>
    </row>
    <row r="70">
      <c r="A70" t="inlineStr">
        <is>
          <t>FFY2025</t>
        </is>
      </c>
      <c r="B70" t="inlineStr">
        <is>
          <t>Palos Heights</t>
        </is>
      </c>
      <c r="C70" s="5">
        <f>SUMIFS(Exploded_Detail_Relevant!$G$2:$G$491,Exploded_Detail_Relevant!$A$2:$A$491,$A70,Exploded_Detail_Relevant!$F$2:$F$491,$B70)</f>
        <v/>
      </c>
      <c r="D70">
        <f>COUNTIFS(Exploded_Detail_Relevant!$A$2:$A$491,$A70,Exploded_Detail_Relevant!$F$2:$F$491,$B70)</f>
        <v/>
      </c>
    </row>
    <row r="71">
      <c r="A71" t="inlineStr">
        <is>
          <t>FFY2025</t>
        </is>
      </c>
      <c r="B71" t="inlineStr">
        <is>
          <t>Palos Hills</t>
        </is>
      </c>
      <c r="C71" s="5">
        <f>SUMIFS(Exploded_Detail_Relevant!$G$2:$G$491,Exploded_Detail_Relevant!$A$2:$A$491,$A71,Exploded_Detail_Relevant!$F$2:$F$491,$B71)</f>
        <v/>
      </c>
      <c r="D71">
        <f>COUNTIFS(Exploded_Detail_Relevant!$A$2:$A$491,$A71,Exploded_Detail_Relevant!$F$2:$F$491,$B71)</f>
        <v/>
      </c>
    </row>
    <row r="72">
      <c r="A72" t="inlineStr">
        <is>
          <t>FFY2025</t>
        </is>
      </c>
      <c r="B72" t="inlineStr">
        <is>
          <t>Palos Park</t>
        </is>
      </c>
      <c r="C72" s="5">
        <f>SUMIFS(Exploded_Detail_Relevant!$G$2:$G$491,Exploded_Detail_Relevant!$A$2:$A$491,$A72,Exploded_Detail_Relevant!$F$2:$F$491,$B72)</f>
        <v/>
      </c>
      <c r="D72">
        <f>COUNTIFS(Exploded_Detail_Relevant!$A$2:$A$491,$A72,Exploded_Detail_Relevant!$F$2:$F$491,$B72)</f>
        <v/>
      </c>
    </row>
    <row r="73">
      <c r="A73" t="inlineStr">
        <is>
          <t>FFY2025</t>
        </is>
      </c>
      <c r="B73" t="inlineStr">
        <is>
          <t>Park Forest</t>
        </is>
      </c>
      <c r="C73" s="5">
        <f>SUMIFS(Exploded_Detail_Relevant!$G$2:$G$491,Exploded_Detail_Relevant!$A$2:$A$491,$A73,Exploded_Detail_Relevant!$F$2:$F$491,$B73)</f>
        <v/>
      </c>
      <c r="D73">
        <f>COUNTIFS(Exploded_Detail_Relevant!$A$2:$A$491,$A73,Exploded_Detail_Relevant!$F$2:$F$491,$B73)</f>
        <v/>
      </c>
    </row>
    <row r="74">
      <c r="A74" t="inlineStr">
        <is>
          <t>FFY2025</t>
        </is>
      </c>
      <c r="B74" t="inlineStr">
        <is>
          <t>Park Ridge</t>
        </is>
      </c>
      <c r="C74" s="5">
        <f>SUMIFS(Exploded_Detail_Relevant!$G$2:$G$491,Exploded_Detail_Relevant!$A$2:$A$491,$A74,Exploded_Detail_Relevant!$F$2:$F$491,$B74)</f>
        <v/>
      </c>
      <c r="D74">
        <f>COUNTIFS(Exploded_Detail_Relevant!$A$2:$A$491,$A74,Exploded_Detail_Relevant!$F$2:$F$491,$B74)</f>
        <v/>
      </c>
    </row>
    <row r="75">
      <c r="A75" t="inlineStr">
        <is>
          <t>FFY2025</t>
        </is>
      </c>
      <c r="B75" t="inlineStr">
        <is>
          <t>Prospect Heights</t>
        </is>
      </c>
      <c r="C75" s="5">
        <f>SUMIFS(Exploded_Detail_Relevant!$G$2:$G$491,Exploded_Detail_Relevant!$A$2:$A$491,$A75,Exploded_Detail_Relevant!$F$2:$F$491,$B75)</f>
        <v/>
      </c>
      <c r="D75">
        <f>COUNTIFS(Exploded_Detail_Relevant!$A$2:$A$491,$A75,Exploded_Detail_Relevant!$F$2:$F$491,$B75)</f>
        <v/>
      </c>
    </row>
    <row r="76">
      <c r="A76" t="inlineStr">
        <is>
          <t>FFY2025</t>
        </is>
      </c>
      <c r="B76" t="inlineStr">
        <is>
          <t>Richton Park</t>
        </is>
      </c>
      <c r="C76" s="5">
        <f>SUMIFS(Exploded_Detail_Relevant!$G$2:$G$491,Exploded_Detail_Relevant!$A$2:$A$491,$A76,Exploded_Detail_Relevant!$F$2:$F$491,$B76)</f>
        <v/>
      </c>
      <c r="D76">
        <f>COUNTIFS(Exploded_Detail_Relevant!$A$2:$A$491,$A76,Exploded_Detail_Relevant!$F$2:$F$491,$B76)</f>
        <v/>
      </c>
    </row>
    <row r="77">
      <c r="A77" t="inlineStr">
        <is>
          <t>FFY2025</t>
        </is>
      </c>
      <c r="B77" t="inlineStr">
        <is>
          <t>River Forest</t>
        </is>
      </c>
      <c r="C77" s="5">
        <f>SUMIFS(Exploded_Detail_Relevant!$G$2:$G$491,Exploded_Detail_Relevant!$A$2:$A$491,$A77,Exploded_Detail_Relevant!$F$2:$F$491,$B77)</f>
        <v/>
      </c>
      <c r="D77">
        <f>COUNTIFS(Exploded_Detail_Relevant!$A$2:$A$491,$A77,Exploded_Detail_Relevant!$F$2:$F$491,$B77)</f>
        <v/>
      </c>
    </row>
    <row r="78">
      <c r="A78" t="inlineStr">
        <is>
          <t>FFY2025</t>
        </is>
      </c>
      <c r="B78" t="inlineStr">
        <is>
          <t>River Grove</t>
        </is>
      </c>
      <c r="C78" s="5">
        <f>SUMIFS(Exploded_Detail_Relevant!$G$2:$G$491,Exploded_Detail_Relevant!$A$2:$A$491,$A78,Exploded_Detail_Relevant!$F$2:$F$491,$B78)</f>
        <v/>
      </c>
      <c r="D78">
        <f>COUNTIFS(Exploded_Detail_Relevant!$A$2:$A$491,$A78,Exploded_Detail_Relevant!$F$2:$F$491,$B78)</f>
        <v/>
      </c>
    </row>
    <row r="79">
      <c r="A79" t="inlineStr">
        <is>
          <t>FFY2025</t>
        </is>
      </c>
      <c r="B79" t="inlineStr">
        <is>
          <t>Riverdale</t>
        </is>
      </c>
      <c r="C79" s="5">
        <f>SUMIFS(Exploded_Detail_Relevant!$G$2:$G$491,Exploded_Detail_Relevant!$A$2:$A$491,$A79,Exploded_Detail_Relevant!$F$2:$F$491,$B79)</f>
        <v/>
      </c>
      <c r="D79">
        <f>COUNTIFS(Exploded_Detail_Relevant!$A$2:$A$491,$A79,Exploded_Detail_Relevant!$F$2:$F$491,$B79)</f>
        <v/>
      </c>
    </row>
    <row r="80">
      <c r="A80" t="inlineStr">
        <is>
          <t>FFY2025</t>
        </is>
      </c>
      <c r="B80" t="inlineStr">
        <is>
          <t>Robbins</t>
        </is>
      </c>
      <c r="C80" s="5">
        <f>SUMIFS(Exploded_Detail_Relevant!$G$2:$G$491,Exploded_Detail_Relevant!$A$2:$A$491,$A80,Exploded_Detail_Relevant!$F$2:$F$491,$B80)</f>
        <v/>
      </c>
      <c r="D80">
        <f>COUNTIFS(Exploded_Detail_Relevant!$A$2:$A$491,$A80,Exploded_Detail_Relevant!$F$2:$F$491,$B80)</f>
        <v/>
      </c>
    </row>
    <row r="81">
      <c r="A81" t="inlineStr">
        <is>
          <t>FFY2025</t>
        </is>
      </c>
      <c r="B81" t="inlineStr">
        <is>
          <t>Rolling Meadows</t>
        </is>
      </c>
      <c r="C81" s="5">
        <f>SUMIFS(Exploded_Detail_Relevant!$G$2:$G$491,Exploded_Detail_Relevant!$A$2:$A$491,$A81,Exploded_Detail_Relevant!$F$2:$F$491,$B81)</f>
        <v/>
      </c>
      <c r="D81">
        <f>COUNTIFS(Exploded_Detail_Relevant!$A$2:$A$491,$A81,Exploded_Detail_Relevant!$F$2:$F$491,$B81)</f>
        <v/>
      </c>
    </row>
    <row r="82">
      <c r="A82" t="inlineStr">
        <is>
          <t>FFY2025</t>
        </is>
      </c>
      <c r="B82" t="inlineStr">
        <is>
          <t>Rosemont</t>
        </is>
      </c>
      <c r="C82" s="5">
        <f>SUMIFS(Exploded_Detail_Relevant!$G$2:$G$491,Exploded_Detail_Relevant!$A$2:$A$491,$A82,Exploded_Detail_Relevant!$F$2:$F$491,$B82)</f>
        <v/>
      </c>
      <c r="D82">
        <f>COUNTIFS(Exploded_Detail_Relevant!$A$2:$A$491,$A82,Exploded_Detail_Relevant!$F$2:$F$491,$B82)</f>
        <v/>
      </c>
    </row>
    <row r="83">
      <c r="A83" t="inlineStr">
        <is>
          <t>FFY2025</t>
        </is>
      </c>
      <c r="B83" t="inlineStr">
        <is>
          <t>Sauk Village</t>
        </is>
      </c>
      <c r="C83" s="5">
        <f>SUMIFS(Exploded_Detail_Relevant!$G$2:$G$491,Exploded_Detail_Relevant!$A$2:$A$491,$A83,Exploded_Detail_Relevant!$F$2:$F$491,$B83)</f>
        <v/>
      </c>
      <c r="D83">
        <f>COUNTIFS(Exploded_Detail_Relevant!$A$2:$A$491,$A83,Exploded_Detail_Relevant!$F$2:$F$491,$B83)</f>
        <v/>
      </c>
    </row>
    <row r="84">
      <c r="A84" t="inlineStr">
        <is>
          <t>FFY2025</t>
        </is>
      </c>
      <c r="B84" t="inlineStr">
        <is>
          <t>Schaumburg</t>
        </is>
      </c>
      <c r="C84" s="5">
        <f>SUMIFS(Exploded_Detail_Relevant!$G$2:$G$491,Exploded_Detail_Relevant!$A$2:$A$491,$A84,Exploded_Detail_Relevant!$F$2:$F$491,$B84)</f>
        <v/>
      </c>
      <c r="D84">
        <f>COUNTIFS(Exploded_Detail_Relevant!$A$2:$A$491,$A84,Exploded_Detail_Relevant!$F$2:$F$491,$B84)</f>
        <v/>
      </c>
    </row>
    <row r="85">
      <c r="A85" t="inlineStr">
        <is>
          <t>FFY2025</t>
        </is>
      </c>
      <c r="B85" t="inlineStr">
        <is>
          <t>Schiller Park</t>
        </is>
      </c>
      <c r="C85" s="5">
        <f>SUMIFS(Exploded_Detail_Relevant!$G$2:$G$491,Exploded_Detail_Relevant!$A$2:$A$491,$A85,Exploded_Detail_Relevant!$F$2:$F$491,$B85)</f>
        <v/>
      </c>
      <c r="D85">
        <f>COUNTIFS(Exploded_Detail_Relevant!$A$2:$A$491,$A85,Exploded_Detail_Relevant!$F$2:$F$491,$B85)</f>
        <v/>
      </c>
    </row>
    <row r="86">
      <c r="A86" t="inlineStr">
        <is>
          <t>FFY2025</t>
        </is>
      </c>
      <c r="B86" t="inlineStr">
        <is>
          <t>Skokie</t>
        </is>
      </c>
      <c r="C86" s="5">
        <f>SUMIFS(Exploded_Detail_Relevant!$G$2:$G$491,Exploded_Detail_Relevant!$A$2:$A$491,$A86,Exploded_Detail_Relevant!$F$2:$F$491,$B86)</f>
        <v/>
      </c>
      <c r="D86">
        <f>COUNTIFS(Exploded_Detail_Relevant!$A$2:$A$491,$A86,Exploded_Detail_Relevant!$F$2:$F$491,$B86)</f>
        <v/>
      </c>
    </row>
    <row r="87">
      <c r="A87" t="inlineStr">
        <is>
          <t>FFY2025</t>
        </is>
      </c>
      <c r="B87" t="inlineStr">
        <is>
          <t>South Barrington</t>
        </is>
      </c>
      <c r="C87" s="5">
        <f>SUMIFS(Exploded_Detail_Relevant!$G$2:$G$491,Exploded_Detail_Relevant!$A$2:$A$491,$A87,Exploded_Detail_Relevant!$F$2:$F$491,$B87)</f>
        <v/>
      </c>
      <c r="D87">
        <f>COUNTIFS(Exploded_Detail_Relevant!$A$2:$A$491,$A87,Exploded_Detail_Relevant!$F$2:$F$491,$B87)</f>
        <v/>
      </c>
    </row>
    <row r="88">
      <c r="A88" t="inlineStr">
        <is>
          <t>FFY2025</t>
        </is>
      </c>
      <c r="B88" t="inlineStr">
        <is>
          <t>South Chicago Heights</t>
        </is>
      </c>
      <c r="C88" s="5">
        <f>SUMIFS(Exploded_Detail_Relevant!$G$2:$G$491,Exploded_Detail_Relevant!$A$2:$A$491,$A88,Exploded_Detail_Relevant!$F$2:$F$491,$B88)</f>
        <v/>
      </c>
      <c r="D88">
        <f>COUNTIFS(Exploded_Detail_Relevant!$A$2:$A$491,$A88,Exploded_Detail_Relevant!$F$2:$F$491,$B88)</f>
        <v/>
      </c>
    </row>
    <row r="89">
      <c r="A89" t="inlineStr">
        <is>
          <t>FFY2025</t>
        </is>
      </c>
      <c r="B89" t="inlineStr">
        <is>
          <t>South Holland</t>
        </is>
      </c>
      <c r="C89" s="5">
        <f>SUMIFS(Exploded_Detail_Relevant!$G$2:$G$491,Exploded_Detail_Relevant!$A$2:$A$491,$A89,Exploded_Detail_Relevant!$F$2:$F$491,$B89)</f>
        <v/>
      </c>
      <c r="D89">
        <f>COUNTIFS(Exploded_Detail_Relevant!$A$2:$A$491,$A89,Exploded_Detail_Relevant!$F$2:$F$491,$B89)</f>
        <v/>
      </c>
    </row>
    <row r="90">
      <c r="A90" t="inlineStr">
        <is>
          <t>FFY2025</t>
        </is>
      </c>
      <c r="B90" t="inlineStr">
        <is>
          <t>Stickney</t>
        </is>
      </c>
      <c r="C90" s="5">
        <f>SUMIFS(Exploded_Detail_Relevant!$G$2:$G$491,Exploded_Detail_Relevant!$A$2:$A$491,$A90,Exploded_Detail_Relevant!$F$2:$F$491,$B90)</f>
        <v/>
      </c>
      <c r="D90">
        <f>COUNTIFS(Exploded_Detail_Relevant!$A$2:$A$491,$A90,Exploded_Detail_Relevant!$F$2:$F$491,$B90)</f>
        <v/>
      </c>
    </row>
    <row r="91">
      <c r="A91" t="inlineStr">
        <is>
          <t>FFY2025</t>
        </is>
      </c>
      <c r="B91" t="inlineStr">
        <is>
          <t>Streamwood</t>
        </is>
      </c>
      <c r="C91" s="5">
        <f>SUMIFS(Exploded_Detail_Relevant!$G$2:$G$491,Exploded_Detail_Relevant!$A$2:$A$491,$A91,Exploded_Detail_Relevant!$F$2:$F$491,$B91)</f>
        <v/>
      </c>
      <c r="D91">
        <f>COUNTIFS(Exploded_Detail_Relevant!$A$2:$A$491,$A91,Exploded_Detail_Relevant!$F$2:$F$491,$B91)</f>
        <v/>
      </c>
    </row>
    <row r="92">
      <c r="A92" t="inlineStr">
        <is>
          <t>FFY2025</t>
        </is>
      </c>
      <c r="B92" t="inlineStr">
        <is>
          <t>Summit</t>
        </is>
      </c>
      <c r="C92" s="5">
        <f>SUMIFS(Exploded_Detail_Relevant!$G$2:$G$491,Exploded_Detail_Relevant!$A$2:$A$491,$A92,Exploded_Detail_Relevant!$F$2:$F$491,$B92)</f>
        <v/>
      </c>
      <c r="D92">
        <f>COUNTIFS(Exploded_Detail_Relevant!$A$2:$A$491,$A92,Exploded_Detail_Relevant!$F$2:$F$491,$B92)</f>
        <v/>
      </c>
    </row>
    <row r="93">
      <c r="A93" t="inlineStr">
        <is>
          <t>FFY2025</t>
        </is>
      </c>
      <c r="B93" t="inlineStr">
        <is>
          <t>Unincorporated (Cook)</t>
        </is>
      </c>
      <c r="C93" s="5">
        <f>SUMIFS(Exploded_Detail_Relevant!$G$2:$G$491,Exploded_Detail_Relevant!$A$2:$A$491,$A93,Exploded_Detail_Relevant!$F$2:$F$491,$B93)</f>
        <v/>
      </c>
      <c r="D93">
        <f>COUNTIFS(Exploded_Detail_Relevant!$A$2:$A$491,$A93,Exploded_Detail_Relevant!$F$2:$F$491,$B93)</f>
        <v/>
      </c>
    </row>
    <row r="94">
      <c r="A94" t="inlineStr">
        <is>
          <t>FFY2025</t>
        </is>
      </c>
      <c r="B94" t="inlineStr">
        <is>
          <t>Westchester</t>
        </is>
      </c>
      <c r="C94" s="5">
        <f>SUMIFS(Exploded_Detail_Relevant!$G$2:$G$491,Exploded_Detail_Relevant!$A$2:$A$491,$A94,Exploded_Detail_Relevant!$F$2:$F$491,$B94)</f>
        <v/>
      </c>
      <c r="D94">
        <f>COUNTIFS(Exploded_Detail_Relevant!$A$2:$A$491,$A94,Exploded_Detail_Relevant!$F$2:$F$491,$B94)</f>
        <v/>
      </c>
    </row>
    <row r="95">
      <c r="A95" t="inlineStr">
        <is>
          <t>FFY2025</t>
        </is>
      </c>
      <c r="B95" t="inlineStr">
        <is>
          <t>Western Springs</t>
        </is>
      </c>
      <c r="C95" s="5">
        <f>SUMIFS(Exploded_Detail_Relevant!$G$2:$G$491,Exploded_Detail_Relevant!$A$2:$A$491,$A95,Exploded_Detail_Relevant!$F$2:$F$491,$B95)</f>
        <v/>
      </c>
      <c r="D95">
        <f>COUNTIFS(Exploded_Detail_Relevant!$A$2:$A$491,$A95,Exploded_Detail_Relevant!$F$2:$F$491,$B95)</f>
        <v/>
      </c>
    </row>
    <row r="96">
      <c r="A96" t="inlineStr">
        <is>
          <t>FFY2025</t>
        </is>
      </c>
      <c r="B96" t="inlineStr">
        <is>
          <t>Wheeling</t>
        </is>
      </c>
      <c r="C96" s="5">
        <f>SUMIFS(Exploded_Detail_Relevant!$G$2:$G$491,Exploded_Detail_Relevant!$A$2:$A$491,$A96,Exploded_Detail_Relevant!$F$2:$F$491,$B96)</f>
        <v/>
      </c>
      <c r="D96">
        <f>COUNTIFS(Exploded_Detail_Relevant!$A$2:$A$491,$A96,Exploded_Detail_Relevant!$F$2:$F$491,$B96)</f>
        <v/>
      </c>
    </row>
    <row r="97">
      <c r="A97" t="inlineStr">
        <is>
          <t>FFY2025</t>
        </is>
      </c>
      <c r="B97" t="inlineStr">
        <is>
          <t>Wilmette</t>
        </is>
      </c>
      <c r="C97" s="5">
        <f>SUMIFS(Exploded_Detail_Relevant!$G$2:$G$491,Exploded_Detail_Relevant!$A$2:$A$491,$A97,Exploded_Detail_Relevant!$F$2:$F$491,$B97)</f>
        <v/>
      </c>
      <c r="D97">
        <f>COUNTIFS(Exploded_Detail_Relevant!$A$2:$A$491,$A97,Exploded_Detail_Relevant!$F$2:$F$491,$B97)</f>
        <v/>
      </c>
    </row>
    <row r="98">
      <c r="A98" t="inlineStr">
        <is>
          <t>FFY2025</t>
        </is>
      </c>
      <c r="B98" t="inlineStr">
        <is>
          <t>Winnetka</t>
        </is>
      </c>
      <c r="C98" s="5">
        <f>SUMIFS(Exploded_Detail_Relevant!$G$2:$G$491,Exploded_Detail_Relevant!$A$2:$A$491,$A98,Exploded_Detail_Relevant!$F$2:$F$491,$B98)</f>
        <v/>
      </c>
      <c r="D98">
        <f>COUNTIFS(Exploded_Detail_Relevant!$A$2:$A$491,$A98,Exploded_Detail_Relevant!$F$2:$F$491,$B98)</f>
        <v/>
      </c>
    </row>
    <row r="99">
      <c r="A99" t="inlineStr">
        <is>
          <t>FFY2025</t>
        </is>
      </c>
      <c r="B99" t="inlineStr">
        <is>
          <t>Worth</t>
        </is>
      </c>
      <c r="C99" s="5">
        <f>SUMIFS(Exploded_Detail_Relevant!$G$2:$G$491,Exploded_Detail_Relevant!$A$2:$A$491,$A99,Exploded_Detail_Relevant!$F$2:$F$491,$B99)</f>
        <v/>
      </c>
      <c r="D99">
        <f>COUNTIFS(Exploded_Detail_Relevant!$A$2:$A$491,$A99,Exploded_Detail_Relevant!$F$2:$F$491,$B99)</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22" customWidth="1" min="4" max="4"/>
    <col width="18" customWidth="1" min="5" max="5"/>
  </cols>
  <sheetData>
    <row r="1">
      <c r="A1" s="4" t="inlineStr">
        <is>
          <t>Fiscal Year</t>
        </is>
      </c>
      <c r="B1" s="4" t="inlineStr">
        <is>
          <t>Table</t>
        </is>
      </c>
      <c r="C1" s="4" t="inlineStr">
        <is>
          <t>Project Type</t>
        </is>
      </c>
      <c r="D1" s="4" t="inlineStr">
        <is>
          <t>Obligated_Amount_Sum</t>
        </is>
      </c>
      <c r="E1" s="4" t="inlineStr">
        <is>
          <t>Project_Count</t>
        </is>
      </c>
    </row>
    <row r="2">
      <c r="A2" t="inlineStr">
        <is>
          <t>FFY2025</t>
        </is>
      </c>
      <c r="B2" t="inlineStr">
        <is>
          <t>AC Authorization</t>
        </is>
      </c>
      <c r="C2" t="inlineStr">
        <is>
          <t>Bicycle &amp; Pedestrian</t>
        </is>
      </c>
      <c r="D2" s="5">
        <f>SUMIFS(Exploded_Detail_Relevant!$G$2:$G$491,Exploded_Detail_Relevant!$A$2:$A$491,$A2,Exploded_Detail_Relevant!$B$2:$B$491,$B2,Exploded_Detail_Relevant!$E$2:$E$491,$C2)</f>
        <v/>
      </c>
      <c r="E2">
        <f>COUNTIFS(Exploded_Detail_Relevant!$A$2:$A$491,$A2,Exploded_Detail_Relevant!$B$2:$B$491,$B2,Exploded_Detail_Relevant!$E$2:$E$491,$C2)</f>
        <v/>
      </c>
    </row>
    <row r="3">
      <c r="A3" t="inlineStr">
        <is>
          <t>FFY2025</t>
        </is>
      </c>
      <c r="B3" t="inlineStr">
        <is>
          <t>AC Authorization</t>
        </is>
      </c>
      <c r="C3" t="inlineStr">
        <is>
          <t>Bridge Repair, Rehab, or Replace</t>
        </is>
      </c>
      <c r="D3" s="5">
        <f>SUMIFS(Exploded_Detail_Relevant!$G$2:$G$491,Exploded_Detail_Relevant!$A$2:$A$491,$A3,Exploded_Detail_Relevant!$B$2:$B$491,$B3,Exploded_Detail_Relevant!$E$2:$E$491,$C3)</f>
        <v/>
      </c>
      <c r="E3">
        <f>COUNTIFS(Exploded_Detail_Relevant!$A$2:$A$491,$A3,Exploded_Detail_Relevant!$B$2:$B$491,$B3,Exploded_Detail_Relevant!$E$2:$E$491,$C3)</f>
        <v/>
      </c>
    </row>
    <row r="4">
      <c r="A4" t="inlineStr">
        <is>
          <t>FFY2025</t>
        </is>
      </c>
      <c r="B4" t="inlineStr">
        <is>
          <t>AC Authorization</t>
        </is>
      </c>
      <c r="C4" t="inlineStr">
        <is>
          <t>Bridge Routine Maintenance</t>
        </is>
      </c>
      <c r="D4" s="5">
        <f>SUMIFS(Exploded_Detail_Relevant!$G$2:$G$491,Exploded_Detail_Relevant!$A$2:$A$491,$A4,Exploded_Detail_Relevant!$B$2:$B$491,$B4,Exploded_Detail_Relevant!$E$2:$E$491,$C4)</f>
        <v/>
      </c>
      <c r="E4">
        <f>COUNTIFS(Exploded_Detail_Relevant!$A$2:$A$491,$A4,Exploded_Detail_Relevant!$B$2:$B$491,$B4,Exploded_Detail_Relevant!$E$2:$E$491,$C4)</f>
        <v/>
      </c>
    </row>
    <row r="5">
      <c r="A5" t="inlineStr">
        <is>
          <t>FFY2025</t>
        </is>
      </c>
      <c r="B5" t="inlineStr">
        <is>
          <t>AC Authorization</t>
        </is>
      </c>
      <c r="C5" t="inlineStr">
        <is>
          <t>Freight Movement</t>
        </is>
      </c>
      <c r="D5" s="5">
        <f>SUMIFS(Exploded_Detail_Relevant!$G$2:$G$491,Exploded_Detail_Relevant!$A$2:$A$491,$A5,Exploded_Detail_Relevant!$B$2:$B$491,$B5,Exploded_Detail_Relevant!$E$2:$E$491,$C5)</f>
        <v/>
      </c>
      <c r="E5">
        <f>COUNTIFS(Exploded_Detail_Relevant!$A$2:$A$491,$A5,Exploded_Detail_Relevant!$B$2:$B$491,$B5,Exploded_Detail_Relevant!$E$2:$E$491,$C5)</f>
        <v/>
      </c>
    </row>
    <row r="6">
      <c r="A6" t="inlineStr">
        <is>
          <t>FFY2025</t>
        </is>
      </c>
      <c r="B6" t="inlineStr">
        <is>
          <t>AC Authorization</t>
        </is>
      </c>
      <c r="C6" t="inlineStr">
        <is>
          <t>Intersection/Interchange Improvements</t>
        </is>
      </c>
      <c r="D6" s="5">
        <f>SUMIFS(Exploded_Detail_Relevant!$G$2:$G$491,Exploded_Detail_Relevant!$A$2:$A$491,$A6,Exploded_Detail_Relevant!$B$2:$B$491,$B6,Exploded_Detail_Relevant!$E$2:$E$491,$C6)</f>
        <v/>
      </c>
      <c r="E6">
        <f>COUNTIFS(Exploded_Detail_Relevant!$A$2:$A$491,$A6,Exploded_Detail_Relevant!$B$2:$B$491,$B6,Exploded_Detail_Relevant!$E$2:$E$491,$C6)</f>
        <v/>
      </c>
    </row>
    <row r="7">
      <c r="A7" t="inlineStr">
        <is>
          <t>FFY2025</t>
        </is>
      </c>
      <c r="B7" t="inlineStr">
        <is>
          <t>AC Authorization</t>
        </is>
      </c>
      <c r="C7" t="inlineStr">
        <is>
          <t>Rail-Highway Grade Separation</t>
        </is>
      </c>
      <c r="D7" s="5">
        <f>SUMIFS(Exploded_Detail_Relevant!$G$2:$G$491,Exploded_Detail_Relevant!$A$2:$A$491,$A7,Exploded_Detail_Relevant!$B$2:$B$491,$B7,Exploded_Detail_Relevant!$E$2:$E$491,$C7)</f>
        <v/>
      </c>
      <c r="E7">
        <f>COUNTIFS(Exploded_Detail_Relevant!$A$2:$A$491,$A7,Exploded_Detail_Relevant!$B$2:$B$491,$B7,Exploded_Detail_Relevant!$E$2:$E$491,$C7)</f>
        <v/>
      </c>
    </row>
    <row r="8">
      <c r="A8" t="inlineStr">
        <is>
          <t>FFY2025</t>
        </is>
      </c>
      <c r="B8" t="inlineStr">
        <is>
          <t>AC Authorization</t>
        </is>
      </c>
      <c r="C8" t="inlineStr">
        <is>
          <t>Road Expansion</t>
        </is>
      </c>
      <c r="D8" s="5">
        <f>SUMIFS(Exploded_Detail_Relevant!$G$2:$G$491,Exploded_Detail_Relevant!$A$2:$A$491,$A8,Exploded_Detail_Relevant!$B$2:$B$491,$B8,Exploded_Detail_Relevant!$E$2:$E$491,$C8)</f>
        <v/>
      </c>
      <c r="E8">
        <f>COUNTIFS(Exploded_Detail_Relevant!$A$2:$A$491,$A8,Exploded_Detail_Relevant!$B$2:$B$491,$B8,Exploded_Detail_Relevant!$E$2:$E$491,$C8)</f>
        <v/>
      </c>
    </row>
    <row r="9">
      <c r="A9" t="inlineStr">
        <is>
          <t>FFY2025</t>
        </is>
      </c>
      <c r="B9" t="inlineStr">
        <is>
          <t>AC Authorization</t>
        </is>
      </c>
      <c r="C9" t="inlineStr">
        <is>
          <t>Road Maintenance</t>
        </is>
      </c>
      <c r="D9" s="5">
        <f>SUMIFS(Exploded_Detail_Relevant!$G$2:$G$491,Exploded_Detail_Relevant!$A$2:$A$491,$A9,Exploded_Detail_Relevant!$B$2:$B$491,$B9,Exploded_Detail_Relevant!$E$2:$E$491,$C9)</f>
        <v/>
      </c>
      <c r="E9">
        <f>COUNTIFS(Exploded_Detail_Relevant!$A$2:$A$491,$A9,Exploded_Detail_Relevant!$B$2:$B$491,$B9,Exploded_Detail_Relevant!$E$2:$E$491,$C9)</f>
        <v/>
      </c>
    </row>
    <row r="10">
      <c r="A10" t="inlineStr">
        <is>
          <t>FFY2025</t>
        </is>
      </c>
      <c r="B10" t="inlineStr">
        <is>
          <t>AC Authorization</t>
        </is>
      </c>
      <c r="C10" t="inlineStr">
        <is>
          <t>Road Modernization</t>
        </is>
      </c>
      <c r="D10" s="5">
        <f>SUMIFS(Exploded_Detail_Relevant!$G$2:$G$491,Exploded_Detail_Relevant!$A$2:$A$491,$A10,Exploded_Detail_Relevant!$B$2:$B$491,$B10,Exploded_Detail_Relevant!$E$2:$E$491,$C10)</f>
        <v/>
      </c>
      <c r="E10">
        <f>COUNTIFS(Exploded_Detail_Relevant!$A$2:$A$491,$A10,Exploded_Detail_Relevant!$B$2:$B$491,$B10,Exploded_Detail_Relevant!$E$2:$E$491,$C10)</f>
        <v/>
      </c>
    </row>
    <row r="11">
      <c r="A11" t="inlineStr">
        <is>
          <t>FFY2025</t>
        </is>
      </c>
      <c r="B11" t="inlineStr">
        <is>
          <t>AC Authorization</t>
        </is>
      </c>
      <c r="C11" t="inlineStr">
        <is>
          <t>Road Signals &amp; Signs</t>
        </is>
      </c>
      <c r="D11" s="5">
        <f>SUMIFS(Exploded_Detail_Relevant!$G$2:$G$491,Exploded_Detail_Relevant!$A$2:$A$491,$A11,Exploded_Detail_Relevant!$B$2:$B$491,$B11,Exploded_Detail_Relevant!$E$2:$E$491,$C11)</f>
        <v/>
      </c>
      <c r="E11">
        <f>COUNTIFS(Exploded_Detail_Relevant!$A$2:$A$491,$A11,Exploded_Detail_Relevant!$B$2:$B$491,$B11,Exploded_Detail_Relevant!$E$2:$E$491,$C11)</f>
        <v/>
      </c>
    </row>
    <row r="12">
      <c r="A12" t="inlineStr">
        <is>
          <t>FFY2025</t>
        </is>
      </c>
      <c r="B12" t="inlineStr">
        <is>
          <t>AC Authorization</t>
        </is>
      </c>
      <c r="C12" t="inlineStr">
        <is>
          <t>Safe Routes to Schools</t>
        </is>
      </c>
      <c r="D12" s="5">
        <f>SUMIFS(Exploded_Detail_Relevant!$G$2:$G$491,Exploded_Detail_Relevant!$A$2:$A$491,$A12,Exploded_Detail_Relevant!$B$2:$B$491,$B12,Exploded_Detail_Relevant!$E$2:$E$491,$C12)</f>
        <v/>
      </c>
      <c r="E12">
        <f>COUNTIFS(Exploded_Detail_Relevant!$A$2:$A$491,$A12,Exploded_Detail_Relevant!$B$2:$B$491,$B12,Exploded_Detail_Relevant!$E$2:$E$491,$C12)</f>
        <v/>
      </c>
    </row>
    <row r="13">
      <c r="A13" t="inlineStr">
        <is>
          <t>FFY2025</t>
        </is>
      </c>
      <c r="B13" t="inlineStr">
        <is>
          <t>AC Authorization</t>
        </is>
      </c>
      <c r="C13" t="inlineStr">
        <is>
          <t>Signal Systems</t>
        </is>
      </c>
      <c r="D13" s="5">
        <f>SUMIFS(Exploded_Detail_Relevant!$G$2:$G$491,Exploded_Detail_Relevant!$A$2:$A$491,$A13,Exploded_Detail_Relevant!$B$2:$B$491,$B13,Exploded_Detail_Relevant!$E$2:$E$491,$C13)</f>
        <v/>
      </c>
      <c r="E13">
        <f>COUNTIFS(Exploded_Detail_Relevant!$A$2:$A$491,$A13,Exploded_Detail_Relevant!$B$2:$B$491,$B13,Exploded_Detail_Relevant!$E$2:$E$491,$C13)</f>
        <v/>
      </c>
    </row>
    <row r="14">
      <c r="A14" t="inlineStr">
        <is>
          <t>FFY2025</t>
        </is>
      </c>
      <c r="B14" t="inlineStr">
        <is>
          <t>AC Authorization</t>
        </is>
      </c>
      <c r="C14" t="inlineStr">
        <is>
          <t>Systems Improvements</t>
        </is>
      </c>
      <c r="D14" s="5">
        <f>SUMIFS(Exploded_Detail_Relevant!$G$2:$G$491,Exploded_Detail_Relevant!$A$2:$A$491,$A14,Exploded_Detail_Relevant!$B$2:$B$491,$B14,Exploded_Detail_Relevant!$E$2:$E$491,$C14)</f>
        <v/>
      </c>
      <c r="E14">
        <f>COUNTIFS(Exploded_Detail_Relevant!$A$2:$A$491,$A14,Exploded_Detail_Relevant!$B$2:$B$491,$B14,Exploded_Detail_Relevant!$E$2:$E$491,$C14)</f>
        <v/>
      </c>
    </row>
    <row r="15">
      <c r="A15" t="inlineStr">
        <is>
          <t>FFY2025</t>
        </is>
      </c>
      <c r="B15" t="inlineStr">
        <is>
          <t>AC Authorization</t>
        </is>
      </c>
      <c r="C15" t="inlineStr">
        <is>
          <t>Transportation Enhancements</t>
        </is>
      </c>
      <c r="D15" s="5">
        <f>SUMIFS(Exploded_Detail_Relevant!$G$2:$G$491,Exploded_Detail_Relevant!$A$2:$A$491,$A15,Exploded_Detail_Relevant!$B$2:$B$491,$B15,Exploded_Detail_Relevant!$E$2:$E$491,$C15)</f>
        <v/>
      </c>
      <c r="E15">
        <f>COUNTIFS(Exploded_Detail_Relevant!$A$2:$A$491,$A15,Exploded_Detail_Relevant!$B$2:$B$491,$B15,Exploded_Detail_Relevant!$E$2:$E$491,$C15)</f>
        <v/>
      </c>
    </row>
    <row r="16">
      <c r="A16" t="inlineStr">
        <is>
          <t>FFY2025</t>
        </is>
      </c>
      <c r="B16" t="inlineStr">
        <is>
          <t>FHWA Obligation</t>
        </is>
      </c>
      <c r="C16" t="inlineStr">
        <is>
          <t>Bicycle &amp; Pedestrian</t>
        </is>
      </c>
      <c r="D16" s="5">
        <f>SUMIFS(Exploded_Detail_Relevant!$G$2:$G$491,Exploded_Detail_Relevant!$A$2:$A$491,$A16,Exploded_Detail_Relevant!$B$2:$B$491,$B16,Exploded_Detail_Relevant!$E$2:$E$491,$C16)</f>
        <v/>
      </c>
      <c r="E16">
        <f>COUNTIFS(Exploded_Detail_Relevant!$A$2:$A$491,$A16,Exploded_Detail_Relevant!$B$2:$B$491,$B16,Exploded_Detail_Relevant!$E$2:$E$491,$C16)</f>
        <v/>
      </c>
    </row>
    <row r="17">
      <c r="A17" t="inlineStr">
        <is>
          <t>FFY2025</t>
        </is>
      </c>
      <c r="B17" t="inlineStr">
        <is>
          <t>FHWA Obligation</t>
        </is>
      </c>
      <c r="C17" t="inlineStr">
        <is>
          <t>Bridge Repair, Rehab, or Replace</t>
        </is>
      </c>
      <c r="D17" s="5">
        <f>SUMIFS(Exploded_Detail_Relevant!$G$2:$G$491,Exploded_Detail_Relevant!$A$2:$A$491,$A17,Exploded_Detail_Relevant!$B$2:$B$491,$B17,Exploded_Detail_Relevant!$E$2:$E$491,$C17)</f>
        <v/>
      </c>
      <c r="E17">
        <f>COUNTIFS(Exploded_Detail_Relevant!$A$2:$A$491,$A17,Exploded_Detail_Relevant!$B$2:$B$491,$B17,Exploded_Detail_Relevant!$E$2:$E$491,$C17)</f>
        <v/>
      </c>
    </row>
    <row r="18">
      <c r="A18" t="inlineStr">
        <is>
          <t>FFY2025</t>
        </is>
      </c>
      <c r="B18" t="inlineStr">
        <is>
          <t>FHWA Obligation</t>
        </is>
      </c>
      <c r="C18" t="inlineStr">
        <is>
          <t>Bridge Routine Maintenance</t>
        </is>
      </c>
      <c r="D18" s="5">
        <f>SUMIFS(Exploded_Detail_Relevant!$G$2:$G$491,Exploded_Detail_Relevant!$A$2:$A$491,$A18,Exploded_Detail_Relevant!$B$2:$B$491,$B18,Exploded_Detail_Relevant!$E$2:$E$491,$C18)</f>
        <v/>
      </c>
      <c r="E18">
        <f>COUNTIFS(Exploded_Detail_Relevant!$A$2:$A$491,$A18,Exploded_Detail_Relevant!$B$2:$B$491,$B18,Exploded_Detail_Relevant!$E$2:$E$491,$C18)</f>
        <v/>
      </c>
    </row>
    <row r="19">
      <c r="A19" t="inlineStr">
        <is>
          <t>FFY2025</t>
        </is>
      </c>
      <c r="B19" t="inlineStr">
        <is>
          <t>FHWA Obligation</t>
        </is>
      </c>
      <c r="C19" t="inlineStr">
        <is>
          <t>Freight Movement</t>
        </is>
      </c>
      <c r="D19" s="5">
        <f>SUMIFS(Exploded_Detail_Relevant!$G$2:$G$491,Exploded_Detail_Relevant!$A$2:$A$491,$A19,Exploded_Detail_Relevant!$B$2:$B$491,$B19,Exploded_Detail_Relevant!$E$2:$E$491,$C19)</f>
        <v/>
      </c>
      <c r="E19">
        <f>COUNTIFS(Exploded_Detail_Relevant!$A$2:$A$491,$A19,Exploded_Detail_Relevant!$B$2:$B$491,$B19,Exploded_Detail_Relevant!$E$2:$E$491,$C19)</f>
        <v/>
      </c>
    </row>
    <row r="20">
      <c r="A20" t="inlineStr">
        <is>
          <t>FFY2025</t>
        </is>
      </c>
      <c r="B20" t="inlineStr">
        <is>
          <t>FHWA Obligation</t>
        </is>
      </c>
      <c r="C20" t="inlineStr">
        <is>
          <t>Intelligent Transportation Systems</t>
        </is>
      </c>
      <c r="D20" s="5">
        <f>SUMIFS(Exploded_Detail_Relevant!$G$2:$G$491,Exploded_Detail_Relevant!$A$2:$A$491,$A20,Exploded_Detail_Relevant!$B$2:$B$491,$B20,Exploded_Detail_Relevant!$E$2:$E$491,$C20)</f>
        <v/>
      </c>
      <c r="E20">
        <f>COUNTIFS(Exploded_Detail_Relevant!$A$2:$A$491,$A20,Exploded_Detail_Relevant!$B$2:$B$491,$B20,Exploded_Detail_Relevant!$E$2:$E$491,$C20)</f>
        <v/>
      </c>
    </row>
    <row r="21">
      <c r="A21" t="inlineStr">
        <is>
          <t>FFY2025</t>
        </is>
      </c>
      <c r="B21" t="inlineStr">
        <is>
          <t>FHWA Obligation</t>
        </is>
      </c>
      <c r="C21" t="inlineStr">
        <is>
          <t>Intersection/Interchange Improvements</t>
        </is>
      </c>
      <c r="D21" s="5">
        <f>SUMIFS(Exploded_Detail_Relevant!$G$2:$G$491,Exploded_Detail_Relevant!$A$2:$A$491,$A21,Exploded_Detail_Relevant!$B$2:$B$491,$B21,Exploded_Detail_Relevant!$E$2:$E$491,$C21)</f>
        <v/>
      </c>
      <c r="E21">
        <f>COUNTIFS(Exploded_Detail_Relevant!$A$2:$A$491,$A21,Exploded_Detail_Relevant!$B$2:$B$491,$B21,Exploded_Detail_Relevant!$E$2:$E$491,$C21)</f>
        <v/>
      </c>
    </row>
    <row r="22">
      <c r="A22" t="inlineStr">
        <is>
          <t>FFY2025</t>
        </is>
      </c>
      <c r="B22" t="inlineStr">
        <is>
          <t>FHWA Obligation</t>
        </is>
      </c>
      <c r="C22" t="inlineStr">
        <is>
          <t>New/Expanded Interchange</t>
        </is>
      </c>
      <c r="D22" s="5">
        <f>SUMIFS(Exploded_Detail_Relevant!$G$2:$G$491,Exploded_Detail_Relevant!$A$2:$A$491,$A22,Exploded_Detail_Relevant!$B$2:$B$491,$B22,Exploded_Detail_Relevant!$E$2:$E$491,$C22)</f>
        <v/>
      </c>
      <c r="E22">
        <f>COUNTIFS(Exploded_Detail_Relevant!$A$2:$A$491,$A22,Exploded_Detail_Relevant!$B$2:$B$491,$B22,Exploded_Detail_Relevant!$E$2:$E$491,$C22)</f>
        <v/>
      </c>
    </row>
    <row r="23">
      <c r="A23" t="inlineStr">
        <is>
          <t>FFY2025</t>
        </is>
      </c>
      <c r="B23" t="inlineStr">
        <is>
          <t>FHWA Obligation</t>
        </is>
      </c>
      <c r="C23" t="inlineStr">
        <is>
          <t>Rail-Highway Grade Separation</t>
        </is>
      </c>
      <c r="D23" s="5">
        <f>SUMIFS(Exploded_Detail_Relevant!$G$2:$G$491,Exploded_Detail_Relevant!$A$2:$A$491,$A23,Exploded_Detail_Relevant!$B$2:$B$491,$B23,Exploded_Detail_Relevant!$E$2:$E$491,$C23)</f>
        <v/>
      </c>
      <c r="E23">
        <f>COUNTIFS(Exploded_Detail_Relevant!$A$2:$A$491,$A23,Exploded_Detail_Relevant!$B$2:$B$491,$B23,Exploded_Detail_Relevant!$E$2:$E$491,$C23)</f>
        <v/>
      </c>
    </row>
    <row r="24">
      <c r="A24" t="inlineStr">
        <is>
          <t>FFY2025</t>
        </is>
      </c>
      <c r="B24" t="inlineStr">
        <is>
          <t>FHWA Obligation</t>
        </is>
      </c>
      <c r="C24" t="inlineStr">
        <is>
          <t>Road Expansion</t>
        </is>
      </c>
      <c r="D24" s="5">
        <f>SUMIFS(Exploded_Detail_Relevant!$G$2:$G$491,Exploded_Detail_Relevant!$A$2:$A$491,$A24,Exploded_Detail_Relevant!$B$2:$B$491,$B24,Exploded_Detail_Relevant!$E$2:$E$491,$C24)</f>
        <v/>
      </c>
      <c r="E24">
        <f>COUNTIFS(Exploded_Detail_Relevant!$A$2:$A$491,$A24,Exploded_Detail_Relevant!$B$2:$B$491,$B24,Exploded_Detail_Relevant!$E$2:$E$491,$C24)</f>
        <v/>
      </c>
    </row>
    <row r="25">
      <c r="A25" t="inlineStr">
        <is>
          <t>FFY2025</t>
        </is>
      </c>
      <c r="B25" t="inlineStr">
        <is>
          <t>FHWA Obligation</t>
        </is>
      </c>
      <c r="C25" t="inlineStr">
        <is>
          <t>Road Maintenance</t>
        </is>
      </c>
      <c r="D25" s="5">
        <f>SUMIFS(Exploded_Detail_Relevant!$G$2:$G$491,Exploded_Detail_Relevant!$A$2:$A$491,$A25,Exploded_Detail_Relevant!$B$2:$B$491,$B25,Exploded_Detail_Relevant!$E$2:$E$491,$C25)</f>
        <v/>
      </c>
      <c r="E25">
        <f>COUNTIFS(Exploded_Detail_Relevant!$A$2:$A$491,$A25,Exploded_Detail_Relevant!$B$2:$B$491,$B25,Exploded_Detail_Relevant!$E$2:$E$491,$C25)</f>
        <v/>
      </c>
    </row>
    <row r="26">
      <c r="A26" t="inlineStr">
        <is>
          <t>FFY2025</t>
        </is>
      </c>
      <c r="B26" t="inlineStr">
        <is>
          <t>FHWA Obligation</t>
        </is>
      </c>
      <c r="C26" t="inlineStr">
        <is>
          <t>Road Modernization</t>
        </is>
      </c>
      <c r="D26" s="5">
        <f>SUMIFS(Exploded_Detail_Relevant!$G$2:$G$491,Exploded_Detail_Relevant!$A$2:$A$491,$A26,Exploded_Detail_Relevant!$B$2:$B$491,$B26,Exploded_Detail_Relevant!$E$2:$E$491,$C26)</f>
        <v/>
      </c>
      <c r="E26">
        <f>COUNTIFS(Exploded_Detail_Relevant!$A$2:$A$491,$A26,Exploded_Detail_Relevant!$B$2:$B$491,$B26,Exploded_Detail_Relevant!$E$2:$E$491,$C26)</f>
        <v/>
      </c>
    </row>
    <row r="27">
      <c r="A27" t="inlineStr">
        <is>
          <t>FFY2025</t>
        </is>
      </c>
      <c r="B27" t="inlineStr">
        <is>
          <t>FHWA Obligation</t>
        </is>
      </c>
      <c r="C27" t="inlineStr">
        <is>
          <t>Road Signals &amp; Signs</t>
        </is>
      </c>
      <c r="D27" s="5">
        <f>SUMIFS(Exploded_Detail_Relevant!$G$2:$G$491,Exploded_Detail_Relevant!$A$2:$A$491,$A27,Exploded_Detail_Relevant!$B$2:$B$491,$B27,Exploded_Detail_Relevant!$E$2:$E$491,$C27)</f>
        <v/>
      </c>
      <c r="E27">
        <f>COUNTIFS(Exploded_Detail_Relevant!$A$2:$A$491,$A27,Exploded_Detail_Relevant!$B$2:$B$491,$B27,Exploded_Detail_Relevant!$E$2:$E$491,$C27)</f>
        <v/>
      </c>
    </row>
    <row r="28">
      <c r="A28" t="inlineStr">
        <is>
          <t>FFY2025</t>
        </is>
      </c>
      <c r="B28" t="inlineStr">
        <is>
          <t>FHWA Obligation</t>
        </is>
      </c>
      <c r="C28" t="inlineStr">
        <is>
          <t>Safe Routes to Schools</t>
        </is>
      </c>
      <c r="D28" s="5">
        <f>SUMIFS(Exploded_Detail_Relevant!$G$2:$G$491,Exploded_Detail_Relevant!$A$2:$A$491,$A28,Exploded_Detail_Relevant!$B$2:$B$491,$B28,Exploded_Detail_Relevant!$E$2:$E$491,$C28)</f>
        <v/>
      </c>
      <c r="E28">
        <f>COUNTIFS(Exploded_Detail_Relevant!$A$2:$A$491,$A28,Exploded_Detail_Relevant!$B$2:$B$491,$B28,Exploded_Detail_Relevant!$E$2:$E$491,$C28)</f>
        <v/>
      </c>
    </row>
    <row r="29">
      <c r="A29" t="inlineStr">
        <is>
          <t>FFY2025</t>
        </is>
      </c>
      <c r="B29" t="inlineStr">
        <is>
          <t>FHWA Obligation</t>
        </is>
      </c>
      <c r="C29" t="inlineStr">
        <is>
          <t>Safety</t>
        </is>
      </c>
      <c r="D29" s="5">
        <f>SUMIFS(Exploded_Detail_Relevant!$G$2:$G$491,Exploded_Detail_Relevant!$A$2:$A$491,$A29,Exploded_Detail_Relevant!$B$2:$B$491,$B29,Exploded_Detail_Relevant!$E$2:$E$491,$C29)</f>
        <v/>
      </c>
      <c r="E29">
        <f>COUNTIFS(Exploded_Detail_Relevant!$A$2:$A$491,$A29,Exploded_Detail_Relevant!$B$2:$B$491,$B29,Exploded_Detail_Relevant!$E$2:$E$491,$C29)</f>
        <v/>
      </c>
    </row>
    <row r="30">
      <c r="A30" t="inlineStr">
        <is>
          <t>FFY2025</t>
        </is>
      </c>
      <c r="B30" t="inlineStr">
        <is>
          <t>FHWA Obligation</t>
        </is>
      </c>
      <c r="C30" t="inlineStr">
        <is>
          <t>Signal Systems</t>
        </is>
      </c>
      <c r="D30" s="5">
        <f>SUMIFS(Exploded_Detail_Relevant!$G$2:$G$491,Exploded_Detail_Relevant!$A$2:$A$491,$A30,Exploded_Detail_Relevant!$B$2:$B$491,$B30,Exploded_Detail_Relevant!$E$2:$E$491,$C30)</f>
        <v/>
      </c>
      <c r="E30">
        <f>COUNTIFS(Exploded_Detail_Relevant!$A$2:$A$491,$A30,Exploded_Detail_Relevant!$B$2:$B$491,$B30,Exploded_Detail_Relevant!$E$2:$E$491,$C30)</f>
        <v/>
      </c>
    </row>
    <row r="31">
      <c r="A31" t="inlineStr">
        <is>
          <t>FFY2025</t>
        </is>
      </c>
      <c r="B31" t="inlineStr">
        <is>
          <t>FHWA Obligation</t>
        </is>
      </c>
      <c r="C31" t="inlineStr">
        <is>
          <t>Systems Improvements</t>
        </is>
      </c>
      <c r="D31" s="5">
        <f>SUMIFS(Exploded_Detail_Relevant!$G$2:$G$491,Exploded_Detail_Relevant!$A$2:$A$491,$A31,Exploded_Detail_Relevant!$B$2:$B$491,$B31,Exploded_Detail_Relevant!$E$2:$E$491,$C31)</f>
        <v/>
      </c>
      <c r="E31">
        <f>COUNTIFS(Exploded_Detail_Relevant!$A$2:$A$491,$A31,Exploded_Detail_Relevant!$B$2:$B$491,$B31,Exploded_Detail_Relevant!$E$2:$E$491,$C31)</f>
        <v/>
      </c>
    </row>
    <row r="32">
      <c r="A32" t="inlineStr">
        <is>
          <t>FFY2025</t>
        </is>
      </c>
      <c r="B32" t="inlineStr">
        <is>
          <t>FHWA Obligation</t>
        </is>
      </c>
      <c r="C32" t="inlineStr">
        <is>
          <t>Transit Station/Stop Improvements</t>
        </is>
      </c>
      <c r="D32" s="5">
        <f>SUMIFS(Exploded_Detail_Relevant!$G$2:$G$491,Exploded_Detail_Relevant!$A$2:$A$491,$A32,Exploded_Detail_Relevant!$B$2:$B$491,$B32,Exploded_Detail_Relevant!$E$2:$E$491,$C32)</f>
        <v/>
      </c>
      <c r="E32">
        <f>COUNTIFS(Exploded_Detail_Relevant!$A$2:$A$491,$A32,Exploded_Detail_Relevant!$B$2:$B$491,$B32,Exploded_Detail_Relevant!$E$2:$E$491,$C32)</f>
        <v/>
      </c>
    </row>
    <row r="33">
      <c r="A33" t="inlineStr">
        <is>
          <t>FFY2025</t>
        </is>
      </c>
      <c r="B33" t="inlineStr">
        <is>
          <t>FHWA Obligation</t>
        </is>
      </c>
      <c r="C33" t="inlineStr">
        <is>
          <t>Transportation Enhancements</t>
        </is>
      </c>
      <c r="D33" s="5">
        <f>SUMIFS(Exploded_Detail_Relevant!$G$2:$G$491,Exploded_Detail_Relevant!$A$2:$A$491,$A33,Exploded_Detail_Relevant!$B$2:$B$491,$B33,Exploded_Detail_Relevant!$E$2:$E$491,$C33)</f>
        <v/>
      </c>
      <c r="E33">
        <f>COUNTIFS(Exploded_Detail_Relevant!$A$2:$A$491,$A33,Exploded_Detail_Relevant!$B$2:$B$491,$B33,Exploded_Detail_Relevant!$E$2:$E$491,$C33)</f>
        <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189"/>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55" customWidth="1" min="3" max="3"/>
    <col width="39" customWidth="1" min="4" max="4"/>
    <col width="55" customWidth="1" min="5" max="5"/>
    <col width="23" customWidth="1" min="6" max="6"/>
    <col width="18" customWidth="1" min="7" max="7"/>
    <col width="55" customWidth="1" min="8" max="8"/>
    <col width="17" customWidth="1" min="9" max="9"/>
    <col width="13" customWidth="1" min="10" max="10"/>
    <col width="22" customWidth="1" min="11" max="11"/>
    <col width="22" customWidth="1" min="12" max="12"/>
    <col width="28" customWidth="1" min="13" max="13"/>
    <col width="23" customWidth="1" min="14" max="14"/>
    <col width="26" customWidth="1" min="15" max="15"/>
    <col width="24" customWidth="1" min="16" max="16"/>
    <col width="13" customWidth="1" min="17" max="17"/>
    <col width="17" customWidth="1" min="18" max="18"/>
  </cols>
  <sheetData>
    <row r="1">
      <c r="A1" s="4" t="inlineStr">
        <is>
          <t>TIP ID</t>
        </is>
      </c>
      <c r="B1" s="4" t="inlineStr">
        <is>
          <t>Project Title</t>
        </is>
      </c>
      <c r="C1" s="4" t="inlineStr">
        <is>
          <t>Project Description</t>
        </is>
      </c>
      <c r="D1" s="4" t="inlineStr">
        <is>
          <t>Project Type</t>
        </is>
      </c>
      <c r="E1" s="4" t="inlineStr">
        <is>
          <t>Project Scope (Work Types)</t>
        </is>
      </c>
      <c r="F1" s="4" t="inlineStr">
        <is>
          <t>Programming Agency</t>
        </is>
      </c>
      <c r="G1" s="4" t="inlineStr">
        <is>
          <t>Location: County</t>
        </is>
      </c>
      <c r="H1" s="4" t="inlineStr">
        <is>
          <t>Location: Municipality</t>
        </is>
      </c>
      <c r="I1" s="4" t="inlineStr">
        <is>
          <t>Federal Project</t>
        </is>
      </c>
      <c r="J1" s="4" t="inlineStr">
        <is>
          <t>State Job</t>
        </is>
      </c>
      <c r="K1" s="4" t="inlineStr">
        <is>
          <t>Federal Program Code</t>
        </is>
      </c>
      <c r="L1" s="4" t="inlineStr">
        <is>
          <t>Obligated Amount ($)</t>
        </is>
      </c>
      <c r="M1" s="4" t="inlineStr">
        <is>
          <t>Includes Bike/Ped Elements</t>
        </is>
      </c>
      <c r="N1" s="4" t="inlineStr">
        <is>
          <t>Includes ADA Elements</t>
        </is>
      </c>
      <c r="O1" s="4" t="inlineStr">
        <is>
          <t>Includes Safety Elements</t>
        </is>
      </c>
      <c r="P1" s="4" t="inlineStr">
        <is>
          <t>Street Design Relevant</t>
        </is>
      </c>
      <c r="Q1" s="4" t="inlineStr">
        <is>
          <t>Fiscal Year</t>
        </is>
      </c>
      <c r="R1" s="4" t="inlineStr">
        <is>
          <t>Table</t>
        </is>
      </c>
    </row>
    <row r="2">
      <c r="A2" t="inlineStr">
        <is>
          <t>01-03-0002</t>
        </is>
      </c>
      <c r="B2" t="inlineStr">
        <is>
          <t>Stony Island Ave Interconnect</t>
        </is>
      </c>
      <c r="C2" t="inlineStr">
        <is>
          <t>Signal Interconnect project, Stony Island Ave from 69th St to 95th St. Includes the intersections at Cornell Dr &amp; 57th Dr.</t>
        </is>
      </c>
      <c r="D2" t="inlineStr">
        <is>
          <t>Signal Systems</t>
        </is>
      </c>
      <c r="E2" t="inlineStr">
        <is>
          <t>[S-TIM] Signals - Interconnects And Timing</t>
        </is>
      </c>
      <c r="F2" t="inlineStr">
        <is>
          <t>CDOT</t>
        </is>
      </c>
      <c r="G2" t="inlineStr">
        <is>
          <t>Cook</t>
        </is>
      </c>
      <c r="H2" t="inlineStr">
        <is>
          <t>Chicago</t>
        </is>
      </c>
      <c r="I2" t="inlineStr">
        <is>
          <t>CKIJ135</t>
        </is>
      </c>
      <c r="J2" t="inlineStr">
        <is>
          <t>C-88-062-06</t>
        </is>
      </c>
      <c r="K2" t="inlineStr">
        <is>
          <t>Y400</t>
        </is>
      </c>
      <c r="L2" s="5" t="n">
        <v>4032000</v>
      </c>
      <c r="M2" t="inlineStr">
        <is>
          <t>No</t>
        </is>
      </c>
      <c r="N2" t="inlineStr">
        <is>
          <t>No</t>
        </is>
      </c>
      <c r="O2" t="inlineStr">
        <is>
          <t>No</t>
        </is>
      </c>
      <c r="P2" t="b">
        <v>1</v>
      </c>
      <c r="Q2" t="inlineStr">
        <is>
          <t>FFY2025</t>
        </is>
      </c>
      <c r="R2" t="inlineStr">
        <is>
          <t>FHWA Obligation</t>
        </is>
      </c>
    </row>
    <row r="3">
      <c r="A3" t="inlineStr">
        <is>
          <t>01-05-0011</t>
        </is>
      </c>
      <c r="B3" t="inlineStr">
        <is>
          <t>CREATE Western Avenue Corridor from Kedzie Interlocking to Thornton Junction</t>
        </is>
      </c>
      <c r="C3" t="inlineStr">
        <is>
          <t>CREATE WA1-WA5, WA7, WA10,WA11</t>
        </is>
      </c>
      <c r="D3" t="inlineStr">
        <is>
          <t>Freight Movement</t>
        </is>
      </c>
      <c r="E3" t="inlineStr">
        <is>
          <t>[A-LTS] Safety - Lighting, [E-ADAIMP] Improve ADA Infrastructure (Roadway), [H-RS] Highway/Road - Resurface (with No Lane Widening), [H- STWTR] Highway/Road - Stormwater Infrastucture, [R-IMP] Rail Line - Improve Line, [S-MOD] Signals - Modernization, [U-SIGS] CPS - Signals, [Z- OTHEX] Miscellaneous - Exempt Projects</t>
        </is>
      </c>
      <c r="F3" t="inlineStr">
        <is>
          <t>IDOT OIPI</t>
        </is>
      </c>
      <c r="G3" t="inlineStr">
        <is>
          <t>Cook</t>
        </is>
      </c>
      <c r="H3" t="inlineStr">
        <is>
          <t>Chicago</t>
        </is>
      </c>
      <c r="I3" t="inlineStr">
        <is>
          <t>0020063</t>
        </is>
      </c>
      <c r="J3" t="inlineStr">
        <is>
          <t>D-20-054-12</t>
        </is>
      </c>
      <c r="K3" t="inlineStr">
        <is>
          <t>LY40</t>
        </is>
      </c>
      <c r="L3" s="5" t="n">
        <v>958001</v>
      </c>
      <c r="M3" t="inlineStr">
        <is>
          <t>Yes</t>
        </is>
      </c>
      <c r="N3" t="inlineStr">
        <is>
          <t>Yes</t>
        </is>
      </c>
      <c r="O3" t="inlineStr">
        <is>
          <t>Yes</t>
        </is>
      </c>
      <c r="P3" t="b">
        <v>1</v>
      </c>
      <c r="Q3" t="inlineStr">
        <is>
          <t>FFY2025</t>
        </is>
      </c>
      <c r="R3" t="inlineStr">
        <is>
          <t>FHWA Obligation</t>
        </is>
      </c>
    </row>
    <row r="4">
      <c r="A4" t="inlineStr">
        <is>
          <t>01-05-0011</t>
        </is>
      </c>
      <c r="B4" t="inlineStr">
        <is>
          <t>CREATE Western Avenue Corridor from Kedzie Interlocking to Thornton Junction</t>
        </is>
      </c>
      <c r="C4" t="inlineStr">
        <is>
          <t>CREATE WA1-WA5, WA7, WA10,WA11</t>
        </is>
      </c>
      <c r="D4" t="inlineStr">
        <is>
          <t>Freight Movement</t>
        </is>
      </c>
      <c r="E4" t="inlineStr">
        <is>
          <t>[A-LTS] Safety - Lighting, [E-ADAIMP] Improve ADA Infrastructure (Roadway), [H-RS] Highway/Road - Resurface (with No Lane Widening), [H- STWTR] Highway/Road - Stormwater Infrastucture, [R-IMP] Rail Line - Improve Line, [S-MOD] Signals - Modernization, [U-SIGS] CPS - Signals, [Z- OTHEX] Miscellaneous - Exempt Projects</t>
        </is>
      </c>
      <c r="F4" t="inlineStr">
        <is>
          <t>IDOT OIPI</t>
        </is>
      </c>
      <c r="G4" t="inlineStr">
        <is>
          <t>Cook</t>
        </is>
      </c>
      <c r="H4" t="inlineStr">
        <is>
          <t>Chicago</t>
        </is>
      </c>
      <c r="I4" t="inlineStr">
        <is>
          <t>2UBT352</t>
        </is>
      </c>
      <c r="J4" t="inlineStr">
        <is>
          <t>C-20-004-25</t>
        </is>
      </c>
      <c r="K4" t="inlineStr">
        <is>
          <t>Y430</t>
        </is>
      </c>
      <c r="L4" s="5" t="n">
        <v>70000000</v>
      </c>
      <c r="M4" t="inlineStr">
        <is>
          <t>Yes</t>
        </is>
      </c>
      <c r="N4" t="inlineStr">
        <is>
          <t>Yes</t>
        </is>
      </c>
      <c r="O4" t="inlineStr">
        <is>
          <t>Yes</t>
        </is>
      </c>
      <c r="P4" t="b">
        <v>1</v>
      </c>
      <c r="Q4" t="inlineStr">
        <is>
          <t>FFY2025</t>
        </is>
      </c>
      <c r="R4" t="inlineStr">
        <is>
          <t>FHWA Obligation</t>
        </is>
      </c>
    </row>
    <row r="5">
      <c r="A5" t="inlineStr">
        <is>
          <t>01-06-0055</t>
        </is>
      </c>
      <c r="B5" t="inlineStr">
        <is>
          <t>Columbus Av at BRC RR (GS-11)</t>
        </is>
      </c>
      <c r="C5" t="inlineStr">
        <is>
          <t>CREATE GS-11</t>
        </is>
      </c>
      <c r="D5" t="inlineStr">
        <is>
          <t>Rail-Highway Grade Separation</t>
        </is>
      </c>
      <c r="E5" t="inlineStr">
        <is>
          <t>[H-RRGS] Highway/Road - Railroad Grade Separation</t>
        </is>
      </c>
      <c r="F5" t="inlineStr">
        <is>
          <t>CDOT</t>
        </is>
      </c>
      <c r="G5" t="inlineStr">
        <is>
          <t>Cook</t>
        </is>
      </c>
      <c r="H5" t="inlineStr">
        <is>
          <t>Chicago</t>
        </is>
      </c>
      <c r="I5" t="inlineStr">
        <is>
          <t>1TM1578</t>
        </is>
      </c>
      <c r="J5" t="inlineStr">
        <is>
          <t>D-88-001-20</t>
        </is>
      </c>
      <c r="K5" t="inlineStr">
        <is>
          <t>Y460</t>
        </is>
      </c>
      <c r="L5" s="5" t="n">
        <v>10189</v>
      </c>
      <c r="M5" t="inlineStr">
        <is>
          <t>No</t>
        </is>
      </c>
      <c r="N5" t="inlineStr">
        <is>
          <t>No</t>
        </is>
      </c>
      <c r="O5" t="inlineStr">
        <is>
          <t>No</t>
        </is>
      </c>
      <c r="P5" t="b">
        <v>1</v>
      </c>
      <c r="Q5" t="inlineStr">
        <is>
          <t>FFY2025</t>
        </is>
      </c>
      <c r="R5" t="inlineStr">
        <is>
          <t>FHWA Obligation</t>
        </is>
      </c>
    </row>
    <row r="6">
      <c r="A6" t="inlineStr">
        <is>
          <t>01-06-0055</t>
        </is>
      </c>
      <c r="B6" t="inlineStr">
        <is>
          <t>Columbus Av at BRC RR (GS-11)</t>
        </is>
      </c>
      <c r="C6" t="inlineStr">
        <is>
          <t>CREATE GS-11</t>
        </is>
      </c>
      <c r="D6" t="inlineStr">
        <is>
          <t>Rail-Highway Grade Separation</t>
        </is>
      </c>
      <c r="E6" t="inlineStr">
        <is>
          <t>[H-RRGS] Highway/Road - Railroad Grade Separation</t>
        </is>
      </c>
      <c r="F6" t="inlineStr">
        <is>
          <t>CDOT</t>
        </is>
      </c>
      <c r="G6" t="inlineStr">
        <is>
          <t>Cook</t>
        </is>
      </c>
      <c r="H6" t="inlineStr">
        <is>
          <t>Chicago</t>
        </is>
      </c>
      <c r="I6" t="inlineStr">
        <is>
          <t>J86L198</t>
        </is>
      </c>
      <c r="J6" t="inlineStr">
        <is>
          <t>C-88-001-22</t>
        </is>
      </c>
      <c r="K6" t="inlineStr">
        <is>
          <t>Y460</t>
        </is>
      </c>
      <c r="L6" s="5" t="n">
        <v>43400000</v>
      </c>
      <c r="M6" t="inlineStr">
        <is>
          <t>No</t>
        </is>
      </c>
      <c r="N6" t="inlineStr">
        <is>
          <t>No</t>
        </is>
      </c>
      <c r="O6" t="inlineStr">
        <is>
          <t>No</t>
        </is>
      </c>
      <c r="P6" t="b">
        <v>1</v>
      </c>
      <c r="Q6" t="inlineStr">
        <is>
          <t>FFY2025</t>
        </is>
      </c>
      <c r="R6" t="inlineStr">
        <is>
          <t>FHWA Obligation</t>
        </is>
      </c>
    </row>
    <row r="7">
      <c r="A7" t="inlineStr">
        <is>
          <t>01-09-0031</t>
        </is>
      </c>
      <c r="B7" t="inlineStr">
        <is>
          <t>I-94 I-90 Kennedy Expy from I-94 Edens Expy to Hubbard St</t>
        </is>
      </c>
      <c r="C7" t="inlineStr">
        <is>
          <t>Bridge Deck Overlay of thirty-eight structures, Bridge Joint Repair, Patching, Sign Maintenance, RR Flagger</t>
        </is>
      </c>
      <c r="D7" t="inlineStr">
        <is>
          <t>Bridge Repair, Rehab, or Replace</t>
        </is>
      </c>
      <c r="E7" t="inlineStr">
        <is>
          <t>[A-OTH] Safety - Other, [B-REPAIR] Bridge/Structure - Reconst/Rehab No Chng in #, Wdth, or Lane, [H-PATCH] Highway/Road - Pavement Patching, [Z-OTHEX] Miscellaneous - Exempt Projects</t>
        </is>
      </c>
      <c r="F7" t="inlineStr">
        <is>
          <t>IDOT D1 Hwys</t>
        </is>
      </c>
      <c r="G7" t="inlineStr">
        <is>
          <t>Cook</t>
        </is>
      </c>
      <c r="H7" t="inlineStr">
        <is>
          <t>Chicago</t>
        </is>
      </c>
      <c r="I7" t="inlineStr">
        <is>
          <t>WKBE580</t>
        </is>
      </c>
      <c r="J7" t="inlineStr">
        <is>
          <t>C-91-194-20</t>
        </is>
      </c>
      <c r="K7" t="inlineStr">
        <is>
          <t>Y001</t>
        </is>
      </c>
      <c r="L7" s="5" t="n">
        <v>15765919</v>
      </c>
      <c r="M7" t="inlineStr">
        <is>
          <t>No</t>
        </is>
      </c>
      <c r="N7" t="inlineStr">
        <is>
          <t>No</t>
        </is>
      </c>
      <c r="O7" t="inlineStr">
        <is>
          <t>Yes</t>
        </is>
      </c>
      <c r="P7" t="b">
        <v>1</v>
      </c>
      <c r="Q7" t="inlineStr">
        <is>
          <t>FFY2025</t>
        </is>
      </c>
      <c r="R7" t="inlineStr">
        <is>
          <t>FHWA Obligation</t>
        </is>
      </c>
    </row>
    <row r="8">
      <c r="A8" t="inlineStr">
        <is>
          <t>01-12-0012</t>
        </is>
      </c>
      <c r="B8" t="inlineStr">
        <is>
          <t>Canal Street from Madison Street to Taylor Street (Canal St Viaducts)</t>
        </is>
      </c>
      <c r="C8" t="inlineStr">
        <is>
          <t>Reconstruction of the Canal Street viaducts over Union Station and railroad tracks.</t>
        </is>
      </c>
      <c r="D8" t="inlineStr">
        <is>
          <t>Bridge Repair, Rehab, or Replace</t>
        </is>
      </c>
      <c r="E8" t="inlineStr">
        <is>
          <t>[A-LTS] Safety - Lighting, [A-PMRK] Safety - Pavement Marking, [B-REPAIR] Bridge/Structure - Reconst/Rehab No Chng in #, Wdth, or Lane, [B- REPLACE] Bridge/Structure - Replace, [E-ADAIMP] Improve ADA Infrastructure (Roadway), [E-ADAMAINT] Maintain/Repair ADA Infrastructure (Roadway), [E-BIKEMAINT] Maintain Bicycle Facility, [H- ALIGN] Highway/Road - Vertical/Horizontal Alignment (e.g. Clearance), [H- RS] Highway/Road - Resurface (with No Lane Widening), [H-UTIL] Highway/Road - Utility Relocation, [S-MOD] Signals - Modernization, [S- TIM] Signals - Interconnects And Timing</t>
        </is>
      </c>
      <c r="F8" t="inlineStr">
        <is>
          <t>CDOT</t>
        </is>
      </c>
      <c r="G8" t="inlineStr">
        <is>
          <t>Cook</t>
        </is>
      </c>
      <c r="H8" t="inlineStr">
        <is>
          <t>Chicago</t>
        </is>
      </c>
      <c r="I8" t="inlineStr">
        <is>
          <t>K6CZ725</t>
        </is>
      </c>
      <c r="J8" t="inlineStr">
        <is>
          <t>C-88-002-19</t>
        </is>
      </c>
      <c r="K8" t="inlineStr">
        <is>
          <t>Y230</t>
        </is>
      </c>
      <c r="L8" s="5" t="n">
        <v>9480000</v>
      </c>
      <c r="M8" t="inlineStr">
        <is>
          <t>Yes</t>
        </is>
      </c>
      <c r="N8" t="inlineStr">
        <is>
          <t>Yes</t>
        </is>
      </c>
      <c r="O8" t="inlineStr">
        <is>
          <t>Yes</t>
        </is>
      </c>
      <c r="P8" t="b">
        <v>1</v>
      </c>
      <c r="Q8" t="inlineStr">
        <is>
          <t>FFY2025</t>
        </is>
      </c>
      <c r="R8" t="inlineStr">
        <is>
          <t>FHWA Obligation</t>
        </is>
      </c>
    </row>
    <row r="9">
      <c r="A9" t="inlineStr">
        <is>
          <t>01-13-0012</t>
        </is>
      </c>
      <c r="B9" t="inlineStr">
        <is>
          <t>US 12 US 20 at Stony Island Ave - RSP 112</t>
        </is>
      </c>
      <c r="C9" t="inlineStr">
        <is>
          <t>LOWER ROADWAY; PUMP STATION; RAILROAD RELOCATION</t>
        </is>
      </c>
      <c r="D9" t="inlineStr">
        <is>
          <t>Intersection/Interchange Improvements</t>
        </is>
      </c>
      <c r="E9" t="inlineStr">
        <is>
          <t>[A-LTS] Safety - Lighting, [B-REPLACE] Bridge/Structure - Replace, [H- INTRC] Highway/Road - Intersection Reconstruction, [Z-OTHEX] Miscellaneous - Exempt Projects</t>
        </is>
      </c>
      <c r="F9" t="inlineStr">
        <is>
          <t>IDOT D1 Hwys</t>
        </is>
      </c>
      <c r="G9" t="inlineStr">
        <is>
          <t>Cook</t>
        </is>
      </c>
      <c r="H9" t="inlineStr">
        <is>
          <t>Chicago</t>
        </is>
      </c>
      <c r="I9" t="inlineStr">
        <is>
          <t>8U4X907</t>
        </is>
      </c>
      <c r="J9" t="inlineStr">
        <is>
          <t>D-91-364-20</t>
        </is>
      </c>
      <c r="K9" t="inlineStr">
        <is>
          <t>Y001</t>
        </is>
      </c>
      <c r="L9" s="5" t="n">
        <v>2227441</v>
      </c>
      <c r="M9" t="inlineStr">
        <is>
          <t>No</t>
        </is>
      </c>
      <c r="N9" t="inlineStr">
        <is>
          <t>No</t>
        </is>
      </c>
      <c r="O9" t="inlineStr">
        <is>
          <t>Yes</t>
        </is>
      </c>
      <c r="P9" t="b">
        <v>1</v>
      </c>
      <c r="Q9" t="inlineStr">
        <is>
          <t>FFY2025</t>
        </is>
      </c>
      <c r="R9" t="inlineStr">
        <is>
          <t>FHWA Obligation</t>
        </is>
      </c>
    </row>
    <row r="10">
      <c r="A10" t="inlineStr">
        <is>
          <t>01-16-0023</t>
        </is>
      </c>
      <c r="B10" t="inlineStr">
        <is>
          <t>US 41(Skokie Hwy.)/I-94 (Edens Expy.), IL 173 to I-90 (Kennedy Expy.)/I-94 (Edens Expy.)</t>
        </is>
      </c>
      <c r="C10" t="inlineStr">
        <is>
          <t>Fiber Optic Network (-7000), Surveillance &amp; Changeable Message Signs (- 1000, -3000, -5000), Signing New (-3000), Lighting (-1001, -4100, -4200, - 6000), ITS</t>
        </is>
      </c>
      <c r="D10" t="inlineStr">
        <is>
          <t>Intelligent Transportation Systems</t>
        </is>
      </c>
      <c r="E10" t="inlineStr">
        <is>
          <t>[A-LTS] Safety - Lighting, [H-INFO] Highway/Road - Directional/Informational Signs, [Z-OTHEX] Miscellaneous - Exempt Projects</t>
        </is>
      </c>
      <c r="F10" t="inlineStr">
        <is>
          <t>IDOT D1 Hwys</t>
        </is>
      </c>
      <c r="G10" t="inlineStr">
        <is>
          <t>Cook, Lake</t>
        </is>
      </c>
      <c r="H10" t="inlineStr">
        <is>
          <t>Chicago, Gurnee, Highland Park, Lake Bluff, Lake Forest, Lincolnwood, Morton Grove, North Chicago, Northbrook, Northfield, Park City, Skokie, Wadsworth, Waukegan, Wilmette</t>
        </is>
      </c>
      <c r="I10" t="inlineStr">
        <is>
          <t>B3QI749</t>
        </is>
      </c>
      <c r="J10" t="inlineStr">
        <is>
          <t>C-91-041-21</t>
        </is>
      </c>
      <c r="K10" t="inlineStr">
        <is>
          <t>YS30</t>
        </is>
      </c>
      <c r="L10" s="5" t="n">
        <v>145648</v>
      </c>
      <c r="M10" t="inlineStr">
        <is>
          <t>No</t>
        </is>
      </c>
      <c r="N10" t="inlineStr">
        <is>
          <t>No</t>
        </is>
      </c>
      <c r="O10" t="inlineStr">
        <is>
          <t>Yes</t>
        </is>
      </c>
      <c r="P10" t="b">
        <v>1</v>
      </c>
      <c r="Q10" t="inlineStr">
        <is>
          <t>FFY2025</t>
        </is>
      </c>
      <c r="R10" t="inlineStr">
        <is>
          <t>FHWA Obligation</t>
        </is>
      </c>
    </row>
    <row r="11">
      <c r="A11" t="inlineStr">
        <is>
          <t>01-16-0023</t>
        </is>
      </c>
      <c r="B11" t="inlineStr">
        <is>
          <t>US 41(Skokie Hwy.)/I-94 (Edens Expy.), IL 173 to I-90 (Kennedy Expy.)/I-94 (Edens Expy.)</t>
        </is>
      </c>
      <c r="C11" t="inlineStr">
        <is>
          <t>Fiber Optic Network (-7000), Surveillance &amp; Changeable Message Signs (- 1000, -3000, -5000), Signing New (-3000), Lighting (-1001, -4100, -4200, - 6000), ITS</t>
        </is>
      </c>
      <c r="D11" t="inlineStr">
        <is>
          <t>Intelligent Transportation Systems</t>
        </is>
      </c>
      <c r="E11" t="inlineStr">
        <is>
          <t>[A-LTS] Safety - Lighting, [H-INFO] Highway/Road - Directional/Informational Signs, [Z-OTHEX] Miscellaneous - Exempt Projects</t>
        </is>
      </c>
      <c r="F11" t="inlineStr">
        <is>
          <t>IDOT D1 Hwys</t>
        </is>
      </c>
      <c r="G11" t="inlineStr">
        <is>
          <t>Cook, Lake</t>
        </is>
      </c>
      <c r="H11" t="inlineStr">
        <is>
          <t>Chicago, Gurnee, Highland Park, Lake Bluff, Lake Forest, Lincolnwood, Morton Grove, North Chicago, Northbrook, Northfield, Park City, Skokie, Wadsworth, Waukegan, Wilmette</t>
        </is>
      </c>
      <c r="I11" t="inlineStr">
        <is>
          <t>FZAB086</t>
        </is>
      </c>
      <c r="J11" t="inlineStr">
        <is>
          <t>C-91-105-17</t>
        </is>
      </c>
      <c r="K11" t="inlineStr">
        <is>
          <t>YS30</t>
        </is>
      </c>
      <c r="L11" s="5" t="n">
        <v>1956539</v>
      </c>
      <c r="M11" t="inlineStr">
        <is>
          <t>No</t>
        </is>
      </c>
      <c r="N11" t="inlineStr">
        <is>
          <t>No</t>
        </is>
      </c>
      <c r="O11" t="inlineStr">
        <is>
          <t>Yes</t>
        </is>
      </c>
      <c r="P11" t="b">
        <v>1</v>
      </c>
      <c r="Q11" t="inlineStr">
        <is>
          <t>FFY2025</t>
        </is>
      </c>
      <c r="R11" t="inlineStr">
        <is>
          <t>FHWA Obligation</t>
        </is>
      </c>
    </row>
    <row r="12">
      <c r="A12" t="inlineStr">
        <is>
          <t>01-18-0007</t>
        </is>
      </c>
      <c r="B12" t="inlineStr">
        <is>
          <t>Congress Pkwy - At Old Post Office</t>
        </is>
      </c>
      <c r="C12" t="inlineStr">
        <is>
          <t>Bridge Superstructure, Bridge New Deck</t>
        </is>
      </c>
      <c r="D12" t="inlineStr">
        <is>
          <t>Bridge Repair, Rehab, or Replace</t>
        </is>
      </c>
      <c r="E12" t="inlineStr">
        <is>
          <t>[B-SUP] Bridge Superstructure - Repair/Rehab, [Z-OTHEX] Miscellaneous - Exempt Projects</t>
        </is>
      </c>
      <c r="F12" t="inlineStr">
        <is>
          <t>IDOT D1 Hwys</t>
        </is>
      </c>
      <c r="G12" t="inlineStr">
        <is>
          <t>Cook</t>
        </is>
      </c>
      <c r="H12" t="inlineStr">
        <is>
          <t>Chicago</t>
        </is>
      </c>
      <c r="I12" t="inlineStr">
        <is>
          <t>VWWD010</t>
        </is>
      </c>
      <c r="J12" t="inlineStr">
        <is>
          <t>P-91-037-18</t>
        </is>
      </c>
      <c r="K12" t="inlineStr">
        <is>
          <t>Z001</t>
        </is>
      </c>
      <c r="L12" s="5" t="n">
        <v>13140</v>
      </c>
      <c r="M12" t="inlineStr">
        <is>
          <t>No</t>
        </is>
      </c>
      <c r="N12" t="inlineStr">
        <is>
          <t>No</t>
        </is>
      </c>
      <c r="O12" t="inlineStr">
        <is>
          <t>No</t>
        </is>
      </c>
      <c r="P12" t="b">
        <v>1</v>
      </c>
      <c r="Q12" t="inlineStr">
        <is>
          <t>FFY2025</t>
        </is>
      </c>
      <c r="R12" t="inlineStr">
        <is>
          <t>FHWA Obligation</t>
        </is>
      </c>
    </row>
    <row r="13">
      <c r="A13" t="inlineStr">
        <is>
          <t>01-18-0022</t>
        </is>
      </c>
      <c r="B13" t="inlineStr">
        <is>
          <t>I-94 Bishop Ford Expwy - W of Martin Luther King Dr to US 6 (159th St)</t>
        </is>
      </c>
      <c r="C13" t="inlineStr">
        <is>
          <t>Bridge Deck Overlay, Bridge Joint Replace/Repair, RR Flagger, Resurfacing (Int-2nd), Drainage, Culvert Repair, Bridge Superstructure Rehab, Patching, Lighting</t>
        </is>
      </c>
      <c r="D13" t="inlineStr">
        <is>
          <t>Bridge Routine Maintenance</t>
        </is>
      </c>
      <c r="E13" t="inlineStr">
        <is>
          <t>[A-LTS] Safety - Lighting, [A-OTH] Safety - Other, [B-DECK] Bridge Deck - Repair/Rehab, [B-OVR] Bridge Deck - Overlay, [B-SUP] Bridge Superstructure - Repair/Rehab, [H-CLVT] Highway/Road - Repair/Replace Culvert, [H-PATCH] Highway/Road - Pavement Patching, [H-RS] Highway/Road - Resurface (with No Lane Widening), [Z-OTHEX] Miscellaneous - Exempt Projects</t>
        </is>
      </c>
      <c r="F13" t="inlineStr">
        <is>
          <t>IDOT D1 Hwys</t>
        </is>
      </c>
      <c r="G13" t="inlineStr">
        <is>
          <t>Cook</t>
        </is>
      </c>
      <c r="H13" t="inlineStr">
        <is>
          <t>Calumet City, Chicago, Dolton, South Holland</t>
        </is>
      </c>
      <c r="I13" t="inlineStr">
        <is>
          <t>2B1H072</t>
        </is>
      </c>
      <c r="J13" t="inlineStr">
        <is>
          <t>C-91-249-24</t>
        </is>
      </c>
      <c r="K13" t="inlineStr">
        <is>
          <t>Y001</t>
        </is>
      </c>
      <c r="L13" s="5" t="n">
        <v>28262658</v>
      </c>
      <c r="M13" t="inlineStr">
        <is>
          <t>No</t>
        </is>
      </c>
      <c r="N13" t="inlineStr">
        <is>
          <t>No</t>
        </is>
      </c>
      <c r="O13" t="inlineStr">
        <is>
          <t>Yes</t>
        </is>
      </c>
      <c r="P13" t="b">
        <v>1</v>
      </c>
      <c r="Q13" t="inlineStr">
        <is>
          <t>FFY2025</t>
        </is>
      </c>
      <c r="R13" t="inlineStr">
        <is>
          <t>FHWA Obligation</t>
        </is>
      </c>
    </row>
    <row r="14">
      <c r="A14" t="inlineStr">
        <is>
          <t>01-18-0022</t>
        </is>
      </c>
      <c r="B14" t="inlineStr">
        <is>
          <t>I-94 Bishop Ford Expwy - W of Martin Luther King Dr to US 6 (159th St)</t>
        </is>
      </c>
      <c r="C14" t="inlineStr">
        <is>
          <t>Bridge Deck Overlay, Bridge Joint Replace/Repair, RR Flagger, Resurfacing (Int-2nd), Drainage, Culvert Repair, Bridge Superstructure Rehab, Patching, Lighting</t>
        </is>
      </c>
      <c r="D14" t="inlineStr">
        <is>
          <t>Bridge Routine Maintenance</t>
        </is>
      </c>
      <c r="E14" t="inlineStr">
        <is>
          <t>[A-LTS] Safety - Lighting, [A-OTH] Safety - Other, [B-DECK] Bridge Deck - Repair/Rehab, [B-OVR] Bridge Deck - Overlay, [B-SUP] Bridge Superstructure - Repair/Rehab, [H-CLVT] Highway/Road - Repair/Replace Culvert, [H-PATCH] Highway/Road - Pavement Patching, [H-RS] Highway/Road - Resurface (with No Lane Widening), [Z-OTHEX] Miscellaneous - Exempt Projects</t>
        </is>
      </c>
      <c r="F14" t="inlineStr">
        <is>
          <t>IDOT D1 Hwys</t>
        </is>
      </c>
      <c r="G14" t="inlineStr">
        <is>
          <t>Cook</t>
        </is>
      </c>
      <c r="H14" t="inlineStr">
        <is>
          <t>Calumet City, Chicago, Dolton, South Holland</t>
        </is>
      </c>
      <c r="I14" t="inlineStr">
        <is>
          <t>B6PK600</t>
        </is>
      </c>
      <c r="J14" t="inlineStr">
        <is>
          <t>P-91-050-18</t>
        </is>
      </c>
      <c r="K14" t="inlineStr">
        <is>
          <t>Z001</t>
        </is>
      </c>
      <c r="L14" s="5" t="n">
        <v>28800</v>
      </c>
      <c r="M14" t="inlineStr">
        <is>
          <t>No</t>
        </is>
      </c>
      <c r="N14" t="inlineStr">
        <is>
          <t>No</t>
        </is>
      </c>
      <c r="O14" t="inlineStr">
        <is>
          <t>Yes</t>
        </is>
      </c>
      <c r="P14" t="b">
        <v>1</v>
      </c>
      <c r="Q14" t="inlineStr">
        <is>
          <t>FFY2025</t>
        </is>
      </c>
      <c r="R14" t="inlineStr">
        <is>
          <t>FHWA Obligation</t>
        </is>
      </c>
    </row>
    <row r="15">
      <c r="A15" t="inlineStr">
        <is>
          <t>01-18-0022</t>
        </is>
      </c>
      <c r="B15" t="inlineStr">
        <is>
          <t>I-94 Bishop Ford Expwy - W of Martin Luther King Dr to US 6 (159th St)</t>
        </is>
      </c>
      <c r="C15" t="inlineStr">
        <is>
          <t>Bridge Deck Overlay, Bridge Joint Replace/Repair, RR Flagger, Resurfacing (Int-2nd), Drainage, Culvert Repair, Bridge Superstructure Rehab, Patching, Lighting</t>
        </is>
      </c>
      <c r="D15" t="inlineStr">
        <is>
          <t>Bridge Routine Maintenance</t>
        </is>
      </c>
      <c r="E15" t="inlineStr">
        <is>
          <t>[A-LTS] Safety - Lighting, [A-OTH] Safety - Other, [B-DECK] Bridge Deck - Repair/Rehab, [B-OVR] Bridge Deck - Overlay, [B-SUP] Bridge Superstructure - Repair/Rehab, [H-CLVT] Highway/Road - Repair/Replace Culvert, [H-PATCH] Highway/Road - Pavement Patching, [H-RS] Highway/Road - Resurface (with No Lane Widening), [Z-OTHEX] Miscellaneous - Exempt Projects</t>
        </is>
      </c>
      <c r="F15" t="inlineStr">
        <is>
          <t>IDOT D1 Hwys</t>
        </is>
      </c>
      <c r="G15" t="inlineStr">
        <is>
          <t>Cook</t>
        </is>
      </c>
      <c r="H15" t="inlineStr">
        <is>
          <t>Calumet City, Chicago, Dolton, South Holland</t>
        </is>
      </c>
      <c r="I15" t="inlineStr">
        <is>
          <t>B6PK600</t>
        </is>
      </c>
      <c r="J15" t="inlineStr">
        <is>
          <t>P-91-050-18</t>
        </is>
      </c>
      <c r="K15" t="inlineStr">
        <is>
          <t>Z0E1</t>
        </is>
      </c>
      <c r="L15" s="5" t="n">
        <v>34466</v>
      </c>
      <c r="M15" t="inlineStr">
        <is>
          <t>No</t>
        </is>
      </c>
      <c r="N15" t="inlineStr">
        <is>
          <t>No</t>
        </is>
      </c>
      <c r="O15" t="inlineStr">
        <is>
          <t>Yes</t>
        </is>
      </c>
      <c r="P15" t="b">
        <v>1</v>
      </c>
      <c r="Q15" t="inlineStr">
        <is>
          <t>FFY2025</t>
        </is>
      </c>
      <c r="R15" t="inlineStr">
        <is>
          <t>FHWA Obligation</t>
        </is>
      </c>
    </row>
    <row r="16">
      <c r="A16" t="inlineStr">
        <is>
          <t>01-18-0022</t>
        </is>
      </c>
      <c r="B16" t="inlineStr">
        <is>
          <t>I-94 Bishop Ford Expwy - W of Martin Luther King Dr to US 6 (159th St)</t>
        </is>
      </c>
      <c r="C16" t="inlineStr">
        <is>
          <t>Bridge Deck Overlay, Bridge Joint Replace/Repair, RR Flagger, Resurfacing (Int-2nd), Drainage, Culvert Repair, Bridge Superstructure Rehab, Patching, Lighting</t>
        </is>
      </c>
      <c r="D16" t="inlineStr">
        <is>
          <t>Bridge Routine Maintenance</t>
        </is>
      </c>
      <c r="E16" t="inlineStr">
        <is>
          <t>[A-LTS] Safety - Lighting, [A-OTH] Safety - Other, [B-DECK] Bridge Deck - Repair/Rehab, [B-OVR] Bridge Deck - Overlay, [B-SUP] Bridge Superstructure - Repair/Rehab, [H-CLVT] Highway/Road - Repair/Replace Culvert, [H-PATCH] Highway/Road - Pavement Patching, [H-RS] Highway/Road - Resurface (with No Lane Widening), [Z-OTHEX] Miscellaneous - Exempt Projects</t>
        </is>
      </c>
      <c r="F16" t="inlineStr">
        <is>
          <t>IDOT D1 Hwys</t>
        </is>
      </c>
      <c r="G16" t="inlineStr">
        <is>
          <t>Cook</t>
        </is>
      </c>
      <c r="H16" t="inlineStr">
        <is>
          <t>Calumet City, Chicago, Dolton, South Holland</t>
        </is>
      </c>
      <c r="I16" t="inlineStr">
        <is>
          <t>B6PK600</t>
        </is>
      </c>
      <c r="J16" t="inlineStr">
        <is>
          <t>P-91-050-18</t>
        </is>
      </c>
      <c r="K16" t="inlineStr">
        <is>
          <t>Y001</t>
        </is>
      </c>
      <c r="L16" s="5" t="n">
        <v>58500</v>
      </c>
      <c r="M16" t="inlineStr">
        <is>
          <t>No</t>
        </is>
      </c>
      <c r="N16" t="inlineStr">
        <is>
          <t>No</t>
        </is>
      </c>
      <c r="O16" t="inlineStr">
        <is>
          <t>Yes</t>
        </is>
      </c>
      <c r="P16" t="b">
        <v>1</v>
      </c>
      <c r="Q16" t="inlineStr">
        <is>
          <t>FFY2025</t>
        </is>
      </c>
      <c r="R16" t="inlineStr">
        <is>
          <t>FHWA Obligation</t>
        </is>
      </c>
    </row>
    <row r="17">
      <c r="A17" t="inlineStr">
        <is>
          <t>01-20-0018</t>
        </is>
      </c>
      <c r="B17" t="inlineStr">
        <is>
          <t>Addison St - Ill 171 (Cumberland Ave) to Forest Preserve Dr</t>
        </is>
      </c>
      <c r="C17" t="inlineStr">
        <is>
          <t>Standard Overlay, ADA Improvements</t>
        </is>
      </c>
      <c r="D17" t="inlineStr">
        <is>
          <t>Road Maintenance</t>
        </is>
      </c>
      <c r="E17" t="inlineStr">
        <is>
          <t>[E-ADAMAINT] Maintain/Repair ADA Infrastructure (Roadway), [H-RS] Highway/Road - Resurface (with No Lane Widening)</t>
        </is>
      </c>
      <c r="F17" t="inlineStr">
        <is>
          <t>IDOT D1 Hwys</t>
        </is>
      </c>
      <c r="G17" t="inlineStr">
        <is>
          <t>Cook</t>
        </is>
      </c>
      <c r="H17" t="inlineStr">
        <is>
          <t>Chicago</t>
        </is>
      </c>
      <c r="I17" t="inlineStr">
        <is>
          <t>E8QB871</t>
        </is>
      </c>
      <c r="J17" t="inlineStr">
        <is>
          <t>C-91-206-24</t>
        </is>
      </c>
      <c r="K17" t="inlineStr">
        <is>
          <t>Y230</t>
        </is>
      </c>
      <c r="L17" s="5" t="n">
        <v>572000</v>
      </c>
      <c r="M17" t="inlineStr">
        <is>
          <t>Yes</t>
        </is>
      </c>
      <c r="N17" t="inlineStr">
        <is>
          <t>Yes</t>
        </is>
      </c>
      <c r="O17" t="inlineStr">
        <is>
          <t>No</t>
        </is>
      </c>
      <c r="P17" t="b">
        <v>1</v>
      </c>
      <c r="Q17" t="inlineStr">
        <is>
          <t>FFY2025</t>
        </is>
      </c>
      <c r="R17" t="inlineStr">
        <is>
          <t>FHWA Obligation</t>
        </is>
      </c>
    </row>
    <row r="18">
      <c r="A18" t="inlineStr">
        <is>
          <t>01-21-0032</t>
        </is>
      </c>
      <c r="B18" t="inlineStr">
        <is>
          <t>I-290 Eisenhower Expwy - At Leavitt St</t>
        </is>
      </c>
      <c r="C18" t="inlineStr">
        <is>
          <t>Bridge Superstructure Replacement, Lighting, ADA Improvements</t>
        </is>
      </c>
      <c r="D18" t="inlineStr">
        <is>
          <t>Bridge Repair, Rehab, or Replace</t>
        </is>
      </c>
      <c r="E18" t="inlineStr">
        <is>
          <t>[A-LTS] Safety - Lighting, [B-REPLACE] Bridge/Structure - Replace, [B-SUP] Bridge Superstructure - Repair/Rehab, [E-ADAMAINT] Maintain/Repair ADA Infrastructure (Roadway)</t>
        </is>
      </c>
      <c r="F18" t="inlineStr">
        <is>
          <t>IDOT D1 Hwys</t>
        </is>
      </c>
      <c r="G18" t="inlineStr">
        <is>
          <t>Cook</t>
        </is>
      </c>
      <c r="H18" t="inlineStr">
        <is>
          <t>Chicago</t>
        </is>
      </c>
      <c r="I18" t="inlineStr">
        <is>
          <t>CIH0915</t>
        </is>
      </c>
      <c r="J18" t="inlineStr">
        <is>
          <t>C-91-242-21</t>
        </is>
      </c>
      <c r="K18" t="inlineStr">
        <is>
          <t>Y001</t>
        </is>
      </c>
      <c r="L18" s="5" t="n">
        <v>14197643</v>
      </c>
      <c r="M18" t="inlineStr">
        <is>
          <t>Yes</t>
        </is>
      </c>
      <c r="N18" t="inlineStr">
        <is>
          <t>Yes</t>
        </is>
      </c>
      <c r="O18" t="inlineStr">
        <is>
          <t>Yes</t>
        </is>
      </c>
      <c r="P18" t="b">
        <v>1</v>
      </c>
      <c r="Q18" t="inlineStr">
        <is>
          <t>FFY2025</t>
        </is>
      </c>
      <c r="R18" t="inlineStr">
        <is>
          <t>FHWA Obligation</t>
        </is>
      </c>
    </row>
    <row r="19">
      <c r="A19" t="inlineStr">
        <is>
          <t>01-22-0026</t>
        </is>
      </c>
      <c r="B19" t="inlineStr">
        <is>
          <t>Devon Ave - At N Branch Chicago River</t>
        </is>
      </c>
      <c r="C19" t="inlineStr">
        <is>
          <t>Bridge Joint Replace/Repair, Bridge Deck Overlay</t>
        </is>
      </c>
      <c r="D19" t="inlineStr">
        <is>
          <t>Bridge Routine Maintenance</t>
        </is>
      </c>
      <c r="E19" t="inlineStr">
        <is>
          <t>[B-OVR] Bridge Deck - Overlay, [B-REPAIR] Bridge/Structure - Reconst/Rehab No Chng in #, Wdth, or Lane</t>
        </is>
      </c>
      <c r="F19" t="inlineStr">
        <is>
          <t>IDOT D1 Hwys</t>
        </is>
      </c>
      <c r="G19" t="inlineStr">
        <is>
          <t>Cook</t>
        </is>
      </c>
      <c r="H19" t="inlineStr">
        <is>
          <t>Chicago</t>
        </is>
      </c>
      <c r="I19" t="inlineStr">
        <is>
          <t>VIFN450</t>
        </is>
      </c>
      <c r="J19" t="inlineStr">
        <is>
          <t>C-91-345-22</t>
        </is>
      </c>
      <c r="K19" t="inlineStr">
        <is>
          <t>Y114</t>
        </is>
      </c>
      <c r="L19" s="5" t="n">
        <v>588210</v>
      </c>
      <c r="M19" t="inlineStr">
        <is>
          <t>No</t>
        </is>
      </c>
      <c r="N19" t="inlineStr">
        <is>
          <t>No</t>
        </is>
      </c>
      <c r="O19" t="inlineStr">
        <is>
          <t>No</t>
        </is>
      </c>
      <c r="P19" t="b">
        <v>1</v>
      </c>
      <c r="Q19" t="inlineStr">
        <is>
          <t>FFY2025</t>
        </is>
      </c>
      <c r="R19" t="inlineStr">
        <is>
          <t>FHWA Obligation</t>
        </is>
      </c>
    </row>
    <row r="20">
      <c r="A20" t="inlineStr">
        <is>
          <t>01-22-0027</t>
        </is>
      </c>
      <c r="B20" t="inlineStr">
        <is>
          <t>Lawrence Ave - At Des Plaines River</t>
        </is>
      </c>
      <c r="C20" t="inlineStr">
        <is>
          <t>Bridge Joint Replace/Repair, Bridge Deck Overlay</t>
        </is>
      </c>
      <c r="D20" t="inlineStr">
        <is>
          <t>Bridge Routine Maintenance</t>
        </is>
      </c>
      <c r="E20" t="inlineStr">
        <is>
          <t>[B-OVR] Bridge Deck - Overlay, [B-REPAIR] Bridge/Structure - Reconst/Rehab No Chng in #, Wdth, or Lane</t>
        </is>
      </c>
      <c r="F20" t="inlineStr">
        <is>
          <t>IDOT D1 Hwys</t>
        </is>
      </c>
      <c r="G20" t="inlineStr">
        <is>
          <t>Cook</t>
        </is>
      </c>
      <c r="H20" t="inlineStr">
        <is>
          <t>Chicago</t>
        </is>
      </c>
      <c r="I20" t="inlineStr">
        <is>
          <t>ZPMP576</t>
        </is>
      </c>
      <c r="J20" t="inlineStr">
        <is>
          <t>C-91-347-22</t>
        </is>
      </c>
      <c r="K20" t="inlineStr">
        <is>
          <t>Y114</t>
        </is>
      </c>
      <c r="L20" s="5" t="n">
        <v>907501</v>
      </c>
      <c r="M20" t="inlineStr">
        <is>
          <t>No</t>
        </is>
      </c>
      <c r="N20" t="inlineStr">
        <is>
          <t>No</t>
        </is>
      </c>
      <c r="O20" t="inlineStr">
        <is>
          <t>No</t>
        </is>
      </c>
      <c r="P20" t="b">
        <v>1</v>
      </c>
      <c r="Q20" t="inlineStr">
        <is>
          <t>FFY2025</t>
        </is>
      </c>
      <c r="R20" t="inlineStr">
        <is>
          <t>FHWA Obligation</t>
        </is>
      </c>
    </row>
    <row r="21">
      <c r="A21" t="inlineStr">
        <is>
          <t>01-22-0028</t>
        </is>
      </c>
      <c r="B21" t="inlineStr">
        <is>
          <t>Addison St - At I-90/94 (Kennedy Expwy)</t>
        </is>
      </c>
      <c r="C21" t="inlineStr">
        <is>
          <t>Bridge Joint Replace/Repair, Bridge Deck Overlay</t>
        </is>
      </c>
      <c r="D21" t="inlineStr">
        <is>
          <t>Bridge Routine Maintenance</t>
        </is>
      </c>
      <c r="E21" t="inlineStr">
        <is>
          <t>[B-OVR] Bridge Deck - Overlay, [B-REPAIR] Bridge/Structure - Reconst/Rehab No Chng in #, Wdth, or Lane</t>
        </is>
      </c>
      <c r="F21" t="inlineStr">
        <is>
          <t>IDOT D1 Hwys</t>
        </is>
      </c>
      <c r="G21" t="inlineStr">
        <is>
          <t>Cook</t>
        </is>
      </c>
      <c r="H21" t="inlineStr">
        <is>
          <t>Chicago</t>
        </is>
      </c>
      <c r="I21" t="inlineStr">
        <is>
          <t>47AB268</t>
        </is>
      </c>
      <c r="J21" t="inlineStr">
        <is>
          <t>C-91-348-22</t>
        </is>
      </c>
      <c r="K21" t="inlineStr">
        <is>
          <t>Y114</t>
        </is>
      </c>
      <c r="L21" s="5" t="n">
        <v>1242900</v>
      </c>
      <c r="M21" t="inlineStr">
        <is>
          <t>No</t>
        </is>
      </c>
      <c r="N21" t="inlineStr">
        <is>
          <t>No</t>
        </is>
      </c>
      <c r="O21" t="inlineStr">
        <is>
          <t>No</t>
        </is>
      </c>
      <c r="P21" t="b">
        <v>1</v>
      </c>
      <c r="Q21" t="inlineStr">
        <is>
          <t>FFY2025</t>
        </is>
      </c>
      <c r="R21" t="inlineStr">
        <is>
          <t>FHWA Obligation</t>
        </is>
      </c>
    </row>
    <row r="22">
      <c r="A22" t="inlineStr">
        <is>
          <t>01-22-0031</t>
        </is>
      </c>
      <c r="B22" t="inlineStr">
        <is>
          <t>Michigan Ave - At I-55 (Stevenson Expwy)</t>
        </is>
      </c>
      <c r="C22" t="inlineStr">
        <is>
          <t>Bridge Joint Replace/Repair, Bridge Deck Overlay</t>
        </is>
      </c>
      <c r="D22" t="inlineStr">
        <is>
          <t>Bridge Routine Maintenance</t>
        </is>
      </c>
      <c r="E22" t="inlineStr">
        <is>
          <t>[B-OVR] Bridge Deck - Overlay, [B-REPAIR] Bridge/Structure - Reconst/Rehab No Chng in #, Wdth, or Lane</t>
        </is>
      </c>
      <c r="F22" t="inlineStr">
        <is>
          <t>IDOT D1 Hwys</t>
        </is>
      </c>
      <c r="G22" t="inlineStr">
        <is>
          <t>Cook</t>
        </is>
      </c>
      <c r="H22" t="inlineStr">
        <is>
          <t>Chicago</t>
        </is>
      </c>
      <c r="I22" t="inlineStr">
        <is>
          <t>RG6J998</t>
        </is>
      </c>
      <c r="J22" t="inlineStr">
        <is>
          <t>C-91-358-22</t>
        </is>
      </c>
      <c r="K22" t="inlineStr">
        <is>
          <t>Y114</t>
        </is>
      </c>
      <c r="L22" s="5" t="n">
        <v>867252</v>
      </c>
      <c r="M22" t="inlineStr">
        <is>
          <t>No</t>
        </is>
      </c>
      <c r="N22" t="inlineStr">
        <is>
          <t>No</t>
        </is>
      </c>
      <c r="O22" t="inlineStr">
        <is>
          <t>No</t>
        </is>
      </c>
      <c r="P22" t="b">
        <v>1</v>
      </c>
      <c r="Q22" t="inlineStr">
        <is>
          <t>FFY2025</t>
        </is>
      </c>
      <c r="R22" t="inlineStr">
        <is>
          <t>FHWA Obligation</t>
        </is>
      </c>
    </row>
    <row r="23">
      <c r="A23" t="inlineStr">
        <is>
          <t>01-23-0027</t>
        </is>
      </c>
      <c r="B23" t="inlineStr">
        <is>
          <t>Ill 171 Archer Ave - S of Ogden Ave to W of Harlem Ave</t>
        </is>
      </c>
      <c r="C23" t="inlineStr">
        <is>
          <t>Smart Overlay</t>
        </is>
      </c>
      <c r="D23" t="inlineStr">
        <is>
          <t>Road Maintenance</t>
        </is>
      </c>
      <c r="E23" t="inlineStr">
        <is>
          <t>[H-RS] Highway/Road - Resurface (with No Lane Widening)</t>
        </is>
      </c>
      <c r="F23" t="inlineStr">
        <is>
          <t>IDOT D1 Hwys</t>
        </is>
      </c>
      <c r="G23" t="inlineStr">
        <is>
          <t>Cook</t>
        </is>
      </c>
      <c r="H23" t="inlineStr">
        <is>
          <t>Chicago, Lyons, McCook, Summit</t>
        </is>
      </c>
      <c r="I23" t="inlineStr">
        <is>
          <t>T687197</t>
        </is>
      </c>
      <c r="J23" t="inlineStr">
        <is>
          <t>C-91-042-24</t>
        </is>
      </c>
      <c r="K23" t="inlineStr">
        <is>
          <t>Y001</t>
        </is>
      </c>
      <c r="L23" s="5" t="n">
        <v>2400000</v>
      </c>
      <c r="M23" t="inlineStr">
        <is>
          <t>No</t>
        </is>
      </c>
      <c r="N23" t="inlineStr">
        <is>
          <t>No</t>
        </is>
      </c>
      <c r="O23" t="inlineStr">
        <is>
          <t>No</t>
        </is>
      </c>
      <c r="P23" t="b">
        <v>1</v>
      </c>
      <c r="Q23" t="inlineStr">
        <is>
          <t>FFY2025</t>
        </is>
      </c>
      <c r="R23" t="inlineStr">
        <is>
          <t>FHWA Obligation</t>
        </is>
      </c>
    </row>
    <row r="24">
      <c r="A24" t="inlineStr">
        <is>
          <t>01-25-0004</t>
        </is>
      </c>
      <c r="B24" t="inlineStr">
        <is>
          <t>I-90 Chicago Electric Vehicle Charging Station</t>
        </is>
      </c>
      <c r="C24" t="inlineStr">
        <is>
          <t>NEVI funds for electric vehicle charging station at 4306 S. Wentworth Ave.</t>
        </is>
      </c>
      <c r="D24" t="inlineStr">
        <is>
          <t>Emissions Reduction</t>
        </is>
      </c>
      <c r="E24" t="inlineStr">
        <is>
          <t>[H-EVINF] Highway/Road - EV Infrastructure</t>
        </is>
      </c>
      <c r="F24" t="inlineStr">
        <is>
          <t>IDOT OP&amp;P</t>
        </is>
      </c>
      <c r="G24" t="inlineStr">
        <is>
          <t>Cook</t>
        </is>
      </c>
      <c r="H24" t="inlineStr">
        <is>
          <t>Chicago</t>
        </is>
      </c>
      <c r="I24" t="inlineStr">
        <is>
          <t>600Q735</t>
        </is>
      </c>
      <c r="J24" t="inlineStr">
        <is>
          <t>N-75-010-25</t>
        </is>
      </c>
      <c r="K24" t="inlineStr">
        <is>
          <t>Y130</t>
        </is>
      </c>
      <c r="L24" s="5" t="n">
        <v>573200</v>
      </c>
      <c r="M24" t="inlineStr">
        <is>
          <t>No</t>
        </is>
      </c>
      <c r="N24" t="inlineStr">
        <is>
          <t>No</t>
        </is>
      </c>
      <c r="O24" t="inlineStr">
        <is>
          <t>No</t>
        </is>
      </c>
      <c r="P24" t="b">
        <v>0</v>
      </c>
      <c r="Q24" t="inlineStr">
        <is>
          <t>FFY2025</t>
        </is>
      </c>
      <c r="R24" t="inlineStr">
        <is>
          <t>FHWA Obligation</t>
        </is>
      </c>
    </row>
    <row r="25">
      <c r="A25" t="inlineStr">
        <is>
          <t>01-25-0028</t>
        </is>
      </c>
      <c r="B25" t="inlineStr">
        <is>
          <t>Lincoln Park ADA Accessibility Improvements</t>
        </is>
      </c>
      <c r="C25" t="inlineStr">
        <is>
          <t>Various ADA accessibility improvements in Lincoln Park.</t>
        </is>
      </c>
      <c r="D25" t="inlineStr">
        <is>
          <t>Bicycle &amp; Pedestrian</t>
        </is>
      </c>
      <c r="E25" t="inlineStr">
        <is>
          <t>[E-ADAIMP] Improve ADA Infrastructure (Roadway), [E-ADANEW] New ADA Infrastructure (Roadway)</t>
        </is>
      </c>
      <c r="F25" t="inlineStr">
        <is>
          <t>CDOT</t>
        </is>
      </c>
      <c r="G25" t="inlineStr">
        <is>
          <t>Cook</t>
        </is>
      </c>
      <c r="H25" t="inlineStr">
        <is>
          <t>Chicago</t>
        </is>
      </c>
      <c r="I25" t="inlineStr">
        <is>
          <t>323D016</t>
        </is>
      </c>
      <c r="J25" t="inlineStr">
        <is>
          <t>A-91-002-26</t>
        </is>
      </c>
      <c r="K25" t="inlineStr">
        <is>
          <t>Y928</t>
        </is>
      </c>
      <c r="L25" s="5" t="n">
        <v>1000000</v>
      </c>
      <c r="M25" t="inlineStr">
        <is>
          <t>Yes</t>
        </is>
      </c>
      <c r="N25" t="inlineStr">
        <is>
          <t>Yes</t>
        </is>
      </c>
      <c r="O25" t="inlineStr">
        <is>
          <t>No</t>
        </is>
      </c>
      <c r="P25" t="b">
        <v>1</v>
      </c>
      <c r="Q25" t="inlineStr">
        <is>
          <t>FFY2025</t>
        </is>
      </c>
      <c r="R25" t="inlineStr">
        <is>
          <t>FHWA Obligation</t>
        </is>
      </c>
    </row>
    <row r="26">
      <c r="A26" t="inlineStr">
        <is>
          <t>01-94-0092</t>
        </is>
      </c>
      <c r="B26" t="inlineStr">
        <is>
          <t>Chicago Streets for Cycling</t>
        </is>
      </c>
      <c r="C26" t="inlineStr">
        <is>
          <t>On-street bikeway installations, lane striping, road diet (Canal St), parking lane relocations.</t>
        </is>
      </c>
      <c r="D26" t="inlineStr">
        <is>
          <t>Bicycle &amp; Pedestrian</t>
        </is>
      </c>
      <c r="E26" t="inlineStr">
        <is>
          <t>[A-MED] Safety - Median Projects, [A-OTH] Safety - Other, [A-PMRK] Safety - Pavement Marking, [A-RDIET] Safety - Road Diet, [E-BIKEIMP] Improve Bicycle Facility, [E-BIKE] Bicycle Facility</t>
        </is>
      </c>
      <c r="F26" t="inlineStr">
        <is>
          <t>CDOT</t>
        </is>
      </c>
      <c r="G26" t="inlineStr">
        <is>
          <t>Cook</t>
        </is>
      </c>
      <c r="H26" t="inlineStr">
        <is>
          <t>Chicago</t>
        </is>
      </c>
      <c r="I26" t="inlineStr">
        <is>
          <t>STN5702</t>
        </is>
      </c>
      <c r="J26" t="inlineStr">
        <is>
          <t>N-75-001-20</t>
        </is>
      </c>
      <c r="K26" t="inlineStr">
        <is>
          <t>Z400</t>
        </is>
      </c>
      <c r="L26" s="5" t="n">
        <v>864706</v>
      </c>
      <c r="M26" t="inlineStr">
        <is>
          <t>Yes</t>
        </is>
      </c>
      <c r="N26" t="inlineStr">
        <is>
          <t>No</t>
        </is>
      </c>
      <c r="O26" t="inlineStr">
        <is>
          <t>Yes</t>
        </is>
      </c>
      <c r="P26" t="b">
        <v>1</v>
      </c>
      <c r="Q26" t="inlineStr">
        <is>
          <t>FFY2025</t>
        </is>
      </c>
      <c r="R26" t="inlineStr">
        <is>
          <t>FHWA Obligation</t>
        </is>
      </c>
    </row>
    <row r="27">
      <c r="A27" t="inlineStr">
        <is>
          <t>01-94-0092</t>
        </is>
      </c>
      <c r="B27" t="inlineStr">
        <is>
          <t>Chicago Streets for Cycling</t>
        </is>
      </c>
      <c r="C27" t="inlineStr">
        <is>
          <t>On-street bikeway installations, lane striping, road diet (Canal St), parking lane relocations.</t>
        </is>
      </c>
      <c r="D27" t="inlineStr">
        <is>
          <t>Bicycle &amp; Pedestrian</t>
        </is>
      </c>
      <c r="E27" t="inlineStr">
        <is>
          <t>[A-MED] Safety - Median Projects, [A-OTH] Safety - Other, [A-PMRK] Safety - Pavement Marking, [A-RDIET] Safety - Road Diet, [E-BIKEIMP] Improve Bicycle Facility, [E-BIKE] Bicycle Facility</t>
        </is>
      </c>
      <c r="F27" t="inlineStr">
        <is>
          <t>CDOT</t>
        </is>
      </c>
      <c r="G27" t="inlineStr">
        <is>
          <t>Cook</t>
        </is>
      </c>
      <c r="H27" t="inlineStr">
        <is>
          <t>Chicago</t>
        </is>
      </c>
      <c r="I27" t="inlineStr">
        <is>
          <t>STN5702</t>
        </is>
      </c>
      <c r="J27" t="inlineStr">
        <is>
          <t>N-75-001-20</t>
        </is>
      </c>
      <c r="K27" t="inlineStr">
        <is>
          <t>Y400</t>
        </is>
      </c>
      <c r="L27" s="5" t="n">
        <v>196543</v>
      </c>
      <c r="M27" t="inlineStr">
        <is>
          <t>Yes</t>
        </is>
      </c>
      <c r="N27" t="inlineStr">
        <is>
          <t>No</t>
        </is>
      </c>
      <c r="O27" t="inlineStr">
        <is>
          <t>Yes</t>
        </is>
      </c>
      <c r="P27" t="b">
        <v>1</v>
      </c>
      <c r="Q27" t="inlineStr">
        <is>
          <t>FFY2025</t>
        </is>
      </c>
      <c r="R27" t="inlineStr">
        <is>
          <t>FHWA Obligation</t>
        </is>
      </c>
    </row>
    <row r="28">
      <c r="A28" t="inlineStr">
        <is>
          <t>02-13-0002</t>
        </is>
      </c>
      <c r="B28" t="inlineStr">
        <is>
          <t>Austin Ave. from Lincoln Ave. to Oakton St.</t>
        </is>
      </c>
      <c r="C28" t="inlineStr">
        <is>
          <t>Partial-width reconstruction, sewer separation, intersection improvement at Oakton St., and mill and HMA overlay</t>
        </is>
      </c>
      <c r="D28" t="inlineStr">
        <is>
          <t>Road Maintenance</t>
        </is>
      </c>
      <c r="E28" t="inlineStr">
        <is>
          <t>[H-INTRC] Highway/Road - Intersection Reconstruction, [H-RCINKND] Highway/Road - Reconstruct in Kind</t>
        </is>
      </c>
      <c r="F28" t="inlineStr">
        <is>
          <t>North Shore Council</t>
        </is>
      </c>
      <c r="G28" t="inlineStr">
        <is>
          <t>Cook</t>
        </is>
      </c>
      <c r="H28" t="inlineStr">
        <is>
          <t>Morton Grove</t>
        </is>
      </c>
      <c r="I28" t="inlineStr">
        <is>
          <t>4003172</t>
        </is>
      </c>
      <c r="J28" t="inlineStr">
        <is>
          <t>D-91-225-13</t>
        </is>
      </c>
      <c r="K28" t="inlineStr">
        <is>
          <t>Z030</t>
        </is>
      </c>
      <c r="L28" s="5" t="n">
        <v>44680</v>
      </c>
      <c r="M28" t="inlineStr">
        <is>
          <t>No</t>
        </is>
      </c>
      <c r="N28" t="inlineStr">
        <is>
          <t>No</t>
        </is>
      </c>
      <c r="O28" t="inlineStr">
        <is>
          <t>No</t>
        </is>
      </c>
      <c r="P28" t="b">
        <v>1</v>
      </c>
      <c r="Q28" t="inlineStr">
        <is>
          <t>FFY2025</t>
        </is>
      </c>
      <c r="R28" t="inlineStr">
        <is>
          <t>FHWA Obligation</t>
        </is>
      </c>
    </row>
    <row r="29">
      <c r="A29" t="inlineStr">
        <is>
          <t>02-14-0003</t>
        </is>
      </c>
      <c r="B29" t="inlineStr">
        <is>
          <t>Church St. from Linder Av to Mccormick Blv</t>
        </is>
      </c>
      <c r="C29" t="inlineStr">
        <is>
          <t>Bike lanes</t>
        </is>
      </c>
      <c r="D29" t="inlineStr">
        <is>
          <t>Bicycle &amp; Pedestrian</t>
        </is>
      </c>
      <c r="E29" t="inlineStr">
        <is>
          <t>[A-PMRK] Safety - Pavement Marking, [E-BIKENEW] New Bicycle Facility, [E- PEDIMP] Improve Pedestrian Facility, [H-RL] Highway/Road - Remove Lanes, [S-MOD] Signals - Modernization</t>
        </is>
      </c>
      <c r="F29" t="inlineStr">
        <is>
          <t>North Shore Council</t>
        </is>
      </c>
      <c r="G29" t="inlineStr">
        <is>
          <t>Cook</t>
        </is>
      </c>
      <c r="H29" t="inlineStr">
        <is>
          <t>Skokie</t>
        </is>
      </c>
      <c r="I29" t="inlineStr">
        <is>
          <t>940K189</t>
        </is>
      </c>
      <c r="J29" t="inlineStr">
        <is>
          <t>C-91-382-19</t>
        </is>
      </c>
      <c r="K29" t="inlineStr">
        <is>
          <t>Y301</t>
        </is>
      </c>
      <c r="L29" s="5" t="n">
        <v>1600000</v>
      </c>
      <c r="M29" t="inlineStr">
        <is>
          <t>Yes</t>
        </is>
      </c>
      <c r="N29" t="inlineStr">
        <is>
          <t>No</t>
        </is>
      </c>
      <c r="O29" t="inlineStr">
        <is>
          <t>Yes</t>
        </is>
      </c>
      <c r="P29" t="b">
        <v>1</v>
      </c>
      <c r="Q29" t="inlineStr">
        <is>
          <t>FFY2025</t>
        </is>
      </c>
      <c r="R29" t="inlineStr">
        <is>
          <t>FHWA Obligation</t>
        </is>
      </c>
    </row>
    <row r="30">
      <c r="A30" t="inlineStr">
        <is>
          <t>02-16-0002</t>
        </is>
      </c>
      <c r="B30" t="inlineStr">
        <is>
          <t>Howard Street from Dodge Ave to Custer Ave</t>
        </is>
      </c>
      <c r="C30" t="inlineStr">
        <is>
          <t>Road resurfacing with bicycle and pedestrian improvements</t>
        </is>
      </c>
      <c r="D30" t="inlineStr">
        <is>
          <t>Road Modernization</t>
        </is>
      </c>
      <c r="E30" t="inlineStr">
        <is>
          <t>[D-FAC] ADA - Transit Facility Improvements, [E-BIKEIMP] Improve Bicycle Facility, [E-BIKEPARK] Bicycle Parking, [E-LS] Enhancement - Landscaping, [E-PEDIMP] Improve Pedestrian Facility, [H-INTIMP] Highway/Road - Intersection Improvement, [H-RS] Highway/Road - Resurface (with No Lane Widening), [S-MOD] Signals - Modernization</t>
        </is>
      </c>
      <c r="F30" t="inlineStr">
        <is>
          <t>North Shore Council</t>
        </is>
      </c>
      <c r="G30" t="inlineStr">
        <is>
          <t>Cook</t>
        </is>
      </c>
      <c r="H30" t="inlineStr">
        <is>
          <t>Evanston</t>
        </is>
      </c>
      <c r="I30" t="inlineStr">
        <is>
          <t>CJ5G950</t>
        </is>
      </c>
      <c r="J30" t="inlineStr">
        <is>
          <t>C-91-188-18</t>
        </is>
      </c>
      <c r="K30" t="inlineStr">
        <is>
          <t>Z23E</t>
        </is>
      </c>
      <c r="L30" s="5" t="n">
        <v>104957</v>
      </c>
      <c r="M30" t="inlineStr">
        <is>
          <t>Yes</t>
        </is>
      </c>
      <c r="N30" t="inlineStr">
        <is>
          <t>Yes</t>
        </is>
      </c>
      <c r="O30" t="inlineStr">
        <is>
          <t>No</t>
        </is>
      </c>
      <c r="P30" t="b">
        <v>1</v>
      </c>
      <c r="Q30" t="inlineStr">
        <is>
          <t>FFY2025</t>
        </is>
      </c>
      <c r="R30" t="inlineStr">
        <is>
          <t>FHWA Obligation</t>
        </is>
      </c>
    </row>
    <row r="31">
      <c r="A31" t="inlineStr">
        <is>
          <t>02-19-0016</t>
        </is>
      </c>
      <c r="B31" t="inlineStr">
        <is>
          <t>E. Lake Avenue / Waukegan Road Intersection Improvement</t>
        </is>
      </c>
      <c r="C31" t="inlineStr">
        <is>
          <t>Intersection widening to provide right turn lanes on all four approaches, traffic signal modernization, resurfacing, ADA improvements, update intersection lighting and transition lighting, add pedestrian signals. The existing lanes (through and left turn) will be changed from 12 width to through lanes (11), left turn lanes (10), new right turn lanes (10).</t>
        </is>
      </c>
      <c r="D31" t="inlineStr">
        <is>
          <t>Intersection/Interchange Improvements</t>
        </is>
      </c>
      <c r="E31" t="inlineStr">
        <is>
          <t>[A-LTS] Safety - Lighting, [E-ADAMAINT] Maintain/Repair ADA Infrastructure (Roadway), [E-PEDIMP] Improve Pedestrian Facility, [H-C/G] Highway/Road - Curb And Gutter, [H-INTIMP] Highway/Road - Intersection Improvement</t>
        </is>
      </c>
      <c r="F31" t="inlineStr">
        <is>
          <t>North Shore Council</t>
        </is>
      </c>
      <c r="G31" t="inlineStr">
        <is>
          <t>Cook</t>
        </is>
      </c>
      <c r="H31" t="inlineStr">
        <is>
          <t>Glenview</t>
        </is>
      </c>
      <c r="I31" t="inlineStr">
        <is>
          <t>711V952</t>
        </is>
      </c>
      <c r="J31" t="inlineStr">
        <is>
          <t>D-91-008-23</t>
        </is>
      </c>
      <c r="K31" t="inlineStr">
        <is>
          <t>Y400</t>
        </is>
      </c>
      <c r="L31" s="5" t="n">
        <v>347939</v>
      </c>
      <c r="M31" t="inlineStr">
        <is>
          <t>Yes</t>
        </is>
      </c>
      <c r="N31" t="inlineStr">
        <is>
          <t>Yes</t>
        </is>
      </c>
      <c r="O31" t="inlineStr">
        <is>
          <t>Yes</t>
        </is>
      </c>
      <c r="P31" t="b">
        <v>1</v>
      </c>
      <c r="Q31" t="inlineStr">
        <is>
          <t>FFY2025</t>
        </is>
      </c>
      <c r="R31" t="inlineStr">
        <is>
          <t>FHWA Obligation</t>
        </is>
      </c>
    </row>
    <row r="32">
      <c r="A32" t="inlineStr">
        <is>
          <t>02-20-0014</t>
        </is>
      </c>
      <c r="B32" t="inlineStr">
        <is>
          <t>Green Bay Road Corridor Improvements</t>
        </is>
      </c>
      <c r="C32" t="inlineStr">
        <is>
          <t>Resurfacing and intersection reconstruction/improvements, including bus stops, lighting, sidewalk, curb and gutter, pedestrian signals at Green Bay Rd and Lincoln St, Central St, Livingston St, and Isabella St. Bicycle parking and intersection improvements at Central St and Broadway Ave. Realignment of Poplar/Broadway/Green Bay intersection. Signal interconnect on Green Bay from McCormick Blvd to Isabella St.</t>
        </is>
      </c>
      <c r="D32" t="inlineStr">
        <is>
          <t>Road Modernization</t>
        </is>
      </c>
      <c r="E32" t="inlineStr">
        <is>
          <t>[A-LTS] Safety - Lighting, [A-PMRK] Safety - Pavement Marking, [E-ADAIMP] Improve ADA Infrastructure (Roadway), [E-ADANEW] New ADA Infrastructure (Roadway), [E-LS] Enhancement - Landscaping, [H-C/G] Highway/Road - Curb And Gutter, [H-INTIMP] Highway/Road - Intersection Improvement, [H-PATCH] Highway/Road - Pavement Patching, [H-RCNST] Highway/Road - Reconst with Change in Use or Width Of Lane, [H-RS] Highway/Road - Resurface (with No Lane Widening), [S-MOD] Signals - Modernization, [S-TIM] Signals - Interconnects And Timing</t>
        </is>
      </c>
      <c r="F32" t="inlineStr">
        <is>
          <t>North Shore Council</t>
        </is>
      </c>
      <c r="G32" t="inlineStr">
        <is>
          <t>Cook</t>
        </is>
      </c>
      <c r="H32" t="inlineStr">
        <is>
          <t>Evanston</t>
        </is>
      </c>
      <c r="I32" t="inlineStr">
        <is>
          <t>IKT1871</t>
        </is>
      </c>
      <c r="J32" t="inlineStr">
        <is>
          <t>C-91-169-21</t>
        </is>
      </c>
      <c r="K32" t="inlineStr">
        <is>
          <t>Y230</t>
        </is>
      </c>
      <c r="L32" s="5" t="n">
        <v>4806815</v>
      </c>
      <c r="M32" t="inlineStr">
        <is>
          <t>Yes</t>
        </is>
      </c>
      <c r="N32" t="inlineStr">
        <is>
          <t>Yes</t>
        </is>
      </c>
      <c r="O32" t="inlineStr">
        <is>
          <t>Yes</t>
        </is>
      </c>
      <c r="P32" t="b">
        <v>1</v>
      </c>
      <c r="Q32" t="inlineStr">
        <is>
          <t>FFY2025</t>
        </is>
      </c>
      <c r="R32" t="inlineStr">
        <is>
          <t>FHWA Obligation</t>
        </is>
      </c>
    </row>
    <row r="33">
      <c r="A33" t="inlineStr">
        <is>
          <t>02-21-0004</t>
        </is>
      </c>
      <c r="B33" t="inlineStr">
        <is>
          <t>US 41 at Church St and Church St at Niles Center Rd</t>
        </is>
      </c>
      <c r="C33" t="inlineStr">
        <is>
          <t>Interconnect the traffic signal at Church St and Niles Center Rd to the existing signal system at US 41 and Church St (ECON 2).</t>
        </is>
      </c>
      <c r="D33" t="inlineStr">
        <is>
          <t>Signal Systems</t>
        </is>
      </c>
      <c r="E33" t="inlineStr">
        <is>
          <t>[S-TIM] Signals - Interconnects And Timing</t>
        </is>
      </c>
      <c r="F33" t="inlineStr">
        <is>
          <t>IDOT D1 Hwys</t>
        </is>
      </c>
      <c r="G33" t="inlineStr">
        <is>
          <t>Cook</t>
        </is>
      </c>
      <c r="H33" t="inlineStr">
        <is>
          <t>Skokie</t>
        </is>
      </c>
      <c r="I33" t="inlineStr">
        <is>
          <t>L2HA083</t>
        </is>
      </c>
      <c r="J33" t="inlineStr">
        <is>
          <t>C-91-253-22</t>
        </is>
      </c>
      <c r="K33" t="inlineStr">
        <is>
          <t>Y400</t>
        </is>
      </c>
      <c r="L33" s="5" t="n">
        <v>996761</v>
      </c>
      <c r="M33" t="inlineStr">
        <is>
          <t>No</t>
        </is>
      </c>
      <c r="N33" t="inlineStr">
        <is>
          <t>No</t>
        </is>
      </c>
      <c r="O33" t="inlineStr">
        <is>
          <t>No</t>
        </is>
      </c>
      <c r="P33" t="b">
        <v>1</v>
      </c>
      <c r="Q33" t="inlineStr">
        <is>
          <t>FFY2025</t>
        </is>
      </c>
      <c r="R33" t="inlineStr">
        <is>
          <t>FHWA Obligation</t>
        </is>
      </c>
    </row>
    <row r="34">
      <c r="A34" t="inlineStr">
        <is>
          <t>02-21-0005</t>
        </is>
      </c>
      <c r="B34" t="inlineStr">
        <is>
          <t>Devon Ave - Ill 50 (Cicero Ave) to Kenton Ave/Lemont Ave</t>
        </is>
      </c>
      <c r="C34" t="inlineStr">
        <is>
          <t>Project is to add the intersections of IL 50 at Devon Ave and Devon Ave at Kenton Ave/ Lemont Ave to the existing traffic signal interconnect system - Eagle 1L. The existing system runs along IL 50 from Devon Ave to Pratt Ave.</t>
        </is>
      </c>
      <c r="D34" t="inlineStr">
        <is>
          <t>Signal Systems</t>
        </is>
      </c>
      <c r="E34" t="inlineStr">
        <is>
          <t>[S-TIM] Signals - Interconnects And Timing</t>
        </is>
      </c>
      <c r="F34" t="inlineStr">
        <is>
          <t>IDOT D1 Hwys</t>
        </is>
      </c>
      <c r="G34" t="inlineStr">
        <is>
          <t>Cook</t>
        </is>
      </c>
      <c r="H34" t="inlineStr">
        <is>
          <t>Lincolnwood</t>
        </is>
      </c>
      <c r="I34" t="inlineStr">
        <is>
          <t>L2HA083</t>
        </is>
      </c>
      <c r="J34" t="inlineStr">
        <is>
          <t>C-91-253-22</t>
        </is>
      </c>
      <c r="K34" t="inlineStr">
        <is>
          <t>Y400</t>
        </is>
      </c>
      <c r="L34" s="5" t="n">
        <v>996761</v>
      </c>
      <c r="M34" t="inlineStr">
        <is>
          <t>No</t>
        </is>
      </c>
      <c r="N34" t="inlineStr">
        <is>
          <t>No</t>
        </is>
      </c>
      <c r="O34" t="inlineStr">
        <is>
          <t>No</t>
        </is>
      </c>
      <c r="P34" t="b">
        <v>1</v>
      </c>
      <c r="Q34" t="inlineStr">
        <is>
          <t>FFY2025</t>
        </is>
      </c>
      <c r="R34" t="inlineStr">
        <is>
          <t>FHWA Obligation</t>
        </is>
      </c>
    </row>
    <row r="35">
      <c r="A35" t="inlineStr">
        <is>
          <t>02-21-0006</t>
        </is>
      </c>
      <c r="B35" t="inlineStr">
        <is>
          <t>US 41 at Main St</t>
        </is>
      </c>
      <c r="C35" t="inlineStr">
        <is>
          <t>Project is to add the intersection of US 41 (Skokie Blvd) at Main St to the north end of the existing traffic signal interconnect system - Eagle 6P. The existing system runs along US 41 (Skokie Blvd) from Oakton St to Searle Pkwy and along Oakton St from La Crosse Ave to US 41 and includes three (3) intersections.</t>
        </is>
      </c>
      <c r="D35" t="inlineStr">
        <is>
          <t>Signal Systems</t>
        </is>
      </c>
      <c r="E35" t="inlineStr">
        <is>
          <t>[S-TIM] Signals - Interconnects And Timing</t>
        </is>
      </c>
      <c r="F35" t="inlineStr">
        <is>
          <t>IDOT D1 Hwys</t>
        </is>
      </c>
      <c r="G35" t="inlineStr">
        <is>
          <t>Cook</t>
        </is>
      </c>
      <c r="H35" t="inlineStr">
        <is>
          <t>Skokie</t>
        </is>
      </c>
      <c r="I35" t="inlineStr">
        <is>
          <t>L2HA083</t>
        </is>
      </c>
      <c r="J35" t="inlineStr">
        <is>
          <t>C-91-253-22</t>
        </is>
      </c>
      <c r="K35" t="inlineStr">
        <is>
          <t>Y400</t>
        </is>
      </c>
      <c r="L35" s="5" t="n">
        <v>996761</v>
      </c>
      <c r="M35" t="inlineStr">
        <is>
          <t>No</t>
        </is>
      </c>
      <c r="N35" t="inlineStr">
        <is>
          <t>No</t>
        </is>
      </c>
      <c r="O35" t="inlineStr">
        <is>
          <t>No</t>
        </is>
      </c>
      <c r="P35" t="b">
        <v>1</v>
      </c>
      <c r="Q35" t="inlineStr">
        <is>
          <t>FFY2025</t>
        </is>
      </c>
      <c r="R35" t="inlineStr">
        <is>
          <t>FHWA Obligation</t>
        </is>
      </c>
    </row>
    <row r="36">
      <c r="A36" t="inlineStr">
        <is>
          <t>02-22-0013</t>
        </is>
      </c>
      <c r="B36" t="inlineStr">
        <is>
          <t>Shermer Road from Willow Rd to Walters Ave</t>
        </is>
      </c>
      <c r="C36" t="inlineStr">
        <is>
          <t>Project work will include pavement milling, pavement patching (base repair), placement of new HMA leveling binder and surface layers, and road diet configuration (narrow lanes from 12' to 11', no change to number or use of lanes). New thermoplastic pavement markings, sidewalk/ADA ramp repair/improvements at select locations. Concrete side walk will be replaced by 10 foot wide HMA Side Path east of Shermer Road.</t>
        </is>
      </c>
      <c r="D36" t="inlineStr">
        <is>
          <t>Road Modernization</t>
        </is>
      </c>
      <c r="E36" t="inlineStr">
        <is>
          <t>[A-PMRK] Safety - Pavement Marking, [E-ADAMAINT] Maintain/Repair ADA Infrastructure (Roadway), [E-SharedNew] New Shared Use Path, [H- PATCH] Highway/Road - Pavement Patching, [H-RS] Highway/Road - Resurface (with No Lane Widening)</t>
        </is>
      </c>
      <c r="F36" t="inlineStr">
        <is>
          <t>North Shore Council</t>
        </is>
      </c>
      <c r="G36" t="inlineStr">
        <is>
          <t>Cook</t>
        </is>
      </c>
      <c r="H36" t="inlineStr">
        <is>
          <t>Northbrook</t>
        </is>
      </c>
      <c r="I36" t="inlineStr">
        <is>
          <t>TFZT648</t>
        </is>
      </c>
      <c r="J36" t="inlineStr">
        <is>
          <t>C-91-193-24</t>
        </is>
      </c>
      <c r="K36" t="inlineStr">
        <is>
          <t>Y230</t>
        </is>
      </c>
      <c r="L36" s="5" t="n">
        <v>3504200</v>
      </c>
      <c r="M36" t="inlineStr">
        <is>
          <t>Yes</t>
        </is>
      </c>
      <c r="N36" t="inlineStr">
        <is>
          <t>Yes</t>
        </is>
      </c>
      <c r="O36" t="inlineStr">
        <is>
          <t>Yes</t>
        </is>
      </c>
      <c r="P36" t="b">
        <v>1</v>
      </c>
      <c r="Q36" t="inlineStr">
        <is>
          <t>FFY2025</t>
        </is>
      </c>
      <c r="R36" t="inlineStr">
        <is>
          <t>FHWA Obligation</t>
        </is>
      </c>
    </row>
    <row r="37">
      <c r="A37" t="inlineStr">
        <is>
          <t>02-23-0015</t>
        </is>
      </c>
      <c r="B37" t="inlineStr">
        <is>
          <t>SRTS Sidewalk Improvements</t>
        </is>
      </c>
      <c r="C37" t="inlineStr">
        <is>
          <t>Due to the need to correct trip hazards, non-compliant ADA conditions, ponding and icing conditions on existing sidewalks, the purpose of the project is to replace those sidewalk slabs that are in poor condition or are in non-compliance with current ADA standards. The goal is to encourage and channel more students to walk to school along the walk routes and thereby reduce the number of vehicle drop-offs and pick-ups at schools.</t>
        </is>
      </c>
      <c r="D37" t="inlineStr">
        <is>
          <t>Safe Routes to Schools</t>
        </is>
      </c>
      <c r="E37" t="inlineStr">
        <is>
          <t>[E-ADAIMP] Improve ADA Infrastructure (Roadway), [E-PEDMAINT] Maintain Pedestrian Facility, [E-SRTS] Safe Routes to School</t>
        </is>
      </c>
      <c r="F37" t="inlineStr">
        <is>
          <t>North Shore Council</t>
        </is>
      </c>
      <c r="G37" t="inlineStr">
        <is>
          <t>Cook</t>
        </is>
      </c>
      <c r="H37" t="inlineStr">
        <is>
          <t>Evanston</t>
        </is>
      </c>
      <c r="I37" t="inlineStr">
        <is>
          <t>XF0D103</t>
        </is>
      </c>
      <c r="J37" t="inlineStr">
        <is>
          <t>C-91-148-24</t>
        </is>
      </c>
      <c r="K37" t="inlineStr">
        <is>
          <t>Y300</t>
        </is>
      </c>
      <c r="L37" s="5" t="n">
        <v>249951</v>
      </c>
      <c r="M37" t="inlineStr">
        <is>
          <t>Yes</t>
        </is>
      </c>
      <c r="N37" t="inlineStr">
        <is>
          <t>Yes</t>
        </is>
      </c>
      <c r="O37" t="inlineStr">
        <is>
          <t>Yes</t>
        </is>
      </c>
      <c r="P37" t="b">
        <v>1</v>
      </c>
      <c r="Q37" t="inlineStr">
        <is>
          <t>FFY2025</t>
        </is>
      </c>
      <c r="R37" t="inlineStr">
        <is>
          <t>FHWA Obligation</t>
        </is>
      </c>
    </row>
    <row r="38">
      <c r="A38" t="inlineStr">
        <is>
          <t>03-03-0102</t>
        </is>
      </c>
      <c r="B38" t="inlineStr">
        <is>
          <t>IL 62 Algonquin Rd from Plum Grove Rd to IL Route 53</t>
        </is>
      </c>
      <c r="C38" t="inlineStr">
        <is>
          <t>Add turn lanes, add through lane at intersection</t>
        </is>
      </c>
      <c r="D38" t="inlineStr">
        <is>
          <t>Road Modernization</t>
        </is>
      </c>
      <c r="E38" t="inlineStr">
        <is>
          <t>[H-AL] Highway/Road - Add Lanes, [H-INTRC] Highway/Road - Intersection Reconstruction, [H-RCNST] Highway/Road - Reconst with Change in Use or Width Of Lane, [S-MOD] Signals - Modernization</t>
        </is>
      </c>
      <c r="F38" t="inlineStr">
        <is>
          <t>Northwest Council</t>
        </is>
      </c>
      <c r="G38" t="inlineStr">
        <is>
          <t>Cook</t>
        </is>
      </c>
      <c r="H38" t="inlineStr">
        <is>
          <t>Schaumburg</t>
        </is>
      </c>
      <c r="I38" t="inlineStr">
        <is>
          <t>3FXK479</t>
        </is>
      </c>
      <c r="J38" t="inlineStr">
        <is>
          <t>R-90-021-16</t>
        </is>
      </c>
      <c r="K38" t="inlineStr">
        <is>
          <t>Y400</t>
        </is>
      </c>
      <c r="L38" s="5" t="n">
        <v>1200000</v>
      </c>
      <c r="M38" t="inlineStr">
        <is>
          <t>No</t>
        </is>
      </c>
      <c r="N38" t="inlineStr">
        <is>
          <t>No</t>
        </is>
      </c>
      <c r="O38" t="inlineStr">
        <is>
          <t>No</t>
        </is>
      </c>
      <c r="P38" t="b">
        <v>1</v>
      </c>
      <c r="Q38" t="inlineStr">
        <is>
          <t>FFY2025</t>
        </is>
      </c>
      <c r="R38" t="inlineStr">
        <is>
          <t>FHWA Obligation</t>
        </is>
      </c>
    </row>
    <row r="39">
      <c r="A39" t="inlineStr">
        <is>
          <t>03-03-0102</t>
        </is>
      </c>
      <c r="B39" t="inlineStr">
        <is>
          <t>IL 62 Algonquin Rd from Plum Grove Rd to IL Route 53</t>
        </is>
      </c>
      <c r="C39" t="inlineStr">
        <is>
          <t>Add turn lanes, add through lane at intersection</t>
        </is>
      </c>
      <c r="D39" t="inlineStr">
        <is>
          <t>Road Modernization</t>
        </is>
      </c>
      <c r="E39" t="inlineStr">
        <is>
          <t>[H-AL] Highway/Road - Add Lanes, [H-INTRC] Highway/Road - Intersection Reconstruction, [H-RCNST] Highway/Road - Reconst with Change in Use or Width Of Lane, [S-MOD] Signals - Modernization</t>
        </is>
      </c>
      <c r="F39" t="inlineStr">
        <is>
          <t>Northwest Council</t>
        </is>
      </c>
      <c r="G39" t="inlineStr">
        <is>
          <t>Cook</t>
        </is>
      </c>
      <c r="H39" t="inlineStr">
        <is>
          <t>Schaumburg</t>
        </is>
      </c>
      <c r="I39" t="inlineStr">
        <is>
          <t>3FXK479</t>
        </is>
      </c>
      <c r="J39" t="inlineStr">
        <is>
          <t>R-90-021-16</t>
        </is>
      </c>
      <c r="K39" t="inlineStr">
        <is>
          <t>Y230</t>
        </is>
      </c>
      <c r="L39" s="5" t="n">
        <v>625000</v>
      </c>
      <c r="M39" t="inlineStr">
        <is>
          <t>No</t>
        </is>
      </c>
      <c r="N39" t="inlineStr">
        <is>
          <t>No</t>
        </is>
      </c>
      <c r="O39" t="inlineStr">
        <is>
          <t>No</t>
        </is>
      </c>
      <c r="P39" t="b">
        <v>1</v>
      </c>
      <c r="Q39" t="inlineStr">
        <is>
          <t>FFY2025</t>
        </is>
      </c>
      <c r="R39" t="inlineStr">
        <is>
          <t>FHWA Obligation</t>
        </is>
      </c>
    </row>
    <row r="40">
      <c r="A40" t="inlineStr">
        <is>
          <t>03-06-0006</t>
        </is>
      </c>
      <c r="B40" t="inlineStr">
        <is>
          <t>IL 62 Algonquin Rd at New Wilke Rd</t>
        </is>
      </c>
      <c r="C40" t="inlineStr">
        <is>
          <t>Reconstruction of IL 62 @ New Wilke intersection, lengthening of left turn storage bays, addition of westbound right turn lane, possible addition of eastbound left turn lane, traffic signal modernization including pedestrian countdown timers, addition of shared use path on east side of New Wilke.</t>
        </is>
      </c>
      <c r="D40" t="inlineStr">
        <is>
          <t>Intersection/Interchange Improvements</t>
        </is>
      </c>
      <c r="E40" t="inlineStr">
        <is>
          <t>[E-ADAIMP] Improve ADA Infrastructure (Roadway), [E-PEDIMP] Improve Pedestrian Facility, [E-SharedNew] New Shared Use Path, [H-INTIMP] Highway/Road - Intersection Improvement, [H-INTRC] Highway/Road - Intersection Reconstruction, [S-MOD] Signals - Modernization, [S-TIM] Signals - Interconnects And Timing</t>
        </is>
      </c>
      <c r="F40" t="inlineStr">
        <is>
          <t>Northwest Council</t>
        </is>
      </c>
      <c r="G40" t="inlineStr">
        <is>
          <t>Cook</t>
        </is>
      </c>
      <c r="H40" t="inlineStr">
        <is>
          <t>Arlington Heights, Rolling Meadows</t>
        </is>
      </c>
      <c r="I40" t="inlineStr">
        <is>
          <t>GTPH008</t>
        </is>
      </c>
      <c r="J40" t="inlineStr">
        <is>
          <t>D-91-091-22</t>
        </is>
      </c>
      <c r="K40" t="inlineStr">
        <is>
          <t>Y230</t>
        </is>
      </c>
      <c r="L40" s="5" t="n">
        <v>152000</v>
      </c>
      <c r="M40" t="inlineStr">
        <is>
          <t>Yes</t>
        </is>
      </c>
      <c r="N40" t="inlineStr">
        <is>
          <t>Yes</t>
        </is>
      </c>
      <c r="O40" t="inlineStr">
        <is>
          <t>No</t>
        </is>
      </c>
      <c r="P40" t="b">
        <v>1</v>
      </c>
      <c r="Q40" t="inlineStr">
        <is>
          <t>FFY2025</t>
        </is>
      </c>
      <c r="R40" t="inlineStr">
        <is>
          <t>FHWA Obligation</t>
        </is>
      </c>
    </row>
    <row r="41">
      <c r="A41" t="inlineStr">
        <is>
          <t>03-06-0006</t>
        </is>
      </c>
      <c r="B41" t="inlineStr">
        <is>
          <t>IL 62 Algonquin Rd at New Wilke Rd</t>
        </is>
      </c>
      <c r="C41" t="inlineStr">
        <is>
          <t>Reconstruction of IL 62 @ New Wilke intersection, lengthening of left turn storage bays, addition of westbound right turn lane, possible addition of eastbound left turn lane, traffic signal modernization including pedestrian countdown timers, addition of shared use path on east side of New Wilke.</t>
        </is>
      </c>
      <c r="D41" t="inlineStr">
        <is>
          <t>Intersection/Interchange Improvements</t>
        </is>
      </c>
      <c r="E41" t="inlineStr">
        <is>
          <t>[E-ADAIMP] Improve ADA Infrastructure (Roadway), [E-PEDIMP] Improve Pedestrian Facility, [E-SharedNew] New Shared Use Path, [H-INTIMP] Highway/Road - Intersection Improvement, [H-INTRC] Highway/Road - Intersection Reconstruction, [S-MOD] Signals - Modernization, [S-TIM] Signals - Interconnects And Timing</t>
        </is>
      </c>
      <c r="F41" t="inlineStr">
        <is>
          <t>Northwest Council</t>
        </is>
      </c>
      <c r="G41" t="inlineStr">
        <is>
          <t>Cook</t>
        </is>
      </c>
      <c r="H41" t="inlineStr">
        <is>
          <t>Arlington Heights, Rolling Meadows</t>
        </is>
      </c>
      <c r="I41" t="inlineStr">
        <is>
          <t>PD79015</t>
        </is>
      </c>
      <c r="J41" t="inlineStr">
        <is>
          <t>C-91-102-22</t>
        </is>
      </c>
      <c r="K41" t="inlineStr">
        <is>
          <t>Y230</t>
        </is>
      </c>
      <c r="L41" s="5" t="n">
        <v>2956000</v>
      </c>
      <c r="M41" t="inlineStr">
        <is>
          <t>Yes</t>
        </is>
      </c>
      <c r="N41" t="inlineStr">
        <is>
          <t>Yes</t>
        </is>
      </c>
      <c r="O41" t="inlineStr">
        <is>
          <t>No</t>
        </is>
      </c>
      <c r="P41" t="b">
        <v>1</v>
      </c>
      <c r="Q41" t="inlineStr">
        <is>
          <t>FFY2025</t>
        </is>
      </c>
      <c r="R41" t="inlineStr">
        <is>
          <t>FHWA Obligation</t>
        </is>
      </c>
    </row>
    <row r="42">
      <c r="A42" t="inlineStr">
        <is>
          <t>03-09-0073</t>
        </is>
      </c>
      <c r="B42" t="inlineStr">
        <is>
          <t>IL 19 Irving Park Road from Schaumburg Road to Bartlett Road</t>
        </is>
      </c>
      <c r="C42" t="inlineStr">
        <is>
          <t>Widening and reconstruction, intersection improvements, add lighting</t>
        </is>
      </c>
      <c r="D42" t="inlineStr">
        <is>
          <t>Road Expansion</t>
        </is>
      </c>
      <c r="E42" t="inlineStr">
        <is>
          <t>[A-LTS] Safety - Lighting, [A-PMRK] Safety - Pavement Marking, [E-ADAIMP] Improve ADA Infrastructure (Roadway), [E-ADANEW] New ADA Infrastructure (Roadway), [E-PEDIMP] Improve Pedestrian Facility, [E- SharedNew] New Shared Use Path, [H-AL] Highway/Road - Add Lanes, [H- C/G] Highway/Road - Curb And Gutter, [H-CLTL] Highway/Road - Continuous Bi-Directional Turn Lanes, [H-INTRC] Highway/Road - Intersection Reconstruction, [H-RS] Highway/Road - Resurface (with No Lane Widening), [S-MOD] Signals - Modernization</t>
        </is>
      </c>
      <c r="F42" t="inlineStr">
        <is>
          <t>Northwest Council</t>
        </is>
      </c>
      <c r="G42" t="inlineStr">
        <is>
          <t>Cook</t>
        </is>
      </c>
      <c r="H42" t="inlineStr">
        <is>
          <t>Streamwood</t>
        </is>
      </c>
      <c r="I42" t="inlineStr">
        <is>
          <t>B7KQ664</t>
        </is>
      </c>
      <c r="J42" t="inlineStr">
        <is>
          <t>C-91-187-21</t>
        </is>
      </c>
      <c r="K42" t="inlineStr">
        <is>
          <t>Y230</t>
        </is>
      </c>
      <c r="L42" s="5" t="n">
        <v>3150000</v>
      </c>
      <c r="M42" t="inlineStr">
        <is>
          <t>Yes</t>
        </is>
      </c>
      <c r="N42" t="inlineStr">
        <is>
          <t>Yes</t>
        </is>
      </c>
      <c r="O42" t="inlineStr">
        <is>
          <t>Yes</t>
        </is>
      </c>
      <c r="P42" t="b">
        <v>1</v>
      </c>
      <c r="Q42" t="inlineStr">
        <is>
          <t>FFY2025</t>
        </is>
      </c>
      <c r="R42" t="inlineStr">
        <is>
          <t>FHWA Obligation</t>
        </is>
      </c>
    </row>
    <row r="43">
      <c r="A43" t="inlineStr">
        <is>
          <t>03-09-0073</t>
        </is>
      </c>
      <c r="B43" t="inlineStr">
        <is>
          <t>IL 19 Irving Park Road from Schaumburg Road to Bartlett Road</t>
        </is>
      </c>
      <c r="C43" t="inlineStr">
        <is>
          <t>Widening and reconstruction, intersection improvements, add lighting</t>
        </is>
      </c>
      <c r="D43" t="inlineStr">
        <is>
          <t>Road Expansion</t>
        </is>
      </c>
      <c r="E43" t="inlineStr">
        <is>
          <t>[A-LTS] Safety - Lighting, [A-PMRK] Safety - Pavement Marking, [E-ADAIMP] Improve ADA Infrastructure (Roadway), [E-ADANEW] New ADA Infrastructure (Roadway), [E-PEDIMP] Improve Pedestrian Facility, [E- SharedNew] New Shared Use Path, [H-AL] Highway/Road - Add Lanes, [H- C/G] Highway/Road - Curb And Gutter, [H-CLTL] Highway/Road - Continuous Bi-Directional Turn Lanes, [H-INTRC] Highway/Road - Intersection Reconstruction, [H-RS] Highway/Road - Resurface (with No Lane Widening), [S-MOD] Signals - Modernization</t>
        </is>
      </c>
      <c r="F43" t="inlineStr">
        <is>
          <t>Northwest Council</t>
        </is>
      </c>
      <c r="G43" t="inlineStr">
        <is>
          <t>Cook</t>
        </is>
      </c>
      <c r="H43" t="inlineStr">
        <is>
          <t>Streamwood</t>
        </is>
      </c>
      <c r="I43" t="inlineStr">
        <is>
          <t>P8VI787</t>
        </is>
      </c>
      <c r="J43" t="inlineStr">
        <is>
          <t>D-91-387-20</t>
        </is>
      </c>
      <c r="K43" t="inlineStr">
        <is>
          <t>L23E</t>
        </is>
      </c>
      <c r="L43" s="5" t="n">
        <v>29601</v>
      </c>
      <c r="M43" t="inlineStr">
        <is>
          <t>Yes</t>
        </is>
      </c>
      <c r="N43" t="inlineStr">
        <is>
          <t>Yes</t>
        </is>
      </c>
      <c r="O43" t="inlineStr">
        <is>
          <t>Yes</t>
        </is>
      </c>
      <c r="P43" t="b">
        <v>1</v>
      </c>
      <c r="Q43" t="inlineStr">
        <is>
          <t>FFY2025</t>
        </is>
      </c>
      <c r="R43" t="inlineStr">
        <is>
          <t>FHWA Obligation</t>
        </is>
      </c>
    </row>
    <row r="44">
      <c r="A44" t="inlineStr">
        <is>
          <t>03-12-0016</t>
        </is>
      </c>
      <c r="B44" t="inlineStr">
        <is>
          <t>IL 58 Golf Rd from E of Rohrssen Rd to W of Barrington Rd and at Barrington Rd.</t>
        </is>
      </c>
      <c r="C44" t="inlineStr">
        <is>
          <t>Intersection Improvement, Traffic Signal Modernization, milled rumble strip, ADA Improvements</t>
        </is>
      </c>
      <c r="D44" t="inlineStr">
        <is>
          <t>Road Modernization</t>
        </is>
      </c>
      <c r="E44" t="inlineStr">
        <is>
          <t>[E-ADAIMP] Improve ADA Infrastructure (Roadway), [H-INTIMP] Highway/Road - Intersection Improvement, [S-MOD] Signals - Modernization, [Z-OTHEX] Miscellaneous - Exempt Projects</t>
        </is>
      </c>
      <c r="F44" t="inlineStr">
        <is>
          <t>IDOT D1 Hwys</t>
        </is>
      </c>
      <c r="G44" t="inlineStr">
        <is>
          <t>Cook</t>
        </is>
      </c>
      <c r="H44" t="inlineStr">
        <is>
          <t>Hoffman Estates</t>
        </is>
      </c>
      <c r="I44" t="inlineStr">
        <is>
          <t>UCZX187</t>
        </is>
      </c>
      <c r="J44" t="inlineStr">
        <is>
          <t>C-91-186-21</t>
        </is>
      </c>
      <c r="K44" t="inlineStr">
        <is>
          <t>ZS30</t>
        </is>
      </c>
      <c r="L44" s="5" t="n">
        <v>1949828</v>
      </c>
      <c r="M44" t="inlineStr">
        <is>
          <t>Yes</t>
        </is>
      </c>
      <c r="N44" t="inlineStr">
        <is>
          <t>Yes</t>
        </is>
      </c>
      <c r="O44" t="inlineStr">
        <is>
          <t>No</t>
        </is>
      </c>
      <c r="P44" t="b">
        <v>1</v>
      </c>
      <c r="Q44" t="inlineStr">
        <is>
          <t>FFY2025</t>
        </is>
      </c>
      <c r="R44" t="inlineStr">
        <is>
          <t>FHWA Obligation</t>
        </is>
      </c>
    </row>
    <row r="45">
      <c r="A45" t="inlineStr">
        <is>
          <t>03-12-0016</t>
        </is>
      </c>
      <c r="B45" t="inlineStr">
        <is>
          <t>IL 58 Golf Rd from E of Rohrssen Rd to W of Barrington Rd and at Barrington Rd.</t>
        </is>
      </c>
      <c r="C45" t="inlineStr">
        <is>
          <t>Intersection Improvement, Traffic Signal Modernization, milled rumble strip, ADA Improvements</t>
        </is>
      </c>
      <c r="D45" t="inlineStr">
        <is>
          <t>Road Modernization</t>
        </is>
      </c>
      <c r="E45" t="inlineStr">
        <is>
          <t>[E-ADAIMP] Improve ADA Infrastructure (Roadway), [H-INTIMP] Highway/Road - Intersection Improvement, [S-MOD] Signals - Modernization, [Z-OTHEX] Miscellaneous - Exempt Projects</t>
        </is>
      </c>
      <c r="F45" t="inlineStr">
        <is>
          <t>IDOT D1 Hwys</t>
        </is>
      </c>
      <c r="G45" t="inlineStr">
        <is>
          <t>Cook</t>
        </is>
      </c>
      <c r="H45" t="inlineStr">
        <is>
          <t>Hoffman Estates</t>
        </is>
      </c>
      <c r="I45" t="inlineStr">
        <is>
          <t>UCZX187</t>
        </is>
      </c>
      <c r="J45" t="inlineStr">
        <is>
          <t>C-91-186-21</t>
        </is>
      </c>
      <c r="K45" t="inlineStr">
        <is>
          <t>ZS3E</t>
        </is>
      </c>
      <c r="L45" s="5" t="n">
        <v>1895172</v>
      </c>
      <c r="M45" t="inlineStr">
        <is>
          <t>Yes</t>
        </is>
      </c>
      <c r="N45" t="inlineStr">
        <is>
          <t>Yes</t>
        </is>
      </c>
      <c r="O45" t="inlineStr">
        <is>
          <t>No</t>
        </is>
      </c>
      <c r="P45" t="b">
        <v>1</v>
      </c>
      <c r="Q45" t="inlineStr">
        <is>
          <t>FFY2025</t>
        </is>
      </c>
      <c r="R45" t="inlineStr">
        <is>
          <t>FHWA Obligation</t>
        </is>
      </c>
    </row>
    <row r="46">
      <c r="A46" t="inlineStr">
        <is>
          <t>03-12-0016</t>
        </is>
      </c>
      <c r="B46" t="inlineStr">
        <is>
          <t>IL 58 Golf Rd from E of Rohrssen Rd to W of Barrington Rd and at Barrington Rd.</t>
        </is>
      </c>
      <c r="C46" t="inlineStr">
        <is>
          <t>Intersection Improvement, Traffic Signal Modernization, milled rumble strip, ADA Improvements</t>
        </is>
      </c>
      <c r="D46" t="inlineStr">
        <is>
          <t>Road Modernization</t>
        </is>
      </c>
      <c r="E46" t="inlineStr">
        <is>
          <t>[E-ADAIMP] Improve ADA Infrastructure (Roadway), [H-INTIMP] Highway/Road - Intersection Improvement, [S-MOD] Signals - Modernization, [Z-OTHEX] Miscellaneous - Exempt Projects</t>
        </is>
      </c>
      <c r="F46" t="inlineStr">
        <is>
          <t>IDOT D1 Hwys</t>
        </is>
      </c>
      <c r="G46" t="inlineStr">
        <is>
          <t>Cook</t>
        </is>
      </c>
      <c r="H46" t="inlineStr">
        <is>
          <t>Hoffman Estates</t>
        </is>
      </c>
      <c r="I46" t="inlineStr">
        <is>
          <t>UCZX187</t>
        </is>
      </c>
      <c r="J46" t="inlineStr">
        <is>
          <t>C-91-186-21</t>
        </is>
      </c>
      <c r="K46" t="inlineStr">
        <is>
          <t>MS3E</t>
        </is>
      </c>
      <c r="L46" s="5" t="n">
        <v>96707</v>
      </c>
      <c r="M46" t="inlineStr">
        <is>
          <t>Yes</t>
        </is>
      </c>
      <c r="N46" t="inlineStr">
        <is>
          <t>Yes</t>
        </is>
      </c>
      <c r="O46" t="inlineStr">
        <is>
          <t>No</t>
        </is>
      </c>
      <c r="P46" t="b">
        <v>1</v>
      </c>
      <c r="Q46" t="inlineStr">
        <is>
          <t>FFY2025</t>
        </is>
      </c>
      <c r="R46" t="inlineStr">
        <is>
          <t>FHWA Obligation</t>
        </is>
      </c>
    </row>
    <row r="47">
      <c r="A47" t="inlineStr">
        <is>
          <t>03-12-0016</t>
        </is>
      </c>
      <c r="B47" t="inlineStr">
        <is>
          <t>IL 58 Golf Rd from E of Rohrssen Rd to W of Barrington Rd and at Barrington Rd.</t>
        </is>
      </c>
      <c r="C47" t="inlineStr">
        <is>
          <t>Intersection Improvement, Traffic Signal Modernization, milled rumble strip, ADA Improvements</t>
        </is>
      </c>
      <c r="D47" t="inlineStr">
        <is>
          <t>Road Modernization</t>
        </is>
      </c>
      <c r="E47" t="inlineStr">
        <is>
          <t>[E-ADAIMP] Improve ADA Infrastructure (Roadway), [H-INTIMP] Highway/Road - Intersection Improvement, [S-MOD] Signals - Modernization, [Z-OTHEX] Miscellaneous - Exempt Projects</t>
        </is>
      </c>
      <c r="F47" t="inlineStr">
        <is>
          <t>IDOT D1 Hwys</t>
        </is>
      </c>
      <c r="G47" t="inlineStr">
        <is>
          <t>Cook</t>
        </is>
      </c>
      <c r="H47" t="inlineStr">
        <is>
          <t>Hoffman Estates</t>
        </is>
      </c>
      <c r="I47" t="inlineStr">
        <is>
          <t>UCZX187</t>
        </is>
      </c>
      <c r="J47" t="inlineStr">
        <is>
          <t>C-91-186-21</t>
        </is>
      </c>
      <c r="K47" t="inlineStr">
        <is>
          <t>YS30</t>
        </is>
      </c>
      <c r="L47" s="5" t="n">
        <v>2460858</v>
      </c>
      <c r="M47" t="inlineStr">
        <is>
          <t>Yes</t>
        </is>
      </c>
      <c r="N47" t="inlineStr">
        <is>
          <t>Yes</t>
        </is>
      </c>
      <c r="O47" t="inlineStr">
        <is>
          <t>No</t>
        </is>
      </c>
      <c r="P47" t="b">
        <v>1</v>
      </c>
      <c r="Q47" t="inlineStr">
        <is>
          <t>FFY2025</t>
        </is>
      </c>
      <c r="R47" t="inlineStr">
        <is>
          <t>FHWA Obligation</t>
        </is>
      </c>
    </row>
    <row r="48">
      <c r="A48" t="inlineStr">
        <is>
          <t>03-16-0015</t>
        </is>
      </c>
      <c r="B48" t="inlineStr">
        <is>
          <t>Roselle Rd from Central Rd to Hillcrest Blvd</t>
        </is>
      </c>
      <c r="C48" t="inlineStr">
        <is>
          <t>Includes new path using existing bridge over I-90/Jane Addams and new bridge for shared use path over Central Road to Paul Douglass Forest Preserve</t>
        </is>
      </c>
      <c r="D48" t="inlineStr">
        <is>
          <t>Bicycle &amp; Pedestrian</t>
        </is>
      </c>
      <c r="E48" t="inlineStr">
        <is>
          <t>[E-SharedNew] New Shared Use Path</t>
        </is>
      </c>
      <c r="F48" t="inlineStr">
        <is>
          <t>Northwest Council</t>
        </is>
      </c>
      <c r="G48" t="inlineStr">
        <is>
          <t>Cook</t>
        </is>
      </c>
      <c r="H48" t="inlineStr">
        <is>
          <t>Schaumburg</t>
        </is>
      </c>
      <c r="I48" t="inlineStr">
        <is>
          <t>U2M9501</t>
        </is>
      </c>
      <c r="J48" t="inlineStr">
        <is>
          <t>C-91-211-16</t>
        </is>
      </c>
      <c r="K48" t="inlineStr">
        <is>
          <t>Y240</t>
        </is>
      </c>
      <c r="L48" s="5" t="n">
        <v>516000</v>
      </c>
      <c r="M48" t="inlineStr">
        <is>
          <t>Yes</t>
        </is>
      </c>
      <c r="N48" t="inlineStr">
        <is>
          <t>No</t>
        </is>
      </c>
      <c r="O48" t="inlineStr">
        <is>
          <t>No</t>
        </is>
      </c>
      <c r="P48" t="b">
        <v>1</v>
      </c>
      <c r="Q48" t="inlineStr">
        <is>
          <t>FFY2025</t>
        </is>
      </c>
      <c r="R48" t="inlineStr">
        <is>
          <t>FHWA Obligation</t>
        </is>
      </c>
    </row>
    <row r="49">
      <c r="A49" t="inlineStr">
        <is>
          <t>03-18-0014</t>
        </is>
      </c>
      <c r="B49" t="inlineStr">
        <is>
          <t>Busse Hwy - US 14 (Miner St) to Touhy Ave</t>
        </is>
      </c>
      <c r="C49" t="inlineStr">
        <is>
          <t>Resurfacing (3P), ADA Improvements, removing a travel lane in each direction to accommodate the addition of on street bicycle lanes, Intersection Improvements</t>
        </is>
      </c>
      <c r="D49" t="inlineStr">
        <is>
          <t>Road Maintenance</t>
        </is>
      </c>
      <c r="E49" t="inlineStr">
        <is>
          <t>[E-ADAMAINT] Maintain/Repair ADA Infrastructure (Roadway), [E- BIKENEW] New Bicycle Facility, [H-CLTL] Highway/Road - Continuous Bi- Directional Turn Lanes, [H-INTIMP] Highway/Road - Intersection Improvement, [H-RL] Highway/Road - Remove Lanes, [H-RS] Highway/Road - Resurface (with No Lane Widening), [P-MAINT] Parking - Maintain, Rehabilitate, Replace Commuter Parking, [S-MOD] Signals - Modernization</t>
        </is>
      </c>
      <c r="F49" t="inlineStr">
        <is>
          <t>IDOT D1 Hwys</t>
        </is>
      </c>
      <c r="G49" t="inlineStr">
        <is>
          <t>Cook</t>
        </is>
      </c>
      <c r="H49" t="inlineStr">
        <is>
          <t>Des Plaines, Park Ridge</t>
        </is>
      </c>
      <c r="I49" t="inlineStr">
        <is>
          <t>37V7145</t>
        </is>
      </c>
      <c r="J49" t="inlineStr">
        <is>
          <t>C-91-179-18</t>
        </is>
      </c>
      <c r="K49" t="inlineStr">
        <is>
          <t>Y230</t>
        </is>
      </c>
      <c r="L49" s="5" t="n">
        <v>4621448</v>
      </c>
      <c r="M49" t="inlineStr">
        <is>
          <t>Yes</t>
        </is>
      </c>
      <c r="N49" t="inlineStr">
        <is>
          <t>Yes</t>
        </is>
      </c>
      <c r="O49" t="inlineStr">
        <is>
          <t>No</t>
        </is>
      </c>
      <c r="P49" t="b">
        <v>1</v>
      </c>
      <c r="Q49" t="inlineStr">
        <is>
          <t>FFY2025</t>
        </is>
      </c>
      <c r="R49" t="inlineStr">
        <is>
          <t>FHWA Obligation</t>
        </is>
      </c>
    </row>
    <row r="50">
      <c r="A50" t="inlineStr">
        <is>
          <t>03-19-0002</t>
        </is>
      </c>
      <c r="B50" t="inlineStr">
        <is>
          <t>Ill 53 - Lake-Cook Rd to Ill 62 (Algonquin Rd) and S of US 12 (Rand Rd) to Ill 72 (Higgins Rd), At I-90 (Jane Addams Memorial Tollway), Ill 58 (Golf Rd) &amp; Woodfield Rd</t>
        </is>
      </c>
      <c r="C50" t="inlineStr">
        <is>
          <t>Bridge New Deck, Bridge Superstructure Replace, Retaining Wall, Shoulder Reconstruction, Miscellaneous, Bridge Superstructure Rehab, Bridge Repair, Bridge Replacement, Standard Overlay, Traffic Signal Modernization, Lighting, Bridge Joint Replace/Repair, Bridge Deck Overlay, Smart Overlay</t>
        </is>
      </c>
      <c r="D50" t="inlineStr">
        <is>
          <t>Bridge Repair, Rehab, or Replace</t>
        </is>
      </c>
      <c r="E50" t="inlineStr">
        <is>
          <t>[A-BAR] Safety - Barriers, [A-LTS] Safety - Lighting, [A-SHDR] Safety - Shoulder Improvements, [B-OVR] Bridge Deck - Overlay, [B-PNT] Bridge/Structure - Paint, [B-REPAIR] Bridge/Structure - Reconst/Rehab No Chng in #, Wdth, or Lane, [B-REPLACE] Bridge/Structure - Replace, [B-SUP] Bridge Superstructure - Repair/Rehab, [E-ADAMAINT] Maintain/Repair ADA Infrastructure (Roadway), [H-RS] Highway/Road - Resurface (with No Lane Widening), [S-MOD] Signals - Modernization, [Z-OTHEX] Miscellaneous - Exempt Projects</t>
        </is>
      </c>
      <c r="F50" t="inlineStr">
        <is>
          <t>IDOT D1 Hwys</t>
        </is>
      </c>
      <c r="G50" t="inlineStr">
        <is>
          <t>Cook</t>
        </is>
      </c>
      <c r="H50" t="inlineStr">
        <is>
          <t>Arlington Heights, Palatine, Rolling Meadows</t>
        </is>
      </c>
      <c r="I50" t="inlineStr">
        <is>
          <t>8Z8C183</t>
        </is>
      </c>
      <c r="J50" t="inlineStr">
        <is>
          <t>C-91-123-24</t>
        </is>
      </c>
      <c r="K50" t="inlineStr">
        <is>
          <t>Y001</t>
        </is>
      </c>
      <c r="L50" s="5" t="n">
        <v>9696318</v>
      </c>
      <c r="M50" t="inlineStr">
        <is>
          <t>Yes</t>
        </is>
      </c>
      <c r="N50" t="inlineStr">
        <is>
          <t>Yes</t>
        </is>
      </c>
      <c r="O50" t="inlineStr">
        <is>
          <t>Yes</t>
        </is>
      </c>
      <c r="P50" t="b">
        <v>1</v>
      </c>
      <c r="Q50" t="inlineStr">
        <is>
          <t>FFY2025</t>
        </is>
      </c>
      <c r="R50" t="inlineStr">
        <is>
          <t>FHWA Obligation</t>
        </is>
      </c>
    </row>
    <row r="51">
      <c r="A51" t="inlineStr">
        <is>
          <t>03-19-0002</t>
        </is>
      </c>
      <c r="B51" t="inlineStr">
        <is>
          <t>Ill 53 - Lake-Cook Rd to Ill 62 (Algonquin Rd) and S of US 12 (Rand Rd) to Ill 72 (Higgins Rd), At I-90 (Jane Addams Memorial Tollway), Ill 58 (Golf Rd) &amp; Woodfield Rd</t>
        </is>
      </c>
      <c r="C51" t="inlineStr">
        <is>
          <t>Bridge New Deck, Bridge Superstructure Replace, Retaining Wall, Shoulder Reconstruction, Miscellaneous, Bridge Superstructure Rehab, Bridge Repair, Bridge Replacement, Standard Overlay, Traffic Signal Modernization, Lighting, Bridge Joint Replace/Repair, Bridge Deck Overlay, Smart Overlay</t>
        </is>
      </c>
      <c r="D51" t="inlineStr">
        <is>
          <t>Bridge Repair, Rehab, or Replace</t>
        </is>
      </c>
      <c r="E51" t="inlineStr">
        <is>
          <t>[A-BAR] Safety - Barriers, [A-LTS] Safety - Lighting, [A-SHDR] Safety - Shoulder Improvements, [B-OVR] Bridge Deck - Overlay, [B-PNT] Bridge/Structure - Paint, [B-REPAIR] Bridge/Structure - Reconst/Rehab No Chng in #, Wdth, or Lane, [B-REPLACE] Bridge/Structure - Replace, [B-SUP] Bridge Superstructure - Repair/Rehab, [E-ADAMAINT] Maintain/Repair ADA Infrastructure (Roadway), [H-RS] Highway/Road - Resurface (with No Lane Widening), [S-MOD] Signals - Modernization, [Z-OTHEX] Miscellaneous - Exempt Projects</t>
        </is>
      </c>
      <c r="F51" t="inlineStr">
        <is>
          <t>IDOT D1 Hwys</t>
        </is>
      </c>
      <c r="G51" t="inlineStr">
        <is>
          <t>Cook</t>
        </is>
      </c>
      <c r="H51" t="inlineStr">
        <is>
          <t>Arlington Heights, Palatine, Rolling Meadows</t>
        </is>
      </c>
      <c r="I51" t="inlineStr">
        <is>
          <t>BRWL799</t>
        </is>
      </c>
      <c r="J51" t="inlineStr">
        <is>
          <t>C-91-136-24</t>
        </is>
      </c>
      <c r="K51" t="inlineStr">
        <is>
          <t>Y001</t>
        </is>
      </c>
      <c r="L51" s="5" t="n">
        <v>34631474</v>
      </c>
      <c r="M51" t="inlineStr">
        <is>
          <t>Yes</t>
        </is>
      </c>
      <c r="N51" t="inlineStr">
        <is>
          <t>Yes</t>
        </is>
      </c>
      <c r="O51" t="inlineStr">
        <is>
          <t>Yes</t>
        </is>
      </c>
      <c r="P51" t="b">
        <v>1</v>
      </c>
      <c r="Q51" t="inlineStr">
        <is>
          <t>FFY2025</t>
        </is>
      </c>
      <c r="R51" t="inlineStr">
        <is>
          <t>FHWA Obligation</t>
        </is>
      </c>
    </row>
    <row r="52">
      <c r="A52" t="inlineStr">
        <is>
          <t>03-19-0002</t>
        </is>
      </c>
      <c r="B52" t="inlineStr">
        <is>
          <t>Ill 53 - Lake-Cook Rd to Ill 62 (Algonquin Rd) and S of US 12 (Rand Rd) to Ill 72 (Higgins Rd), At I-90 (Jane Addams Memorial Tollway), Ill 58 (Golf Rd) &amp; Woodfield Rd</t>
        </is>
      </c>
      <c r="C52" t="inlineStr">
        <is>
          <t>Bridge New Deck, Bridge Superstructure Replace, Retaining Wall, Shoulder Reconstruction, Miscellaneous, Bridge Superstructure Rehab, Bridge Repair, Bridge Replacement, Standard Overlay, Traffic Signal Modernization, Lighting, Bridge Joint Replace/Repair, Bridge Deck Overlay, Smart Overlay</t>
        </is>
      </c>
      <c r="D52" t="inlineStr">
        <is>
          <t>Bridge Repair, Rehab, or Replace</t>
        </is>
      </c>
      <c r="E52" t="inlineStr">
        <is>
          <t>[A-BAR] Safety - Barriers, [A-LTS] Safety - Lighting, [A-SHDR] Safety - Shoulder Improvements, [B-OVR] Bridge Deck - Overlay, [B-PNT] Bridge/Structure - Paint, [B-REPAIR] Bridge/Structure - Reconst/Rehab No Chng in #, Wdth, or Lane, [B-REPLACE] Bridge/Structure - Replace, [B-SUP] Bridge Superstructure - Repair/Rehab, [E-ADAMAINT] Maintain/Repair ADA Infrastructure (Roadway), [H-RS] Highway/Road - Resurface (with No Lane Widening), [S-MOD] Signals - Modernization, [Z-OTHEX] Miscellaneous - Exempt Projects</t>
        </is>
      </c>
      <c r="F52" t="inlineStr">
        <is>
          <t>IDOT D1 Hwys</t>
        </is>
      </c>
      <c r="G52" t="inlineStr">
        <is>
          <t>Cook</t>
        </is>
      </c>
      <c r="H52" t="inlineStr">
        <is>
          <t>Arlington Heights, Palatine, Rolling Meadows</t>
        </is>
      </c>
      <c r="I52" t="inlineStr">
        <is>
          <t>Q9Z5435</t>
        </is>
      </c>
      <c r="J52" t="inlineStr">
        <is>
          <t>P-91-014-18</t>
        </is>
      </c>
      <c r="K52" t="inlineStr">
        <is>
          <t>Z001</t>
        </is>
      </c>
      <c r="L52" s="5" t="n">
        <v>16253</v>
      </c>
      <c r="M52" t="inlineStr">
        <is>
          <t>Yes</t>
        </is>
      </c>
      <c r="N52" t="inlineStr">
        <is>
          <t>Yes</t>
        </is>
      </c>
      <c r="O52" t="inlineStr">
        <is>
          <t>Yes</t>
        </is>
      </c>
      <c r="P52" t="b">
        <v>1</v>
      </c>
      <c r="Q52" t="inlineStr">
        <is>
          <t>FFY2025</t>
        </is>
      </c>
      <c r="R52" t="inlineStr">
        <is>
          <t>FHWA Obligation</t>
        </is>
      </c>
    </row>
    <row r="53">
      <c r="A53" t="inlineStr">
        <is>
          <t>03-19-0002</t>
        </is>
      </c>
      <c r="B53" t="inlineStr">
        <is>
          <t>Ill 53 - Lake-Cook Rd to Ill 62 (Algonquin Rd) and S of US 12 (Rand Rd) to Ill 72 (Higgins Rd), At I-90 (Jane Addams Memorial Tollway), Ill 58 (Golf Rd) &amp; Woodfield Rd</t>
        </is>
      </c>
      <c r="C53" t="inlineStr">
        <is>
          <t>Bridge New Deck, Bridge Superstructure Replace, Retaining Wall, Shoulder Reconstruction, Miscellaneous, Bridge Superstructure Rehab, Bridge Repair, Bridge Replacement, Standard Overlay, Traffic Signal Modernization, Lighting, Bridge Joint Replace/Repair, Bridge Deck Overlay, Smart Overlay</t>
        </is>
      </c>
      <c r="D53" t="inlineStr">
        <is>
          <t>Bridge Repair, Rehab, or Replace</t>
        </is>
      </c>
      <c r="E53" t="inlineStr">
        <is>
          <t>[A-BAR] Safety - Barriers, [A-LTS] Safety - Lighting, [A-SHDR] Safety - Shoulder Improvements, [B-OVR] Bridge Deck - Overlay, [B-PNT] Bridge/Structure - Paint, [B-REPAIR] Bridge/Structure - Reconst/Rehab No Chng in #, Wdth, or Lane, [B-REPLACE] Bridge/Structure - Replace, [B-SUP] Bridge Superstructure - Repair/Rehab, [E-ADAMAINT] Maintain/Repair ADA Infrastructure (Roadway), [H-RS] Highway/Road - Resurface (with No Lane Widening), [S-MOD] Signals - Modernization, [Z-OTHEX] Miscellaneous - Exempt Projects</t>
        </is>
      </c>
      <c r="F53" t="inlineStr">
        <is>
          <t>IDOT D1 Hwys</t>
        </is>
      </c>
      <c r="G53" t="inlineStr">
        <is>
          <t>Cook</t>
        </is>
      </c>
      <c r="H53" t="inlineStr">
        <is>
          <t>Arlington Heights, Palatine, Rolling Meadows</t>
        </is>
      </c>
      <c r="I53" t="inlineStr">
        <is>
          <t>Z450650</t>
        </is>
      </c>
      <c r="J53" t="inlineStr">
        <is>
          <t>C-91-172-21</t>
        </is>
      </c>
      <c r="K53" t="inlineStr">
        <is>
          <t>Y001</t>
        </is>
      </c>
      <c r="L53" s="5" t="n">
        <v>86904481</v>
      </c>
      <c r="M53" t="inlineStr">
        <is>
          <t>Yes</t>
        </is>
      </c>
      <c r="N53" t="inlineStr">
        <is>
          <t>Yes</t>
        </is>
      </c>
      <c r="O53" t="inlineStr">
        <is>
          <t>Yes</t>
        </is>
      </c>
      <c r="P53" t="b">
        <v>1</v>
      </c>
      <c r="Q53" t="inlineStr">
        <is>
          <t>FFY2025</t>
        </is>
      </c>
      <c r="R53" t="inlineStr">
        <is>
          <t>FHWA Obligation</t>
        </is>
      </c>
    </row>
    <row r="54">
      <c r="A54" t="inlineStr">
        <is>
          <t>03-19-0007</t>
        </is>
      </c>
      <c r="B54" t="inlineStr">
        <is>
          <t>Wellington and Leicester Culverts over Lake Cosman</t>
        </is>
      </c>
      <c r="C54" t="inlineStr">
        <is>
          <t>Replacement of Culverts on Wellington Ave and Leicester Rd over Lake Cosman</t>
        </is>
      </c>
      <c r="D54" t="inlineStr">
        <is>
          <t>Bridge Repair, Rehab, or Replace</t>
        </is>
      </c>
      <c r="E54" t="inlineStr">
        <is>
          <t>[H-CLVT] Highway/Road - Repair/Replace Culvert</t>
        </is>
      </c>
      <c r="F54" t="inlineStr">
        <is>
          <t>Northwest Council</t>
        </is>
      </c>
      <c r="G54" t="inlineStr">
        <is>
          <t>Cook</t>
        </is>
      </c>
      <c r="H54" t="inlineStr">
        <is>
          <t>Elk Grove Village</t>
        </is>
      </c>
      <c r="I54" t="inlineStr">
        <is>
          <t>373W497</t>
        </is>
      </c>
      <c r="J54" t="inlineStr">
        <is>
          <t>D-91-107-19</t>
        </is>
      </c>
      <c r="K54" t="inlineStr">
        <is>
          <t>Z2E3</t>
        </is>
      </c>
      <c r="L54" s="5" t="n">
        <v>205202</v>
      </c>
      <c r="M54" t="inlineStr">
        <is>
          <t>No</t>
        </is>
      </c>
      <c r="N54" t="inlineStr">
        <is>
          <t>No</t>
        </is>
      </c>
      <c r="O54" t="inlineStr">
        <is>
          <t>No</t>
        </is>
      </c>
      <c r="P54" t="b">
        <v>1</v>
      </c>
      <c r="Q54" t="inlineStr">
        <is>
          <t>FFY2025</t>
        </is>
      </c>
      <c r="R54" t="inlineStr">
        <is>
          <t>FHWA Obligation</t>
        </is>
      </c>
    </row>
    <row r="55">
      <c r="A55" t="inlineStr">
        <is>
          <t>03-19-0007</t>
        </is>
      </c>
      <c r="B55" t="inlineStr">
        <is>
          <t>Wellington and Leicester Culverts over Lake Cosman</t>
        </is>
      </c>
      <c r="C55" t="inlineStr">
        <is>
          <t>Replacement of Culverts on Wellington Ave and Leicester Rd over Lake Cosman</t>
        </is>
      </c>
      <c r="D55" t="inlineStr">
        <is>
          <t>Bridge Repair, Rehab, or Replace</t>
        </is>
      </c>
      <c r="E55" t="inlineStr">
        <is>
          <t>[H-CLVT] Highway/Road - Repair/Replace Culvert</t>
        </is>
      </c>
      <c r="F55" t="inlineStr">
        <is>
          <t>Northwest Council</t>
        </is>
      </c>
      <c r="G55" t="inlineStr">
        <is>
          <t>Cook</t>
        </is>
      </c>
      <c r="H55" t="inlineStr">
        <is>
          <t>Elk Grove Village</t>
        </is>
      </c>
      <c r="I55" t="inlineStr">
        <is>
          <t>373W497</t>
        </is>
      </c>
      <c r="J55" t="inlineStr">
        <is>
          <t>D-91-107-19</t>
        </is>
      </c>
      <c r="K55" t="inlineStr">
        <is>
          <t>Z233</t>
        </is>
      </c>
      <c r="L55" s="5" t="n">
        <v>564</v>
      </c>
      <c r="M55" t="inlineStr">
        <is>
          <t>No</t>
        </is>
      </c>
      <c r="N55" t="inlineStr">
        <is>
          <t>No</t>
        </is>
      </c>
      <c r="O55" t="inlineStr">
        <is>
          <t>No</t>
        </is>
      </c>
      <c r="P55" t="b">
        <v>1</v>
      </c>
      <c r="Q55" t="inlineStr">
        <is>
          <t>FFY2025</t>
        </is>
      </c>
      <c r="R55" t="inlineStr">
        <is>
          <t>FHWA Obligation</t>
        </is>
      </c>
    </row>
    <row r="56">
      <c r="A56" t="inlineStr">
        <is>
          <t>03-19-0007</t>
        </is>
      </c>
      <c r="B56" t="inlineStr">
        <is>
          <t>Wellington and Leicester Culverts over Lake Cosman</t>
        </is>
      </c>
      <c r="C56" t="inlineStr">
        <is>
          <t>Replacement of Culverts on Wellington Ave and Leicester Rd over Lake Cosman</t>
        </is>
      </c>
      <c r="D56" t="inlineStr">
        <is>
          <t>Bridge Repair, Rehab, or Replace</t>
        </is>
      </c>
      <c r="E56" t="inlineStr">
        <is>
          <t>[H-CLVT] Highway/Road - Repair/Replace Culvert</t>
        </is>
      </c>
      <c r="F56" t="inlineStr">
        <is>
          <t>Northwest Council</t>
        </is>
      </c>
      <c r="G56" t="inlineStr">
        <is>
          <t>Cook</t>
        </is>
      </c>
      <c r="H56" t="inlineStr">
        <is>
          <t>Elk Grove Village</t>
        </is>
      </c>
      <c r="I56" t="inlineStr">
        <is>
          <t>EDIJ468</t>
        </is>
      </c>
      <c r="J56" t="inlineStr">
        <is>
          <t>C-91-311-19</t>
        </is>
      </c>
      <c r="K56" t="inlineStr">
        <is>
          <t>Y120</t>
        </is>
      </c>
      <c r="L56" s="5" t="n">
        <v>3072000</v>
      </c>
      <c r="M56" t="inlineStr">
        <is>
          <t>No</t>
        </is>
      </c>
      <c r="N56" t="inlineStr">
        <is>
          <t>No</t>
        </is>
      </c>
      <c r="O56" t="inlineStr">
        <is>
          <t>No</t>
        </is>
      </c>
      <c r="P56" t="b">
        <v>1</v>
      </c>
      <c r="Q56" t="inlineStr">
        <is>
          <t>FFY2025</t>
        </is>
      </c>
      <c r="R56" t="inlineStr">
        <is>
          <t>FHWA Obligation</t>
        </is>
      </c>
    </row>
    <row r="57">
      <c r="A57" t="inlineStr">
        <is>
          <t>03-19-0011</t>
        </is>
      </c>
      <c r="B57" t="inlineStr">
        <is>
          <t>Rand-Central-Mount Prospect Road Intersections</t>
        </is>
      </c>
      <c r="C57" t="inlineStr">
        <is>
          <t>Improve mobility at the triangle intersections of Rand, Central, and Mount Prospect Roads by modifying access, adding turn lanes, and modernizing traffic signals</t>
        </is>
      </c>
      <c r="D57" t="inlineStr">
        <is>
          <t>Intersection/Interchange Improvements</t>
        </is>
      </c>
      <c r="E57" t="inlineStr">
        <is>
          <t>[E-ADAIMP] Improve ADA Infrastructure (Roadway), [E-ADANEW] New ADA Infrastructure (Roadway), [E-PEDIMP] Improve Pedestrian Facility, [E- PEDNEW] New Pedestrian Facility, [E-SharedModern] Improve Shared Path Facility, [E-SharedNew] New Shared Use Path, [H-C/G] Highway/Road - Curb And Gutter, [H-INTIMP] Highway/Road - Intersection Improvement, [H-RCNST] Highway/Road - Reconst with Change in Use or Width Of Lane, [S-ASNG] Signals - Add Signals At Single Intersection, [S-MOD] Signals - Modernization, [S-TIM] Signals - Interconnects And Timing</t>
        </is>
      </c>
      <c r="F57" t="inlineStr">
        <is>
          <t>Northwest Council</t>
        </is>
      </c>
      <c r="G57" t="inlineStr">
        <is>
          <t>Cook</t>
        </is>
      </c>
      <c r="H57" t="inlineStr">
        <is>
          <t>Mount Prospect</t>
        </is>
      </c>
      <c r="I57" t="inlineStr">
        <is>
          <t>0UBY034</t>
        </is>
      </c>
      <c r="J57" t="inlineStr">
        <is>
          <t>C-91-383-20</t>
        </is>
      </c>
      <c r="K57" t="inlineStr">
        <is>
          <t>Z400</t>
        </is>
      </c>
      <c r="L57" s="5" t="n">
        <v>125381</v>
      </c>
      <c r="M57" t="inlineStr">
        <is>
          <t>Yes</t>
        </is>
      </c>
      <c r="N57" t="inlineStr">
        <is>
          <t>Yes</t>
        </is>
      </c>
      <c r="O57" t="inlineStr">
        <is>
          <t>No</t>
        </is>
      </c>
      <c r="P57" t="b">
        <v>1</v>
      </c>
      <c r="Q57" t="inlineStr">
        <is>
          <t>FFY2025</t>
        </is>
      </c>
      <c r="R57" t="inlineStr">
        <is>
          <t>FHWA Obligation</t>
        </is>
      </c>
    </row>
    <row r="58">
      <c r="A58" t="inlineStr">
        <is>
          <t>03-19-0011</t>
        </is>
      </c>
      <c r="B58" t="inlineStr">
        <is>
          <t>Rand-Central-Mount Prospect Road Intersections</t>
        </is>
      </c>
      <c r="C58" t="inlineStr">
        <is>
          <t>Improve mobility at the triangle intersections of Rand, Central, and Mount Prospect Roads by modifying access, adding turn lanes, and modernizing traffic signals</t>
        </is>
      </c>
      <c r="D58" t="inlineStr">
        <is>
          <t>Intersection/Interchange Improvements</t>
        </is>
      </c>
      <c r="E58" t="inlineStr">
        <is>
          <t>[E-ADAIMP] Improve ADA Infrastructure (Roadway), [E-ADANEW] New ADA Infrastructure (Roadway), [E-PEDIMP] Improve Pedestrian Facility, [E- PEDNEW] New Pedestrian Facility, [E-SharedModern] Improve Shared Path Facility, [E-SharedNew] New Shared Use Path, [H-C/G] Highway/Road - Curb And Gutter, [H-INTIMP] Highway/Road - Intersection Improvement, [H-RCNST] Highway/Road - Reconst with Change in Use or Width Of Lane, [S-ASNG] Signals - Add Signals At Single Intersection, [S-MOD] Signals - Modernization, [S-TIM] Signals - Interconnects And Timing</t>
        </is>
      </c>
      <c r="F58" t="inlineStr">
        <is>
          <t>Northwest Council</t>
        </is>
      </c>
      <c r="G58" t="inlineStr">
        <is>
          <t>Cook</t>
        </is>
      </c>
      <c r="H58" t="inlineStr">
        <is>
          <t>Mount Prospect</t>
        </is>
      </c>
      <c r="I58" t="inlineStr">
        <is>
          <t>0UBY034</t>
        </is>
      </c>
      <c r="J58" t="inlineStr">
        <is>
          <t>C-91-383-20</t>
        </is>
      </c>
      <c r="K58" t="inlineStr">
        <is>
          <t>Y400</t>
        </is>
      </c>
      <c r="L58" s="5" t="n">
        <v>885901</v>
      </c>
      <c r="M58" t="inlineStr">
        <is>
          <t>Yes</t>
        </is>
      </c>
      <c r="N58" t="inlineStr">
        <is>
          <t>Yes</t>
        </is>
      </c>
      <c r="O58" t="inlineStr">
        <is>
          <t>No</t>
        </is>
      </c>
      <c r="P58" t="b">
        <v>1</v>
      </c>
      <c r="Q58" t="inlineStr">
        <is>
          <t>FFY2025</t>
        </is>
      </c>
      <c r="R58" t="inlineStr">
        <is>
          <t>FHWA Obligation</t>
        </is>
      </c>
    </row>
    <row r="59">
      <c r="A59" t="inlineStr">
        <is>
          <t>03-19-0020</t>
        </is>
      </c>
      <c r="B59" t="inlineStr">
        <is>
          <t>North Baldwin Rd over Buffalo Creek</t>
        </is>
      </c>
      <c r="C59" t="inlineStr">
        <is>
          <t>Replacement of culvert on North Baldwin Rd over Buffalo Creek</t>
        </is>
      </c>
      <c r="D59" t="inlineStr">
        <is>
          <t>Bridge Repair, Rehab, or Replace</t>
        </is>
      </c>
      <c r="E59" t="inlineStr">
        <is>
          <t>[B-REPLACE] Bridge/Structure - Replace, [E-ADAIMP] Improve ADA Infrastructure (Roadway), [E-BIKENEW] New Bicycle Facility, [H-CLVT] Highway/Road - Repair/Replace Culvert</t>
        </is>
      </c>
      <c r="F59" t="inlineStr">
        <is>
          <t>Northwest Council</t>
        </is>
      </c>
      <c r="G59" t="inlineStr">
        <is>
          <t>Cook</t>
        </is>
      </c>
      <c r="H59" t="inlineStr">
        <is>
          <t>Palatine</t>
        </is>
      </c>
      <c r="I59" t="inlineStr">
        <is>
          <t>9CYH164</t>
        </is>
      </c>
      <c r="J59" t="inlineStr">
        <is>
          <t>D-91-172-19</t>
        </is>
      </c>
      <c r="K59" t="inlineStr">
        <is>
          <t>Z2E3</t>
        </is>
      </c>
      <c r="L59" s="5" t="n">
        <v>126755</v>
      </c>
      <c r="M59" t="inlineStr">
        <is>
          <t>Yes</t>
        </is>
      </c>
      <c r="N59" t="inlineStr">
        <is>
          <t>Yes</t>
        </is>
      </c>
      <c r="O59" t="inlineStr">
        <is>
          <t>No</t>
        </is>
      </c>
      <c r="P59" t="b">
        <v>1</v>
      </c>
      <c r="Q59" t="inlineStr">
        <is>
          <t>FFY2025</t>
        </is>
      </c>
      <c r="R59" t="inlineStr">
        <is>
          <t>FHWA Obligation</t>
        </is>
      </c>
    </row>
    <row r="60">
      <c r="A60" t="inlineStr">
        <is>
          <t>03-19-0038</t>
        </is>
      </c>
      <c r="B60" t="inlineStr">
        <is>
          <t>Ill 68 Dundee Rd - E Branch Salt Creek 0.6 Mi E of Quentin Rd</t>
        </is>
      </c>
      <c r="C60" t="inlineStr">
        <is>
          <t>Left Turn Lanes, Culvert Replacement, Drainage</t>
        </is>
      </c>
      <c r="D60" t="inlineStr">
        <is>
          <t>Bridge Repair, Rehab, or Replace</t>
        </is>
      </c>
      <c r="E60" t="inlineStr">
        <is>
          <t>[H-CLVT] Highway/Road - Repair/Replace Culvert, [Z-OTHEX] Miscellaneous - Exempt Projects</t>
        </is>
      </c>
      <c r="F60" t="inlineStr">
        <is>
          <t>IDOT D1 Hwys</t>
        </is>
      </c>
      <c r="G60" t="inlineStr">
        <is>
          <t>Cook</t>
        </is>
      </c>
      <c r="H60" t="inlineStr">
        <is>
          <t>Palatine</t>
        </is>
      </c>
      <c r="I60" t="inlineStr">
        <is>
          <t>N4ZL479</t>
        </is>
      </c>
      <c r="J60" t="inlineStr">
        <is>
          <t>C-91-228-22</t>
        </is>
      </c>
      <c r="K60" t="inlineStr">
        <is>
          <t>Y001</t>
        </is>
      </c>
      <c r="L60" s="5" t="n">
        <v>2593120</v>
      </c>
      <c r="M60" t="inlineStr">
        <is>
          <t>No</t>
        </is>
      </c>
      <c r="N60" t="inlineStr">
        <is>
          <t>No</t>
        </is>
      </c>
      <c r="O60" t="inlineStr">
        <is>
          <t>No</t>
        </is>
      </c>
      <c r="P60" t="b">
        <v>1</v>
      </c>
      <c r="Q60" t="inlineStr">
        <is>
          <t>FFY2025</t>
        </is>
      </c>
      <c r="R60" t="inlineStr">
        <is>
          <t>FHWA Obligation</t>
        </is>
      </c>
    </row>
    <row r="61">
      <c r="A61" t="inlineStr">
        <is>
          <t>03-20-0032</t>
        </is>
      </c>
      <c r="B61" t="inlineStr">
        <is>
          <t>Tonne Rd-Devon Ave Intersection Resurfacing</t>
        </is>
      </c>
      <c r="C61" t="inlineStr">
        <is>
          <t>Resurfacing of Tonne Rd @ Devon Ave from approx 70 ft south of Center St to Driscoll Ln and 300 ft east of Bristol Ln to 480 ft west of Arthur Ave. Full depth patching and concrete curb and gutter repair where necessary, ADA improvements, pedestrian countdown timers.</t>
        </is>
      </c>
      <c r="D61" t="inlineStr">
        <is>
          <t>Road Modernization</t>
        </is>
      </c>
      <c r="E61" t="inlineStr">
        <is>
          <t>[E-ADAIMP] Improve ADA Infrastructure (Roadway), [H-C/G] Highway/Road - Curb And Gutter, [H-RS] Highway/Road - Resurface (with No Lane Widening)</t>
        </is>
      </c>
      <c r="F61" t="inlineStr">
        <is>
          <t>Northwest Council</t>
        </is>
      </c>
      <c r="G61" t="inlineStr">
        <is>
          <t>Cook</t>
        </is>
      </c>
      <c r="H61" t="inlineStr">
        <is>
          <t>Elk Grove Village</t>
        </is>
      </c>
      <c r="I61" t="inlineStr">
        <is>
          <t>K7DI517</t>
        </is>
      </c>
      <c r="J61" t="inlineStr">
        <is>
          <t>C-91-157-24</t>
        </is>
      </c>
      <c r="K61" t="inlineStr">
        <is>
          <t>Y230</t>
        </is>
      </c>
      <c r="L61" s="5" t="n">
        <v>745147</v>
      </c>
      <c r="M61" t="inlineStr">
        <is>
          <t>Yes</t>
        </is>
      </c>
      <c r="N61" t="inlineStr">
        <is>
          <t>Yes</t>
        </is>
      </c>
      <c r="O61" t="inlineStr">
        <is>
          <t>No</t>
        </is>
      </c>
      <c r="P61" t="b">
        <v>1</v>
      </c>
      <c r="Q61" t="inlineStr">
        <is>
          <t>FFY2025</t>
        </is>
      </c>
      <c r="R61" t="inlineStr">
        <is>
          <t>FHWA Obligation</t>
        </is>
      </c>
    </row>
    <row r="62">
      <c r="A62" t="inlineStr">
        <is>
          <t>03-20-0036</t>
        </is>
      </c>
      <c r="B62" t="inlineStr">
        <is>
          <t>Arlington Heights Rd-Devon Ave Intersection Resurfacing</t>
        </is>
      </c>
      <c r="C62" t="inlineStr">
        <is>
          <t>Resurfacing of the Arlington Heights Rd at Devon Ave intersection from 500 ft north of Devon Ave to 370 ft south of Devon Ave and 190 ft east of Somerset Ln to 105 ft west of Turner Ave. Full depth patching and concrete curb and gutter where necessary, ADA improvements, pedestrian countdown timers.</t>
        </is>
      </c>
      <c r="D62" t="inlineStr">
        <is>
          <t>Road Modernization</t>
        </is>
      </c>
      <c r="E62" t="inlineStr">
        <is>
          <t>[E-ADAIMP] Improve ADA Infrastructure (Roadway), [H-C/G] Highway/Road - Curb And Gutter, [H-RS] Highway/Road - Resurface (with No Lane Widening)</t>
        </is>
      </c>
      <c r="F62" t="inlineStr">
        <is>
          <t>Northwest Council</t>
        </is>
      </c>
      <c r="G62" t="inlineStr">
        <is>
          <t>Cook</t>
        </is>
      </c>
      <c r="H62" t="inlineStr">
        <is>
          <t>Elk Grove Village</t>
        </is>
      </c>
      <c r="I62" t="inlineStr">
        <is>
          <t>H7E7827</t>
        </is>
      </c>
      <c r="J62" t="inlineStr">
        <is>
          <t>C-91-175-24</t>
        </is>
      </c>
      <c r="K62" t="inlineStr">
        <is>
          <t>Y041</t>
        </is>
      </c>
      <c r="L62" s="5" t="n">
        <v>917985</v>
      </c>
      <c r="M62" t="inlineStr">
        <is>
          <t>Yes</t>
        </is>
      </c>
      <c r="N62" t="inlineStr">
        <is>
          <t>Yes</t>
        </is>
      </c>
      <c r="O62" t="inlineStr">
        <is>
          <t>No</t>
        </is>
      </c>
      <c r="P62" t="b">
        <v>1</v>
      </c>
      <c r="Q62" t="inlineStr">
        <is>
          <t>FFY2025</t>
        </is>
      </c>
      <c r="R62" t="inlineStr">
        <is>
          <t>FHWA Obligation</t>
        </is>
      </c>
    </row>
    <row r="63">
      <c r="A63" t="inlineStr">
        <is>
          <t>03-20-0040</t>
        </is>
      </c>
      <c r="B63" t="inlineStr">
        <is>
          <t>Tonne Rd from Elk Grove Blvd to Landmeier Rd</t>
        </is>
      </c>
      <c r="C63" t="inlineStr">
        <is>
          <t>Reconstruction of Tonne Rd from Elk Grove Blvd/Touhy Ave to Landmeier Rd, re-evaluation of access between northbound and southbound lanes, construction of a roundabout at Elk Grove Blvd, realignment of receiving lanes for southbound traffic at Landmeier intersection, signal modernization, construction of a shared use path on the west side of the segment, replacement of all existing culverts, clearing of ditch, ADA improvements, replacement of existing sidewalk</t>
        </is>
      </c>
      <c r="D63" t="inlineStr">
        <is>
          <t>Road Modernization</t>
        </is>
      </c>
      <c r="E63" t="inlineStr">
        <is>
          <t>[A-PMRK] Safety - Pavement Marking, [E-ADAIMP] Improve ADA Infrastructure (Roadway), [E-ADANEW] New ADA Infrastructure (Roadway), [E-PEDIMP] Improve Pedestrian Facility, [E-SharedNew] New Shared Use Path, [H-C/G] Highway/Road - Curb And Gutter, [H-CLVT] Highway/Road - Repair/Replace Culvert, [H-INTIMP] Highway/Road - Intersection Improvement, [H-RAB] Highway/Road - Roundabout, [H- RCINKND] Highway/Road - Reconstruct in Kind, [S-MOD] Signals - Modernization</t>
        </is>
      </c>
      <c r="F63" t="inlineStr">
        <is>
          <t>Northwest Council</t>
        </is>
      </c>
      <c r="G63" t="inlineStr">
        <is>
          <t>Cook</t>
        </is>
      </c>
      <c r="H63" t="inlineStr">
        <is>
          <t>Elk Grove Village</t>
        </is>
      </c>
      <c r="I63" t="inlineStr">
        <is>
          <t>3IJV695</t>
        </is>
      </c>
      <c r="J63" t="inlineStr">
        <is>
          <t>C-91-041-25</t>
        </is>
      </c>
      <c r="K63" t="inlineStr">
        <is>
          <t>Y603</t>
        </is>
      </c>
      <c r="L63" s="5" t="n">
        <v>500000</v>
      </c>
      <c r="M63" t="inlineStr">
        <is>
          <t>Yes</t>
        </is>
      </c>
      <c r="N63" t="inlineStr">
        <is>
          <t>Yes</t>
        </is>
      </c>
      <c r="O63" t="inlineStr">
        <is>
          <t>Yes</t>
        </is>
      </c>
      <c r="P63" t="b">
        <v>1</v>
      </c>
      <c r="Q63" t="inlineStr">
        <is>
          <t>FFY2025</t>
        </is>
      </c>
      <c r="R63" t="inlineStr">
        <is>
          <t>FHWA Obligation</t>
        </is>
      </c>
    </row>
    <row r="64">
      <c r="A64" t="inlineStr">
        <is>
          <t>03-20-0042</t>
        </is>
      </c>
      <c r="B64" t="inlineStr">
        <is>
          <t>Weathersfield Way from Braintree Dr to Salem Dr</t>
        </is>
      </c>
      <c r="C64" t="inlineStr">
        <is>
          <t>Resurfacing of Weathersfield Way from Braintree Dr to Salem Dr. Pavement patching, ADA improvements, curb and gutter repairs, pavement markings, 8' off street path on the north side of the roadway, rehabilitation of existing storm sewers.</t>
        </is>
      </c>
      <c r="D64" t="inlineStr">
        <is>
          <t>Road Modernization</t>
        </is>
      </c>
      <c r="E64" t="inlineStr">
        <is>
          <t>[A-PMRK] Safety - Pavement Marking, [E-ADAIMP] Improve ADA Infrastructure (Roadway), [E-SharedNew] New Shared Use Path, [H-C/G] Highway/Road - Curb And Gutter, [H-RS] Highway/Road - Resurface (with No Lane Widening)</t>
        </is>
      </c>
      <c r="F64" t="inlineStr">
        <is>
          <t>Northwest Council</t>
        </is>
      </c>
      <c r="G64" t="inlineStr">
        <is>
          <t>Cook</t>
        </is>
      </c>
      <c r="H64" t="inlineStr">
        <is>
          <t>Schaumburg</t>
        </is>
      </c>
      <c r="I64" t="inlineStr">
        <is>
          <t>91DZ172</t>
        </is>
      </c>
      <c r="J64" t="inlineStr">
        <is>
          <t>C-91-063-21</t>
        </is>
      </c>
      <c r="K64" t="inlineStr">
        <is>
          <t>Z230</t>
        </is>
      </c>
      <c r="L64" s="5" t="n">
        <v>52296</v>
      </c>
      <c r="M64" t="inlineStr">
        <is>
          <t>Yes</t>
        </is>
      </c>
      <c r="N64" t="inlineStr">
        <is>
          <t>Yes</t>
        </is>
      </c>
      <c r="O64" t="inlineStr">
        <is>
          <t>Yes</t>
        </is>
      </c>
      <c r="P64" t="b">
        <v>1</v>
      </c>
      <c r="Q64" t="inlineStr">
        <is>
          <t>FFY2025</t>
        </is>
      </c>
      <c r="R64" t="inlineStr">
        <is>
          <t>FHWA Obligation</t>
        </is>
      </c>
    </row>
    <row r="65">
      <c r="A65" t="inlineStr">
        <is>
          <t>03-20-0049</t>
        </is>
      </c>
      <c r="B65" t="inlineStr">
        <is>
          <t>Bernard Dr from Arlington Heights Rd to Lincoln Terrace</t>
        </is>
      </c>
      <c r="C65" t="inlineStr">
        <is>
          <t>Roadway reconstruction, new shared use path along the south side of the roadway. Roadway will be narrowed 2 ft to provide required separation from path, ADA ramp improvements, culvert replacement.</t>
        </is>
      </c>
      <c r="D65" t="inlineStr">
        <is>
          <t>Road Modernization</t>
        </is>
      </c>
      <c r="E65" t="inlineStr">
        <is>
          <t>[E-ADAIMP] Improve ADA Infrastructure (Roadway), [E-SharedNew] New Shared Use Path, [H-CLVT] Highway/Road - Repair/Replace Culvert, [H- RCNST] Highway/Road - Reconst with Change in Use or Width Of Lane</t>
        </is>
      </c>
      <c r="F65" t="inlineStr">
        <is>
          <t>Northwest Council</t>
        </is>
      </c>
      <c r="G65" t="inlineStr">
        <is>
          <t>Cook</t>
        </is>
      </c>
      <c r="H65" t="inlineStr">
        <is>
          <t>Buffalo Grove</t>
        </is>
      </c>
      <c r="I65" t="inlineStr">
        <is>
          <t>WS7C658</t>
        </is>
      </c>
      <c r="J65" t="inlineStr">
        <is>
          <t>C-91-290-24</t>
        </is>
      </c>
      <c r="K65" t="inlineStr">
        <is>
          <t>Y230</t>
        </is>
      </c>
      <c r="L65" s="5" t="n">
        <v>3150000</v>
      </c>
      <c r="M65" t="inlineStr">
        <is>
          <t>Yes</t>
        </is>
      </c>
      <c r="N65" t="inlineStr">
        <is>
          <t>Yes</t>
        </is>
      </c>
      <c r="O65" t="inlineStr">
        <is>
          <t>No</t>
        </is>
      </c>
      <c r="P65" t="b">
        <v>1</v>
      </c>
      <c r="Q65" t="inlineStr">
        <is>
          <t>FFY2025</t>
        </is>
      </c>
      <c r="R65" t="inlineStr">
        <is>
          <t>FHWA Obligation</t>
        </is>
      </c>
    </row>
    <row r="66">
      <c r="A66" t="inlineStr">
        <is>
          <t>03-20-0050</t>
        </is>
      </c>
      <c r="B66" t="inlineStr">
        <is>
          <t>Rand Rd-IL 83-Kensington Rd Intersection Improvements</t>
        </is>
      </c>
      <c r="C66" t="inlineStr">
        <is>
          <t>Add, extend, reconfigure turn lanes, replace sidewalk with multi-use path along Rand Rd within project limits, optimize traffic signal timing, install sidewalk along south side of Kensington Rd east of Rand Rd, consolidate access within project limits. Project limits are Rand Road (Business Center Drive to Wedgewood Lane); IL 83 (Highland Street to Euclid Avenue); Kensington Road (Elmhurst Avenue to N. Wheeling Road)</t>
        </is>
      </c>
      <c r="D66" t="inlineStr">
        <is>
          <t>Intersection/Interchange Improvements</t>
        </is>
      </c>
      <c r="E66" t="inlineStr">
        <is>
          <t>[A-PMRK] Safety - Pavement Marking, [E-ADAIMP] Improve ADA Infrastructure (Roadway), [E-PEDIMP] Improve Pedestrian Facility, [E- SharedNew] New Shared Use Path, [H-INTIMP] Highway/Road - Intersection Improvement, [H-INTRC] Highway/Road - Intersection Reconstruction, [S-MOD] Signals - Modernization</t>
        </is>
      </c>
      <c r="F66" t="inlineStr">
        <is>
          <t>Northwest Council</t>
        </is>
      </c>
      <c r="G66" t="inlineStr">
        <is>
          <t>Cook</t>
        </is>
      </c>
      <c r="H66" t="inlineStr">
        <is>
          <t>Mount Prospect</t>
        </is>
      </c>
      <c r="I66" t="inlineStr">
        <is>
          <t>0KLG967</t>
        </is>
      </c>
      <c r="J66" t="inlineStr">
        <is>
          <t>R-90-025-22</t>
        </is>
      </c>
      <c r="K66" t="inlineStr">
        <is>
          <t>Y926</t>
        </is>
      </c>
      <c r="L66" s="5" t="n">
        <v>1685060</v>
      </c>
      <c r="M66" t="inlineStr">
        <is>
          <t>Yes</t>
        </is>
      </c>
      <c r="N66" t="inlineStr">
        <is>
          <t>Yes</t>
        </is>
      </c>
      <c r="O66" t="inlineStr">
        <is>
          <t>Yes</t>
        </is>
      </c>
      <c r="P66" t="b">
        <v>1</v>
      </c>
      <c r="Q66" t="inlineStr">
        <is>
          <t>FFY2025</t>
        </is>
      </c>
      <c r="R66" t="inlineStr">
        <is>
          <t>FHWA Obligation</t>
        </is>
      </c>
    </row>
    <row r="67">
      <c r="A67" t="inlineStr">
        <is>
          <t>03-20-0052</t>
        </is>
      </c>
      <c r="B67" t="inlineStr">
        <is>
          <t>Weber Dr from Central Rd to Algonquin Rd</t>
        </is>
      </c>
      <c r="C67" t="inlineStr">
        <is>
          <t>Reconstruction of Weber Dr from Central Rd to Algonquin Rd (IL 62). Addition of right turn lane at Algonquin Rd, reconstruction of bike path on west side of Weber Dr and extension to Algonquin Rd. Traffic signal upgrades at Algonquin Rd to account for right turn overlap phase. ADA improvements at all pedestrian crossings.</t>
        </is>
      </c>
      <c r="D67" t="inlineStr">
        <is>
          <t>Road Modernization</t>
        </is>
      </c>
      <c r="E67" t="inlineStr">
        <is>
          <t>[E-ADAIMP] Improve ADA Infrastructure (Roadway), [E-BIKEIMP] Improve Bicycle Facility, [E-BIKENEW] New Bicycle Facility, [H-INTIMP] Highway/Road - Intersection Improvement, [H-RCINKND] Highway/Road - Reconstruct in Kind, [S-MOD] Signals - Modernization</t>
        </is>
      </c>
      <c r="F67" t="inlineStr">
        <is>
          <t>Northwest Council</t>
        </is>
      </c>
      <c r="G67" t="inlineStr">
        <is>
          <t>Cook</t>
        </is>
      </c>
      <c r="H67" t="inlineStr">
        <is>
          <t>Rolling Meadows</t>
        </is>
      </c>
      <c r="I67" t="inlineStr">
        <is>
          <t>W8NL514</t>
        </is>
      </c>
      <c r="J67" t="inlineStr">
        <is>
          <t>D-91-095-23</t>
        </is>
      </c>
      <c r="K67" t="inlineStr">
        <is>
          <t>Z230</t>
        </is>
      </c>
      <c r="L67" s="5" t="n">
        <v>99000</v>
      </c>
      <c r="M67" t="inlineStr">
        <is>
          <t>Yes</t>
        </is>
      </c>
      <c r="N67" t="inlineStr">
        <is>
          <t>Yes</t>
        </is>
      </c>
      <c r="O67" t="inlineStr">
        <is>
          <t>No</t>
        </is>
      </c>
      <c r="P67" t="b">
        <v>1</v>
      </c>
      <c r="Q67" t="inlineStr">
        <is>
          <t>FFY2025</t>
        </is>
      </c>
      <c r="R67" t="inlineStr">
        <is>
          <t>FHWA Obligation</t>
        </is>
      </c>
    </row>
    <row r="68">
      <c r="A68" t="inlineStr">
        <is>
          <t>03-21-0003</t>
        </is>
      </c>
      <c r="B68" t="inlineStr">
        <is>
          <t>IL 59 Bicycle and Pedestrian Overpass</t>
        </is>
      </c>
      <c r="C68" t="inlineStr">
        <is>
          <t>New bicycle/pedestrian bridge over IL 59 north of IL 19, multi-use trail and boardwalks.</t>
        </is>
      </c>
      <c r="D68" t="inlineStr">
        <is>
          <t>Bicycle &amp; Pedestrian</t>
        </is>
      </c>
      <c r="E68" t="inlineStr">
        <is>
          <t>[E-ADANEW] New ADA Infrastructure (Roadway), [E-BIKENEW] New Bicycle Facility, [E-PEDNEW] New Pedestrian Facility, [E-SharedNew] New Shared Use Path</t>
        </is>
      </c>
      <c r="F68" t="inlineStr">
        <is>
          <t>Northwest Council</t>
        </is>
      </c>
      <c r="G68" t="inlineStr">
        <is>
          <t>Cook</t>
        </is>
      </c>
      <c r="H68" t="inlineStr">
        <is>
          <t>Streamwood</t>
        </is>
      </c>
      <c r="I68" t="inlineStr">
        <is>
          <t>ZANV627</t>
        </is>
      </c>
      <c r="J68" t="inlineStr">
        <is>
          <t>D-91-092-22</t>
        </is>
      </c>
      <c r="K68" t="inlineStr">
        <is>
          <t>Y300</t>
        </is>
      </c>
      <c r="L68" s="5" t="n">
        <v>184000</v>
      </c>
      <c r="M68" t="inlineStr">
        <is>
          <t>Yes</t>
        </is>
      </c>
      <c r="N68" t="inlineStr">
        <is>
          <t>Yes</t>
        </is>
      </c>
      <c r="O68" t="inlineStr">
        <is>
          <t>No</t>
        </is>
      </c>
      <c r="P68" t="b">
        <v>1</v>
      </c>
      <c r="Q68" t="inlineStr">
        <is>
          <t>FFY2025</t>
        </is>
      </c>
      <c r="R68" t="inlineStr">
        <is>
          <t>FHWA Obligation</t>
        </is>
      </c>
    </row>
    <row r="69">
      <c r="A69" t="inlineStr">
        <is>
          <t>03-21-0010</t>
        </is>
      </c>
      <c r="B69" t="inlineStr">
        <is>
          <t>Meadowbrook Drive over Salt Creek</t>
        </is>
      </c>
      <c r="C69" t="inlineStr">
        <is>
          <t>Rehabilitation or replacement of structure carrying Meadowbrook Drive over Salt Creek.</t>
        </is>
      </c>
      <c r="D69" t="inlineStr">
        <is>
          <t>Bridge Repair, Rehab, or Replace</t>
        </is>
      </c>
      <c r="E69" t="inlineStr">
        <is>
          <t>[B-REPAIR] Bridge/Structure - Reconst/Rehab No Chng in #, Wdth, or Lane</t>
        </is>
      </c>
      <c r="F69" t="inlineStr">
        <is>
          <t>Northwest Council</t>
        </is>
      </c>
      <c r="G69" t="inlineStr">
        <is>
          <t>Cook</t>
        </is>
      </c>
      <c r="H69" t="inlineStr">
        <is>
          <t>Rolling Meadows</t>
        </is>
      </c>
      <c r="I69" t="inlineStr">
        <is>
          <t>D1ML993</t>
        </is>
      </c>
      <c r="J69" t="inlineStr">
        <is>
          <t>P-91-034-21</t>
        </is>
      </c>
      <c r="K69" t="inlineStr">
        <is>
          <t>Z23E</t>
        </is>
      </c>
      <c r="L69" s="5" t="n">
        <v>88225</v>
      </c>
      <c r="M69" t="inlineStr">
        <is>
          <t>No</t>
        </is>
      </c>
      <c r="N69" t="inlineStr">
        <is>
          <t>No</t>
        </is>
      </c>
      <c r="O69" t="inlineStr">
        <is>
          <t>No</t>
        </is>
      </c>
      <c r="P69" t="b">
        <v>1</v>
      </c>
      <c r="Q69" t="inlineStr">
        <is>
          <t>FFY2025</t>
        </is>
      </c>
      <c r="R69" t="inlineStr">
        <is>
          <t>FHWA Obligation</t>
        </is>
      </c>
    </row>
    <row r="70">
      <c r="A70" t="inlineStr">
        <is>
          <t>03-22-0002</t>
        </is>
      </c>
      <c r="B70" t="inlineStr">
        <is>
          <t>Hicks Rd/Euclid Rd Bike Path</t>
        </is>
      </c>
      <c r="C70" t="inlineStr">
        <is>
          <t>New bike path on Hicks Rd from Euclid Ave to North of Kirchoff and on Euclid Ave from west of Vermont St to Hicks Rd</t>
        </is>
      </c>
      <c r="D70" t="inlineStr">
        <is>
          <t>Bicycle &amp; Pedestrian</t>
        </is>
      </c>
      <c r="E70" t="inlineStr">
        <is>
          <t>[E-BIKENEW] New Bicycle Facility</t>
        </is>
      </c>
      <c r="F70" t="inlineStr">
        <is>
          <t>Northwest Council</t>
        </is>
      </c>
      <c r="G70" t="inlineStr">
        <is>
          <t>Cook</t>
        </is>
      </c>
      <c r="H70" t="inlineStr">
        <is>
          <t>Rolling Meadows</t>
        </is>
      </c>
      <c r="I70" t="inlineStr">
        <is>
          <t>MQYJ382</t>
        </is>
      </c>
      <c r="J70" t="inlineStr">
        <is>
          <t>D-91-107-22</t>
        </is>
      </c>
      <c r="K70" t="inlineStr">
        <is>
          <t>Z30E</t>
        </is>
      </c>
      <c r="L70" s="5" t="n">
        <v>127031</v>
      </c>
      <c r="M70" t="inlineStr">
        <is>
          <t>Yes</t>
        </is>
      </c>
      <c r="N70" t="inlineStr">
        <is>
          <t>No</t>
        </is>
      </c>
      <c r="O70" t="inlineStr">
        <is>
          <t>No</t>
        </is>
      </c>
      <c r="P70" t="b">
        <v>1</v>
      </c>
      <c r="Q70" t="inlineStr">
        <is>
          <t>FFY2025</t>
        </is>
      </c>
      <c r="R70" t="inlineStr">
        <is>
          <t>FHWA Obligation</t>
        </is>
      </c>
    </row>
    <row r="71">
      <c r="A71" t="inlineStr">
        <is>
          <t>03-22-0003</t>
        </is>
      </c>
      <c r="B71" t="inlineStr">
        <is>
          <t>Hassell Rd/Stonington Ave/Pembroke Ave Corridor Improvements</t>
        </is>
      </c>
      <c r="C71" t="inlineStr">
        <is>
          <t>Various bike-ped and access to transit improvements along Hassell Rd from Barrington Rd to Rosedale Ln, along the full length of Pembroke Ave, and on Stonington Ave from Pembroke Ave to Hassell Rd.</t>
        </is>
      </c>
      <c r="D71" t="inlineStr">
        <is>
          <t>Bicycle &amp; Pedestrian</t>
        </is>
      </c>
      <c r="E71" t="inlineStr">
        <is>
          <t>[A-LTS] Safety - Lighting, [A-PMRK] Safety - Pavement Marking, [E- BIKEIMP] Improve Bicycle Facility, [E-PEDIMP] Improve Pedestrian Facility, [E-PEDNEW] New Pedestrian Facility</t>
        </is>
      </c>
      <c r="F71" t="inlineStr">
        <is>
          <t>Northwest Council</t>
        </is>
      </c>
      <c r="G71" t="inlineStr">
        <is>
          <t>Cook</t>
        </is>
      </c>
      <c r="H71" t="inlineStr">
        <is>
          <t>Hoffman Estates</t>
        </is>
      </c>
      <c r="I71" t="inlineStr">
        <is>
          <t>U0PL247</t>
        </is>
      </c>
      <c r="J71" t="inlineStr">
        <is>
          <t>P-91-031-22</t>
        </is>
      </c>
      <c r="K71" t="inlineStr">
        <is>
          <t>Y300</t>
        </is>
      </c>
      <c r="L71" s="5" t="n">
        <v>53800</v>
      </c>
      <c r="M71" t="inlineStr">
        <is>
          <t>Yes</t>
        </is>
      </c>
      <c r="N71" t="inlineStr">
        <is>
          <t>No</t>
        </is>
      </c>
      <c r="O71" t="inlineStr">
        <is>
          <t>Yes</t>
        </is>
      </c>
      <c r="P71" t="b">
        <v>1</v>
      </c>
      <c r="Q71" t="inlineStr">
        <is>
          <t>FFY2025</t>
        </is>
      </c>
      <c r="R71" t="inlineStr">
        <is>
          <t>FHWA Obligation</t>
        </is>
      </c>
    </row>
    <row r="72">
      <c r="A72" t="inlineStr">
        <is>
          <t>03-22-0009</t>
        </is>
      </c>
      <c r="B72" t="inlineStr">
        <is>
          <t>Prospect Heights Metra Station and Pace Route Access Improvements</t>
        </is>
      </c>
      <c r="C72" t="inlineStr">
        <is>
          <t>Proposed improvements include constructing a sidewalk on the east side of Wolf Road which will run north from the Prospect Heights Metra Commuter Station to Willow Road. This will make the connection to a future phase of the multi-use path on Wolf Road that goes north from Willow Road to Palatine Road. The project also includes pedestrian signals at Camp McDonald Road as well as a new at grade crossing over the Metra tracks. New sidewalk on Wolf Rd from Palatine Frontage Rd to Old Willow Rd.</t>
        </is>
      </c>
      <c r="D72" t="inlineStr">
        <is>
          <t>Bicycle &amp; Pedestrian</t>
        </is>
      </c>
      <c r="E72" t="inlineStr">
        <is>
          <t>[E-ADANEW] New ADA Infrastructure (Roadway), [E-PEDNEW] New Pedestrian Facility, [S-MOD] Signals - Modernization</t>
        </is>
      </c>
      <c r="F72" t="inlineStr">
        <is>
          <t>Northwest Council</t>
        </is>
      </c>
      <c r="G72" t="inlineStr">
        <is>
          <t>Cook</t>
        </is>
      </c>
      <c r="H72" t="inlineStr">
        <is>
          <t>Prospect Heights</t>
        </is>
      </c>
      <c r="I72" t="inlineStr">
        <is>
          <t>KHCX417</t>
        </is>
      </c>
      <c r="J72" t="inlineStr">
        <is>
          <t>C-91-171-22</t>
        </is>
      </c>
      <c r="K72" t="inlineStr">
        <is>
          <t>Y928</t>
        </is>
      </c>
      <c r="L72" s="5" t="n">
        <v>593573</v>
      </c>
      <c r="M72" t="inlineStr">
        <is>
          <t>Yes</t>
        </is>
      </c>
      <c r="N72" t="inlineStr">
        <is>
          <t>Yes</t>
        </is>
      </c>
      <c r="O72" t="inlineStr">
        <is>
          <t>No</t>
        </is>
      </c>
      <c r="P72" t="b">
        <v>1</v>
      </c>
      <c r="Q72" t="inlineStr">
        <is>
          <t>FFY2025</t>
        </is>
      </c>
      <c r="R72" t="inlineStr">
        <is>
          <t>FHWA Obligation</t>
        </is>
      </c>
    </row>
    <row r="73">
      <c r="A73" t="inlineStr">
        <is>
          <t>03-22-0009</t>
        </is>
      </c>
      <c r="B73" t="inlineStr">
        <is>
          <t>Prospect Heights Metra Station and Pace Route Access Improvements</t>
        </is>
      </c>
      <c r="C73" t="inlineStr">
        <is>
          <t>Proposed improvements include constructing a sidewalk on the east side of Wolf Road which will run north from the Prospect Heights Metra Commuter Station to Willow Road. This will make the connection to a future phase of the multi-use path on Wolf Road that goes north from Willow Road to Palatine Road. The project also includes pedestrian signals at Camp McDonald Road as well as a new at grade crossing over the Metra tracks. New sidewalk on Wolf Rd from Palatine Frontage Rd to Old Willow Rd.</t>
        </is>
      </c>
      <c r="D73" t="inlineStr">
        <is>
          <t>Bicycle &amp; Pedestrian</t>
        </is>
      </c>
      <c r="E73" t="inlineStr">
        <is>
          <t>[E-ADANEW] New ADA Infrastructure (Roadway), [E-PEDNEW] New Pedestrian Facility, [S-MOD] Signals - Modernization</t>
        </is>
      </c>
      <c r="F73" t="inlineStr">
        <is>
          <t>Northwest Council</t>
        </is>
      </c>
      <c r="G73" t="inlineStr">
        <is>
          <t>Cook</t>
        </is>
      </c>
      <c r="H73" t="inlineStr">
        <is>
          <t>Prospect Heights</t>
        </is>
      </c>
      <c r="I73" t="inlineStr">
        <is>
          <t>XYCG221</t>
        </is>
      </c>
      <c r="J73" t="inlineStr">
        <is>
          <t>D-91-136-22</t>
        </is>
      </c>
      <c r="K73" t="inlineStr">
        <is>
          <t>Y400</t>
        </is>
      </c>
      <c r="L73" s="5" t="n">
        <v>113766</v>
      </c>
      <c r="M73" t="inlineStr">
        <is>
          <t>Yes</t>
        </is>
      </c>
      <c r="N73" t="inlineStr">
        <is>
          <t>Yes</t>
        </is>
      </c>
      <c r="O73" t="inlineStr">
        <is>
          <t>No</t>
        </is>
      </c>
      <c r="P73" t="b">
        <v>1</v>
      </c>
      <c r="Q73" t="inlineStr">
        <is>
          <t>FFY2025</t>
        </is>
      </c>
      <c r="R73" t="inlineStr">
        <is>
          <t>FHWA Obligation</t>
        </is>
      </c>
    </row>
    <row r="74">
      <c r="A74" t="inlineStr">
        <is>
          <t>03-22-0010</t>
        </is>
      </c>
      <c r="B74" t="inlineStr">
        <is>
          <t>Wolf Rd - Ill 58 (Golf Rd) to Touhy Ave</t>
        </is>
      </c>
      <c r="C74" t="inlineStr">
        <is>
          <t>Standard Overlay, ADA Improvements</t>
        </is>
      </c>
      <c r="D74" t="inlineStr">
        <is>
          <t>Road Maintenance</t>
        </is>
      </c>
      <c r="E74" t="inlineStr">
        <is>
          <t>[E-ADAMAINT] Maintain/Repair ADA Infrastructure (Roadway), [H-RS] Highway/Road - Resurface (with No Lane Widening)</t>
        </is>
      </c>
      <c r="F74" t="inlineStr">
        <is>
          <t>IDOT D1 Hwys</t>
        </is>
      </c>
      <c r="G74" t="inlineStr">
        <is>
          <t>Cook</t>
        </is>
      </c>
      <c r="H74" t="inlineStr">
        <is>
          <t>Des Plaines</t>
        </is>
      </c>
      <c r="I74" t="inlineStr">
        <is>
          <t>BH0L352</t>
        </is>
      </c>
      <c r="J74" t="inlineStr">
        <is>
          <t>C-91-186-22</t>
        </is>
      </c>
      <c r="K74" t="inlineStr">
        <is>
          <t>Y230</t>
        </is>
      </c>
      <c r="L74" s="5" t="n">
        <v>2494960</v>
      </c>
      <c r="M74" t="inlineStr">
        <is>
          <t>Yes</t>
        </is>
      </c>
      <c r="N74" t="inlineStr">
        <is>
          <t>Yes</t>
        </is>
      </c>
      <c r="O74" t="inlineStr">
        <is>
          <t>No</t>
        </is>
      </c>
      <c r="P74" t="b">
        <v>1</v>
      </c>
      <c r="Q74" t="inlineStr">
        <is>
          <t>FFY2025</t>
        </is>
      </c>
      <c r="R74" t="inlineStr">
        <is>
          <t>FHWA Obligation</t>
        </is>
      </c>
    </row>
    <row r="75">
      <c r="A75" t="inlineStr">
        <is>
          <t>03-22-0015</t>
        </is>
      </c>
      <c r="B75" t="inlineStr">
        <is>
          <t>Ill 21 Milwaukee Ave - At US 14 (Dempster St)</t>
        </is>
      </c>
      <c r="C75" t="inlineStr">
        <is>
          <t>Bridge Joint Replace/Repair, Bridge Deck Overlay</t>
        </is>
      </c>
      <c r="D75" t="inlineStr">
        <is>
          <t>Bridge Routine Maintenance</t>
        </is>
      </c>
      <c r="E75" t="inlineStr">
        <is>
          <t>[B-OVR] Bridge Deck - Overlay, [B-REPAIR] Bridge/Structure - Reconst/Rehab No Chng in #, Wdth, or Lane</t>
        </is>
      </c>
      <c r="F75" t="inlineStr">
        <is>
          <t>IDOT D1 Hwys</t>
        </is>
      </c>
      <c r="G75" t="inlineStr">
        <is>
          <t>Cook</t>
        </is>
      </c>
      <c r="H75" t="inlineStr">
        <is>
          <t>Niles</t>
        </is>
      </c>
      <c r="I75" t="inlineStr">
        <is>
          <t>WE2D791</t>
        </is>
      </c>
      <c r="J75" t="inlineStr">
        <is>
          <t>C-91-326-22</t>
        </is>
      </c>
      <c r="K75" t="inlineStr">
        <is>
          <t>Y001</t>
        </is>
      </c>
      <c r="L75" s="5" t="n">
        <v>1516633</v>
      </c>
      <c r="M75" t="inlineStr">
        <is>
          <t>No</t>
        </is>
      </c>
      <c r="N75" t="inlineStr">
        <is>
          <t>No</t>
        </is>
      </c>
      <c r="O75" t="inlineStr">
        <is>
          <t>No</t>
        </is>
      </c>
      <c r="P75" t="b">
        <v>1</v>
      </c>
      <c r="Q75" t="inlineStr">
        <is>
          <t>FFY2025</t>
        </is>
      </c>
      <c r="R75" t="inlineStr">
        <is>
          <t>FHWA Obligation</t>
        </is>
      </c>
    </row>
    <row r="76">
      <c r="A76" t="inlineStr">
        <is>
          <t>03-22-0023</t>
        </is>
      </c>
      <c r="B76" t="inlineStr">
        <is>
          <t>North Ave from Oak Ave to Lake St</t>
        </is>
      </c>
      <c r="C76" t="inlineStr">
        <is>
          <t>HMA resurfacing, full depth pavement patching, spot aggregate base repair, combination concrete curb and gutter replacement, spot sidewalk removal and replacement, detectable warnings, pavement markings and reflective pavement markers. A wider shared use path will be constructed along the south side of the roadway, replacing the existing sidewalk.</t>
        </is>
      </c>
      <c r="D76" t="inlineStr">
        <is>
          <t>Road Maintenance</t>
        </is>
      </c>
      <c r="E76" t="inlineStr">
        <is>
          <t>[A-PMRK] Safety - Pavement Marking, [E-ADAIMP] Improve ADA Infrastructure (Roadway), [E-ADAMAINT] Maintain/Repair ADA Infrastructure (Roadway), [E-SharedNew] New Shared Use Path, [H-C/G] Highway/Road - Curb And Gutter, [H-PATCH] Highway/Road - Pavement Patching, [H-RS] Highway/Road - Resurface (with No Lane Widening)</t>
        </is>
      </c>
      <c r="F76" t="inlineStr">
        <is>
          <t>Northwest Council</t>
        </is>
      </c>
      <c r="G76" t="inlineStr">
        <is>
          <t>Cook</t>
        </is>
      </c>
      <c r="H76" t="inlineStr">
        <is>
          <t>Bartlett</t>
        </is>
      </c>
      <c r="I76" t="inlineStr">
        <is>
          <t>IJ41587</t>
        </is>
      </c>
      <c r="J76" t="inlineStr">
        <is>
          <t>C-91-146-23</t>
        </is>
      </c>
      <c r="K76" t="inlineStr">
        <is>
          <t>Y230</t>
        </is>
      </c>
      <c r="L76" s="5" t="n">
        <v>792122</v>
      </c>
      <c r="M76" t="inlineStr">
        <is>
          <t>Yes</t>
        </is>
      </c>
      <c r="N76" t="inlineStr">
        <is>
          <t>Yes</t>
        </is>
      </c>
      <c r="O76" t="inlineStr">
        <is>
          <t>Yes</t>
        </is>
      </c>
      <c r="P76" t="b">
        <v>1</v>
      </c>
      <c r="Q76" t="inlineStr">
        <is>
          <t>FFY2025</t>
        </is>
      </c>
      <c r="R76" t="inlineStr">
        <is>
          <t>FHWA Obligation</t>
        </is>
      </c>
    </row>
    <row r="77">
      <c r="A77" t="inlineStr">
        <is>
          <t>03-22-0044</t>
        </is>
      </c>
      <c r="B77" t="inlineStr">
        <is>
          <t>Hassell Rd from Fairway Ct to Rosedale Ln</t>
        </is>
      </c>
      <c r="C77" t="inlineStr">
        <is>
          <t>Resurface roadway, bring facilities to ADA compliance, spot curb and gutter repair, and pavement patching.</t>
        </is>
      </c>
      <c r="D77" t="inlineStr">
        <is>
          <t>Road Maintenance</t>
        </is>
      </c>
      <c r="E77" t="inlineStr">
        <is>
          <t>[E-ADAMAINT] Maintain/Repair ADA Infrastructure (Roadway), [H-C/G] Highway/Road - Curb And Gutter, [H-PATCH] Highway/Road - Pavement Patching, [H-RS] Highway/Road - Resurface (with No Lane Widening)</t>
        </is>
      </c>
      <c r="F77" t="inlineStr">
        <is>
          <t>Northwest Council</t>
        </is>
      </c>
      <c r="G77" t="inlineStr">
        <is>
          <t>Cook</t>
        </is>
      </c>
      <c r="H77" t="inlineStr">
        <is>
          <t>Hoffman Estates</t>
        </is>
      </c>
      <c r="I77" t="inlineStr">
        <is>
          <t>UR81697</t>
        </is>
      </c>
      <c r="J77" t="inlineStr">
        <is>
          <t>C-91-192-24</t>
        </is>
      </c>
      <c r="K77" t="inlineStr">
        <is>
          <t>Y230</t>
        </is>
      </c>
      <c r="L77" s="5" t="n">
        <v>726000</v>
      </c>
      <c r="M77" t="inlineStr">
        <is>
          <t>Yes</t>
        </is>
      </c>
      <c r="N77" t="inlineStr">
        <is>
          <t>Yes</t>
        </is>
      </c>
      <c r="O77" t="inlineStr">
        <is>
          <t>No</t>
        </is>
      </c>
      <c r="P77" t="b">
        <v>1</v>
      </c>
      <c r="Q77" t="inlineStr">
        <is>
          <t>FFY2025</t>
        </is>
      </c>
      <c r="R77" t="inlineStr">
        <is>
          <t>FHWA Obligation</t>
        </is>
      </c>
    </row>
    <row r="78">
      <c r="A78" t="inlineStr">
        <is>
          <t>03-23-0036</t>
        </is>
      </c>
      <c r="B78" t="inlineStr">
        <is>
          <t>Melas-Meadows Pedestrian Bridge</t>
        </is>
      </c>
      <c r="C78" t="inlineStr">
        <is>
          <t>Bicycle and Pedestrian bridge consisting of a shared use bridge structure, ramps and sidewalk. The project will connect to the Mount Prospect bike route system within and south of Melas Park, and continue over Northwest Highway (US 14) and the Union Pacific Railroad (UPPR) tracks connecting to the Northwest Corridor bikeway and Mount Prospect bike route system at Meadows Park.</t>
        </is>
      </c>
      <c r="D78" t="inlineStr">
        <is>
          <t>Bicycle &amp; Pedestrian</t>
        </is>
      </c>
      <c r="E78" t="inlineStr">
        <is>
          <t>[A-LTS] Safety - Lighting, [E-ADANEW] New ADA Infrastructure (Roadway), [E-BIKENEW] New Bicycle Facility, [E-PEDNEW] New Pedestrian Facility, [E- SharedNew] New Shared Use Path</t>
        </is>
      </c>
      <c r="F78" t="inlineStr">
        <is>
          <t>Northwest Council</t>
        </is>
      </c>
      <c r="G78" t="inlineStr">
        <is>
          <t>Cook</t>
        </is>
      </c>
      <c r="H78" t="inlineStr">
        <is>
          <t>Mount Prospect</t>
        </is>
      </c>
      <c r="I78" t="inlineStr">
        <is>
          <t>KTTL227</t>
        </is>
      </c>
      <c r="J78" t="inlineStr">
        <is>
          <t>D-91-142-23</t>
        </is>
      </c>
      <c r="K78" t="inlineStr">
        <is>
          <t>Y603</t>
        </is>
      </c>
      <c r="L78" s="5" t="n">
        <v>517400</v>
      </c>
      <c r="M78" t="inlineStr">
        <is>
          <t>Yes</t>
        </is>
      </c>
      <c r="N78" t="inlineStr">
        <is>
          <t>Yes</t>
        </is>
      </c>
      <c r="O78" t="inlineStr">
        <is>
          <t>Yes</t>
        </is>
      </c>
      <c r="P78" t="b">
        <v>1</v>
      </c>
      <c r="Q78" t="inlineStr">
        <is>
          <t>FFY2025</t>
        </is>
      </c>
      <c r="R78" t="inlineStr">
        <is>
          <t>FHWA Obligation</t>
        </is>
      </c>
    </row>
    <row r="79">
      <c r="A79" t="inlineStr">
        <is>
          <t>03-23-0038</t>
        </is>
      </c>
      <c r="B79" t="inlineStr">
        <is>
          <t>Ill 83 Oakton St - Ill 72 (Higgins Rd) to W of Elmhurst Rd</t>
        </is>
      </c>
      <c r="C79" t="inlineStr">
        <is>
          <t>Smart Overlay</t>
        </is>
      </c>
      <c r="D79" t="inlineStr">
        <is>
          <t>Road Maintenance</t>
        </is>
      </c>
      <c r="E79" t="inlineStr">
        <is>
          <t>[H-RS] Highway/Road - Resurface (with No Lane Widening)</t>
        </is>
      </c>
      <c r="F79" t="inlineStr">
        <is>
          <t>IDOT D1 Hwys</t>
        </is>
      </c>
      <c r="G79" t="inlineStr">
        <is>
          <t>Cook</t>
        </is>
      </c>
      <c r="H79" t="inlineStr">
        <is>
          <t>Des Plaines, Elk Grove Village, Mount Prospect</t>
        </is>
      </c>
      <c r="I79" t="inlineStr">
        <is>
          <t>FYJV201</t>
        </is>
      </c>
      <c r="J79" t="inlineStr">
        <is>
          <t>C-91-021-24</t>
        </is>
      </c>
      <c r="K79" t="inlineStr">
        <is>
          <t>Y001</t>
        </is>
      </c>
      <c r="L79" s="5" t="n">
        <v>650817</v>
      </c>
      <c r="M79" t="inlineStr">
        <is>
          <t>No</t>
        </is>
      </c>
      <c r="N79" t="inlineStr">
        <is>
          <t>No</t>
        </is>
      </c>
      <c r="O79" t="inlineStr">
        <is>
          <t>No</t>
        </is>
      </c>
      <c r="P79" t="b">
        <v>1</v>
      </c>
      <c r="Q79" t="inlineStr">
        <is>
          <t>FFY2025</t>
        </is>
      </c>
      <c r="R79" t="inlineStr">
        <is>
          <t>FHWA Obligation</t>
        </is>
      </c>
    </row>
    <row r="80">
      <c r="A80" t="inlineStr">
        <is>
          <t>03-23-0041</t>
        </is>
      </c>
      <c r="B80" t="inlineStr">
        <is>
          <t>Various - Various Locations (Trombone Replacement)</t>
        </is>
      </c>
      <c r="C80" t="inlineStr">
        <is>
          <t>Intersection Improvement, Traffic Signal Modernization</t>
        </is>
      </c>
      <c r="D80" t="inlineStr">
        <is>
          <t>Intersection/Interchange Improvements</t>
        </is>
      </c>
      <c r="E80" t="inlineStr">
        <is>
          <t>[H-INTIMP] Highway/Road - Intersection Improvement, [S-MOD] Signals - Modernization</t>
        </is>
      </c>
      <c r="F80" t="inlineStr">
        <is>
          <t>IDOT D1 Hwys</t>
        </is>
      </c>
      <c r="G80" t="inlineStr">
        <is>
          <t>Cook</t>
        </is>
      </c>
      <c r="H80" t="inlineStr">
        <is>
          <t>Arlington Heights, Des Plaines, Palatine</t>
        </is>
      </c>
      <c r="I80" t="inlineStr">
        <is>
          <t>XKVR554</t>
        </is>
      </c>
      <c r="J80" t="inlineStr">
        <is>
          <t>C-91-112-24</t>
        </is>
      </c>
      <c r="K80" t="inlineStr">
        <is>
          <t>Y230</t>
        </is>
      </c>
      <c r="L80" s="5" t="n">
        <v>217590</v>
      </c>
      <c r="M80" t="inlineStr">
        <is>
          <t>No</t>
        </is>
      </c>
      <c r="N80" t="inlineStr">
        <is>
          <t>No</t>
        </is>
      </c>
      <c r="O80" t="inlineStr">
        <is>
          <t>No</t>
        </is>
      </c>
      <c r="P80" t="b">
        <v>1</v>
      </c>
      <c r="Q80" t="inlineStr">
        <is>
          <t>FFY2025</t>
        </is>
      </c>
      <c r="R80" t="inlineStr">
        <is>
          <t>FHWA Obligation</t>
        </is>
      </c>
    </row>
    <row r="81">
      <c r="A81" t="inlineStr">
        <is>
          <t>03-23-0041</t>
        </is>
      </c>
      <c r="B81" t="inlineStr">
        <is>
          <t>Various - Various Locations (Trombone Replacement)</t>
        </is>
      </c>
      <c r="C81" t="inlineStr">
        <is>
          <t>Intersection Improvement, Traffic Signal Modernization</t>
        </is>
      </c>
      <c r="D81" t="inlineStr">
        <is>
          <t>Intersection/Interchange Improvements</t>
        </is>
      </c>
      <c r="E81" t="inlineStr">
        <is>
          <t>[H-INTIMP] Highway/Road - Intersection Improvement, [S-MOD] Signals - Modernization</t>
        </is>
      </c>
      <c r="F81" t="inlineStr">
        <is>
          <t>IDOT D1 Hwys</t>
        </is>
      </c>
      <c r="G81" t="inlineStr">
        <is>
          <t>Cook</t>
        </is>
      </c>
      <c r="H81" t="inlineStr">
        <is>
          <t>Arlington Heights, Des Plaines, Palatine</t>
        </is>
      </c>
      <c r="I81" t="inlineStr">
        <is>
          <t>XKVR554</t>
        </is>
      </c>
      <c r="J81" t="inlineStr">
        <is>
          <t>C-91-112-24</t>
        </is>
      </c>
      <c r="K81" t="inlineStr">
        <is>
          <t>Y001</t>
        </is>
      </c>
      <c r="L81" s="5" t="n">
        <v>691256</v>
      </c>
      <c r="M81" t="inlineStr">
        <is>
          <t>No</t>
        </is>
      </c>
      <c r="N81" t="inlineStr">
        <is>
          <t>No</t>
        </is>
      </c>
      <c r="O81" t="inlineStr">
        <is>
          <t>No</t>
        </is>
      </c>
      <c r="P81" t="b">
        <v>1</v>
      </c>
      <c r="Q81" t="inlineStr">
        <is>
          <t>FFY2025</t>
        </is>
      </c>
      <c r="R81" t="inlineStr">
        <is>
          <t>FHWA Obligation</t>
        </is>
      </c>
    </row>
    <row r="82">
      <c r="A82" t="inlineStr">
        <is>
          <t>03-24-0008</t>
        </is>
      </c>
      <c r="B82" t="inlineStr">
        <is>
          <t>Ill 72 Higgins Rd - Audubon St to Lexington Dr</t>
        </is>
      </c>
      <c r="C82" t="inlineStr">
        <is>
          <t>Smart Overlay, ADA Im;provements</t>
        </is>
      </c>
      <c r="D82" t="inlineStr">
        <is>
          <t>Road Maintenance</t>
        </is>
      </c>
      <c r="E82" t="inlineStr">
        <is>
          <t>[E-ADAMAINT] Maintain/Repair ADA Infrastructure (Roadway), [H-RS] Highway/Road - Resurface (with No Lane Widening)</t>
        </is>
      </c>
      <c r="F82" t="inlineStr">
        <is>
          <t>IDOT D1 Hwys</t>
        </is>
      </c>
      <c r="G82" t="inlineStr">
        <is>
          <t>Cook</t>
        </is>
      </c>
      <c r="H82" t="inlineStr">
        <is>
          <t>Hoffman Estates, Schaumburg</t>
        </is>
      </c>
      <c r="I82" t="inlineStr">
        <is>
          <t>HGI5827</t>
        </is>
      </c>
      <c r="J82" t="inlineStr">
        <is>
          <t>C-91-075-24</t>
        </is>
      </c>
      <c r="K82" t="inlineStr">
        <is>
          <t>Y928</t>
        </is>
      </c>
      <c r="L82" s="5" t="n">
        <v>200000</v>
      </c>
      <c r="M82" t="inlineStr">
        <is>
          <t>Yes</t>
        </is>
      </c>
      <c r="N82" t="inlineStr">
        <is>
          <t>Yes</t>
        </is>
      </c>
      <c r="O82" t="inlineStr">
        <is>
          <t>No</t>
        </is>
      </c>
      <c r="P82" t="b">
        <v>1</v>
      </c>
      <c r="Q82" t="inlineStr">
        <is>
          <t>FFY2025</t>
        </is>
      </c>
      <c r="R82" t="inlineStr">
        <is>
          <t>FHWA Obligation</t>
        </is>
      </c>
    </row>
    <row r="83">
      <c r="A83" t="inlineStr">
        <is>
          <t>03-24-0017</t>
        </is>
      </c>
      <c r="B83" t="inlineStr">
        <is>
          <t>Salem Drive Reconstruction</t>
        </is>
      </c>
      <c r="C83" t="inlineStr">
        <is>
          <t>Roadway reconstruction from Weathersfield Way to Schaumburg Rd. Existing HMA roadway will be reconstructed in place with new full depth HMA pavement and new curb and gutter. Existing 16' lanes will be reduced to 12' and bike lanes removed and replaced with a new PCC multiuse path along the west side of Salem Drive. Sidewalk on east side will remain. The improvements will also include pedestrian ramp upgrades, driveway replacement, and pavement marking and signing improvements.</t>
        </is>
      </c>
      <c r="D83" t="inlineStr">
        <is>
          <t>Road Modernization</t>
        </is>
      </c>
      <c r="E83" t="inlineStr">
        <is>
          <t>[A-PMRK] Safety - Pavement Marking, [E-ADAIMP] Improve ADA Infrastructure (Roadway), [E-PEDMAINT] Maintain Pedestrian Facility, [E- SharedNew] New Shared Use Path, [H-C/G] Highway/Road - Curb And Gutter, [H-INFO] Highway/Road - Directional/Informational Signs, [H- RCNST] Highway/Road - Reconst with Change in Use or Width Of Lane</t>
        </is>
      </c>
      <c r="F83" t="inlineStr">
        <is>
          <t>Northwest Council</t>
        </is>
      </c>
      <c r="G83" t="inlineStr">
        <is>
          <t>Cook</t>
        </is>
      </c>
      <c r="H83" t="inlineStr">
        <is>
          <t>Schaumburg</t>
        </is>
      </c>
      <c r="I83" t="inlineStr">
        <is>
          <t>D3SN663</t>
        </is>
      </c>
      <c r="J83" t="inlineStr">
        <is>
          <t>C-91-300-24</t>
        </is>
      </c>
      <c r="K83" t="inlineStr">
        <is>
          <t>Y230</t>
        </is>
      </c>
      <c r="L83" s="5" t="n">
        <v>3200000</v>
      </c>
      <c r="M83" t="inlineStr">
        <is>
          <t>Yes</t>
        </is>
      </c>
      <c r="N83" t="inlineStr">
        <is>
          <t>Yes</t>
        </is>
      </c>
      <c r="O83" t="inlineStr">
        <is>
          <t>Yes</t>
        </is>
      </c>
      <c r="P83" t="b">
        <v>1</v>
      </c>
      <c r="Q83" t="inlineStr">
        <is>
          <t>FFY2025</t>
        </is>
      </c>
      <c r="R83" t="inlineStr">
        <is>
          <t>FHWA Obligation</t>
        </is>
      </c>
    </row>
    <row r="84">
      <c r="A84" t="inlineStr">
        <is>
          <t>03-25-0004</t>
        </is>
      </c>
      <c r="B84" t="inlineStr">
        <is>
          <t>I-90 Rolling Meadows Electric Vehicle Charging Station</t>
        </is>
      </c>
      <c r="C84" t="inlineStr">
        <is>
          <t>NEVI funds for electric vehicle charging station at 1301 Meijer Dr.</t>
        </is>
      </c>
      <c r="D84" t="inlineStr">
        <is>
          <t>Emissions Reduction</t>
        </is>
      </c>
      <c r="E84" t="inlineStr">
        <is>
          <t>[H-EVINF] Highway/Road - EV Infrastructure</t>
        </is>
      </c>
      <c r="F84" t="inlineStr">
        <is>
          <t>IDOT OP&amp;P</t>
        </is>
      </c>
      <c r="G84" t="inlineStr">
        <is>
          <t>Cook</t>
        </is>
      </c>
      <c r="H84" t="inlineStr">
        <is>
          <t>Rolling Meadows</t>
        </is>
      </c>
      <c r="I84" t="inlineStr">
        <is>
          <t>4IDD923</t>
        </is>
      </c>
      <c r="J84" t="inlineStr">
        <is>
          <t>N-75-042-25</t>
        </is>
      </c>
      <c r="K84" t="inlineStr">
        <is>
          <t>Y130</t>
        </is>
      </c>
      <c r="L84" s="5" t="n">
        <v>722098</v>
      </c>
      <c r="M84" t="inlineStr">
        <is>
          <t>No</t>
        </is>
      </c>
      <c r="N84" t="inlineStr">
        <is>
          <t>No</t>
        </is>
      </c>
      <c r="O84" t="inlineStr">
        <is>
          <t>No</t>
        </is>
      </c>
      <c r="P84" t="b">
        <v>0</v>
      </c>
      <c r="Q84" t="inlineStr">
        <is>
          <t>FFY2025</t>
        </is>
      </c>
      <c r="R84" t="inlineStr">
        <is>
          <t>FHWA Obligation</t>
        </is>
      </c>
    </row>
    <row r="85">
      <c r="A85" t="inlineStr">
        <is>
          <t>03-25-0005</t>
        </is>
      </c>
      <c r="B85" t="inlineStr">
        <is>
          <t>Arlington Heights ComEd RIght-of-Way Multi- Use Trail</t>
        </is>
      </c>
      <c r="C85" t="inlineStr">
        <is>
          <t>A proposed 3.4 mile, 10 wide, east-west shared-use path throughout the northern Arlington Heights area, connecting the Palatine Trail to the Prospect Heights Bike Path. Grading and drainage improvements will be designed as required, in addition to signage along the corridors. The project will include an overhead or underground accommodation connecting the Palatine Trail on the west side of IL Route 53 to the ComEd Multi-Use trail on the east side of IL Route 53.</t>
        </is>
      </c>
      <c r="D85" t="inlineStr">
        <is>
          <t>Bicycle &amp; Pedestrian</t>
        </is>
      </c>
      <c r="E85" t="inlineStr">
        <is>
          <t>[E-ADANEW] New ADA Infrastructure (Roadway), [E-BIKENEW] New Bicycle Facility, [E-SharedNew] New Shared Use Path</t>
        </is>
      </c>
      <c r="F85" t="inlineStr">
        <is>
          <t>Northwest Council</t>
        </is>
      </c>
      <c r="G85" t="inlineStr">
        <is>
          <t>Cook</t>
        </is>
      </c>
      <c r="H85" t="inlineStr">
        <is>
          <t>Arlington Heights</t>
        </is>
      </c>
      <c r="I85" t="inlineStr">
        <is>
          <t>VBM6169</t>
        </is>
      </c>
      <c r="J85" t="inlineStr">
        <is>
          <t>P-91-031-25</t>
        </is>
      </c>
      <c r="K85" t="inlineStr">
        <is>
          <t>Y603</t>
        </is>
      </c>
      <c r="L85" s="5" t="n">
        <v>480000</v>
      </c>
      <c r="M85" t="inlineStr">
        <is>
          <t>Yes</t>
        </is>
      </c>
      <c r="N85" t="inlineStr">
        <is>
          <t>Yes</t>
        </is>
      </c>
      <c r="O85" t="inlineStr">
        <is>
          <t>No</t>
        </is>
      </c>
      <c r="P85" t="b">
        <v>1</v>
      </c>
      <c r="Q85" t="inlineStr">
        <is>
          <t>FFY2025</t>
        </is>
      </c>
      <c r="R85" t="inlineStr">
        <is>
          <t>FHWA Obligation</t>
        </is>
      </c>
    </row>
    <row r="86">
      <c r="A86" t="inlineStr">
        <is>
          <t>03-25-0017</t>
        </is>
      </c>
      <c r="B86" t="inlineStr">
        <is>
          <t>Pedestrian Grade Separation at Main Street</t>
        </is>
      </c>
      <c r="C86" t="inlineStr">
        <is>
          <t>New pedestrian/bicyclist grade separation along Main St at the CN Railway</t>
        </is>
      </c>
      <c r="D86" t="inlineStr">
        <is>
          <t>Rail-Highway Grade Separation</t>
        </is>
      </c>
      <c r="E86" t="inlineStr">
        <is>
          <t>[A-BAR] Safety - Barriers, [A-OPT] Safety - Opticom Equipment, [E- ADAMAINT] Maintain/Repair ADA Infrastructure (Roadway), [E-PEDIMP] Improve Pedestrian Facility, [S-TIM] Signals - Interconnects And Timing</t>
        </is>
      </c>
      <c r="F86" t="inlineStr">
        <is>
          <t>Northwest Council</t>
        </is>
      </c>
      <c r="G86" t="inlineStr">
        <is>
          <t>Cook</t>
        </is>
      </c>
      <c r="H86" t="inlineStr">
        <is>
          <t>Barrington</t>
        </is>
      </c>
      <c r="I86" t="inlineStr">
        <is>
          <t>3B67156</t>
        </is>
      </c>
      <c r="J86" t="inlineStr">
        <is>
          <t>P-91-037-25</t>
        </is>
      </c>
      <c r="K86" t="inlineStr">
        <is>
          <t>Y928</t>
        </is>
      </c>
      <c r="L86" s="5" t="n">
        <v>500000</v>
      </c>
      <c r="M86" t="inlineStr">
        <is>
          <t>Yes</t>
        </is>
      </c>
      <c r="N86" t="inlineStr">
        <is>
          <t>Yes</t>
        </is>
      </c>
      <c r="O86" t="inlineStr">
        <is>
          <t>Yes</t>
        </is>
      </c>
      <c r="P86" t="b">
        <v>1</v>
      </c>
      <c r="Q86" t="inlineStr">
        <is>
          <t>FFY2025</t>
        </is>
      </c>
      <c r="R86" t="inlineStr">
        <is>
          <t>FHWA Obligation</t>
        </is>
      </c>
    </row>
    <row r="87">
      <c r="A87" t="inlineStr">
        <is>
          <t>03-96-0021</t>
        </is>
      </c>
      <c r="B87" t="inlineStr">
        <is>
          <t>Elgin-O'Hare East Extension from Gary Road to O'Hare West Bypass Elgin O'Hare Western Access (Elgin-O'Hare East Extension &amp; Add Lanes, Western O'Hare Bypass) - RSP 20</t>
        </is>
      </c>
      <c r="C87" t="inlineStr">
        <is>
          <t>Limited Access Freeway. West O'Hare Bypass from I-90 to I-294 plus east segment of extension (from Bypass to I-290) and Add Lanes from I-290 to Gary. Includes demolition.</t>
        </is>
      </c>
      <c r="D87" t="inlineStr">
        <is>
          <t>Road Expansion</t>
        </is>
      </c>
      <c r="E87" t="inlineStr">
        <is>
          <t>[A-OTH] Safety - Other, [H-AL] Highway/Road - Add Lanes, [H-COR] Highway/Road - Corridor Improvement, [H-EXT] Highway/Road - Extend Road, [H-INTIMP] Highway/Road - Intersection Improvement, [H-INTRC] Highway/Road - Intersection Reconstruction, [H-NEW] Highway/Road - New Road, [H-RRGS] Highway/Road - Railroad Grade Separation, [H-RS] Highway/Road - Resurface (with No Lane Widening), [I-EXP] Interchange - Expand (New Movements Added to Interchange), [I-NEW] Interchange - New, [S-ASNG] Signals - Add Signals At Single Intersection, [S-MOD] Signals - Modernization</t>
        </is>
      </c>
      <c r="F87" t="inlineStr">
        <is>
          <t>IL Tollway</t>
        </is>
      </c>
      <c r="G87" t="inlineStr">
        <is>
          <t>Cook, DuPage</t>
        </is>
      </c>
      <c r="H87" t="inlineStr">
        <is>
          <t>Countywide</t>
        </is>
      </c>
      <c r="I87" t="inlineStr">
        <is>
          <t>UKUA050</t>
        </is>
      </c>
      <c r="J87" t="inlineStr">
        <is>
          <t>C-91-398-19</t>
        </is>
      </c>
      <c r="K87" t="inlineStr">
        <is>
          <t>Z300</t>
        </is>
      </c>
      <c r="L87" s="5" t="n">
        <v>127551</v>
      </c>
      <c r="M87" t="inlineStr">
        <is>
          <t>No</t>
        </is>
      </c>
      <c r="N87" t="inlineStr">
        <is>
          <t>No</t>
        </is>
      </c>
      <c r="O87" t="inlineStr">
        <is>
          <t>Yes</t>
        </is>
      </c>
      <c r="P87" t="b">
        <v>1</v>
      </c>
      <c r="Q87" t="inlineStr">
        <is>
          <t>FFY2025</t>
        </is>
      </c>
      <c r="R87" t="inlineStr">
        <is>
          <t>FHWA Obligation</t>
        </is>
      </c>
    </row>
    <row r="88">
      <c r="A88" t="inlineStr">
        <is>
          <t>03-96-0021</t>
        </is>
      </c>
      <c r="B88" t="inlineStr">
        <is>
          <t>Elgin-O'Hare East Extension from Gary Road to O'Hare West Bypass Elgin O'Hare Western Access (Elgin-O'Hare East Extension &amp; Add Lanes, Western O'Hare Bypass) - RSP 20</t>
        </is>
      </c>
      <c r="C88" t="inlineStr">
        <is>
          <t>Limited Access Freeway. West O'Hare Bypass from I-90 to I-294 plus east segment of extension (from Bypass to I-290) and Add Lanes from I-290 to Gary. Includes demolition.</t>
        </is>
      </c>
      <c r="D88" t="inlineStr">
        <is>
          <t>Road Expansion</t>
        </is>
      </c>
      <c r="E88" t="inlineStr">
        <is>
          <t>[A-OTH] Safety - Other, [H-AL] Highway/Road - Add Lanes, [H-COR] Highway/Road - Corridor Improvement, [H-EXT] Highway/Road - Extend Road, [H-INTIMP] Highway/Road - Intersection Improvement, [H-INTRC] Highway/Road - Intersection Reconstruction, [H-NEW] Highway/Road - New Road, [H-RRGS] Highway/Road - Railroad Grade Separation, [H-RS] Highway/Road - Resurface (with No Lane Widening), [I-EXP] Interchange - Expand (New Movements Added to Interchange), [I-NEW] Interchange - New, [S-ASNG] Signals - Add Signals At Single Intersection, [S-MOD] Signals - Modernization</t>
        </is>
      </c>
      <c r="F88" t="inlineStr">
        <is>
          <t>IL Tollway</t>
        </is>
      </c>
      <c r="G88" t="inlineStr">
        <is>
          <t>Cook, DuPage</t>
        </is>
      </c>
      <c r="H88" t="inlineStr">
        <is>
          <t>Countywide</t>
        </is>
      </c>
      <c r="I88" t="inlineStr">
        <is>
          <t>ZAGE365</t>
        </is>
      </c>
      <c r="J88" t="inlineStr">
        <is>
          <t>C-91-192-21</t>
        </is>
      </c>
      <c r="K88" t="inlineStr">
        <is>
          <t>Y400</t>
        </is>
      </c>
      <c r="L88" s="5" t="n">
        <v>12316512</v>
      </c>
      <c r="M88" t="inlineStr">
        <is>
          <t>No</t>
        </is>
      </c>
      <c r="N88" t="inlineStr">
        <is>
          <t>No</t>
        </is>
      </c>
      <c r="O88" t="inlineStr">
        <is>
          <t>Yes</t>
        </is>
      </c>
      <c r="P88" t="b">
        <v>1</v>
      </c>
      <c r="Q88" t="inlineStr">
        <is>
          <t>FFY2025</t>
        </is>
      </c>
      <c r="R88" t="inlineStr">
        <is>
          <t>FHWA Obligation</t>
        </is>
      </c>
    </row>
    <row r="89">
      <c r="A89" t="inlineStr">
        <is>
          <t>04-00-0023</t>
        </is>
      </c>
      <c r="B89" t="inlineStr">
        <is>
          <t>I-290 Eisenhower Expy from US 12/45/20 Mannheim Rd to Racine Ave - RSP 30</t>
        </is>
      </c>
      <c r="C89" t="inlineStr">
        <is>
          <t>I-290 Eisenhower High Occupancy Toll Lanes/I-290 Multimodal Corridor; Reconstruction/add lane, bridge reconstruction from Mannheim Rd to Austin Blvd.; Reconstruct/restripe from Austin Blvd. to Kostner Ave.; Restripe from Kostner Ave. to Racine Ave.; I-290 at Des Plaines River pump station reconstruction; CTA station reconstruction.</t>
        </is>
      </c>
      <c r="D89" t="inlineStr">
        <is>
          <t>Road Expansion</t>
        </is>
      </c>
      <c r="E89" t="inlineStr">
        <is>
          <t>[A-MED] Safety - Median Projects, [A-PMRK] Safety - Pavement Marking, [B-RECNFG] Bridge/Structure - Reconst/Rehab Chng in Lane Use/Widths, [B-REPAIR] Bridge/Structure - Reconst/Rehab No Chng in #, Wdth, or Lane, [C-MAINT] Rail Stations - Maintain, Rehabilitate, Replace, [H-COR] Highway/Road - Corridor Improvement, [H-HOT3] Highway/Road - HOT 3- Plus Lanes, [H-INTIMP] Highway/Road - Intersection Improvement, [H- STWTR] Highway/Road - Stormwater Infrastucture, [I-RCNST] Interchange - Reconstruction, [S-TIM] Signals - Interconnects And Timing, [Z-OTHEX] Miscellaneous - Exempt Projects</t>
        </is>
      </c>
      <c r="F89" t="inlineStr">
        <is>
          <t>IDOT D1 Hwys</t>
        </is>
      </c>
      <c r="G89" t="inlineStr">
        <is>
          <t>Cook</t>
        </is>
      </c>
      <c r="H89" t="inlineStr">
        <is>
          <t>Bellwood, Broadview, Chicago, Forest Park, Hillside, Maywood, Oak Park, Westchester</t>
        </is>
      </c>
      <c r="I89" t="inlineStr">
        <is>
          <t>TRTJ747</t>
        </is>
      </c>
      <c r="J89" t="inlineStr">
        <is>
          <t>C-91-137-16</t>
        </is>
      </c>
      <c r="K89" t="inlineStr">
        <is>
          <t>Z001</t>
        </is>
      </c>
      <c r="L89" s="5" t="n">
        <v>284512</v>
      </c>
      <c r="M89" t="inlineStr">
        <is>
          <t>No</t>
        </is>
      </c>
      <c r="N89" t="inlineStr">
        <is>
          <t>No</t>
        </is>
      </c>
      <c r="O89" t="inlineStr">
        <is>
          <t>Yes</t>
        </is>
      </c>
      <c r="P89" t="b">
        <v>1</v>
      </c>
      <c r="Q89" t="inlineStr">
        <is>
          <t>FFY2025</t>
        </is>
      </c>
      <c r="R89" t="inlineStr">
        <is>
          <t>FHWA Obligation</t>
        </is>
      </c>
    </row>
    <row r="90">
      <c r="A90" t="inlineStr">
        <is>
          <t>04-00-0023</t>
        </is>
      </c>
      <c r="B90" t="inlineStr">
        <is>
          <t>I-290 Eisenhower Expy from US 12/45/20 Mannheim Rd to Racine Ave - RSP 30</t>
        </is>
      </c>
      <c r="C90" t="inlineStr">
        <is>
          <t>I-290 Eisenhower High Occupancy Toll Lanes/I-290 Multimodal Corridor; Reconstruction/add lane, bridge reconstruction from Mannheim Rd to Austin Blvd.; Reconstruct/restripe from Austin Blvd. to Kostner Ave.; Restripe from Kostner Ave. to Racine Ave.; I-290 at Des Plaines River pump station reconstruction; CTA station reconstruction.</t>
        </is>
      </c>
      <c r="D90" t="inlineStr">
        <is>
          <t>Road Expansion</t>
        </is>
      </c>
      <c r="E90" t="inlineStr">
        <is>
          <t>[A-MED] Safety - Median Projects, [A-PMRK] Safety - Pavement Marking, [B-RECNFG] Bridge/Structure - Reconst/Rehab Chng in Lane Use/Widths, [B-REPAIR] Bridge/Structure - Reconst/Rehab No Chng in #, Wdth, or Lane, [C-MAINT] Rail Stations - Maintain, Rehabilitate, Replace, [H-COR] Highway/Road - Corridor Improvement, [H-HOT3] Highway/Road - HOT 3- Plus Lanes, [H-INTIMP] Highway/Road - Intersection Improvement, [H- STWTR] Highway/Road - Stormwater Infrastucture, [I-RCNST] Interchange - Reconstruction, [S-TIM] Signals - Interconnects And Timing, [Z-OTHEX] Miscellaneous - Exempt Projects</t>
        </is>
      </c>
      <c r="F90" t="inlineStr">
        <is>
          <t>IDOT D1 Hwys</t>
        </is>
      </c>
      <c r="G90" t="inlineStr">
        <is>
          <t>Cook</t>
        </is>
      </c>
      <c r="H90" t="inlineStr">
        <is>
          <t>Bellwood, Broadview, Chicago, Forest Park, Hillside, Maywood, Oak Park, Westchester</t>
        </is>
      </c>
      <c r="I90" t="inlineStr">
        <is>
          <t>TRTJ747</t>
        </is>
      </c>
      <c r="J90" t="inlineStr">
        <is>
          <t>C-91-137-16</t>
        </is>
      </c>
      <c r="K90" t="inlineStr">
        <is>
          <t>Y001</t>
        </is>
      </c>
      <c r="L90" s="5" t="n">
        <v>1085043</v>
      </c>
      <c r="M90" t="inlineStr">
        <is>
          <t>No</t>
        </is>
      </c>
      <c r="N90" t="inlineStr">
        <is>
          <t>No</t>
        </is>
      </c>
      <c r="O90" t="inlineStr">
        <is>
          <t>Yes</t>
        </is>
      </c>
      <c r="P90" t="b">
        <v>1</v>
      </c>
      <c r="Q90" t="inlineStr">
        <is>
          <t>FFY2025</t>
        </is>
      </c>
      <c r="R90" t="inlineStr">
        <is>
          <t>FHWA Obligation</t>
        </is>
      </c>
    </row>
    <row r="91">
      <c r="A91" t="inlineStr">
        <is>
          <t>04-16-0002</t>
        </is>
      </c>
      <c r="B91" t="inlineStr">
        <is>
          <t>Irving Park Road at Old River Road</t>
        </is>
      </c>
      <c r="C91" t="inlineStr">
        <is>
          <t>Intersection improvement at Irving Park Road and Old River Road</t>
        </is>
      </c>
      <c r="D91" t="inlineStr">
        <is>
          <t>Intersection/Interchange Improvements</t>
        </is>
      </c>
      <c r="E91" t="inlineStr">
        <is>
          <t>[H-INTIMP] Highway/Road - Intersection Improvement</t>
        </is>
      </c>
      <c r="F91" t="inlineStr">
        <is>
          <t>North Central Council</t>
        </is>
      </c>
      <c r="G91" t="inlineStr">
        <is>
          <t>Cook</t>
        </is>
      </c>
      <c r="H91" t="inlineStr">
        <is>
          <t>Schiller Park</t>
        </is>
      </c>
      <c r="I91" t="inlineStr">
        <is>
          <t>HMTU653</t>
        </is>
      </c>
      <c r="J91" t="inlineStr">
        <is>
          <t>C-91-189-16</t>
        </is>
      </c>
      <c r="K91" t="inlineStr">
        <is>
          <t>Y230</t>
        </is>
      </c>
      <c r="L91" s="5" t="n">
        <v>2592000</v>
      </c>
      <c r="M91" t="inlineStr">
        <is>
          <t>No</t>
        </is>
      </c>
      <c r="N91" t="inlineStr">
        <is>
          <t>No</t>
        </is>
      </c>
      <c r="O91" t="inlineStr">
        <is>
          <t>No</t>
        </is>
      </c>
      <c r="P91" t="b">
        <v>1</v>
      </c>
      <c r="Q91" t="inlineStr">
        <is>
          <t>FFY2025</t>
        </is>
      </c>
      <c r="R91" t="inlineStr">
        <is>
          <t>FHWA Obligation</t>
        </is>
      </c>
    </row>
    <row r="92">
      <c r="A92" t="inlineStr">
        <is>
          <t>04-16-0002</t>
        </is>
      </c>
      <c r="B92" t="inlineStr">
        <is>
          <t>Irving Park Road at Old River Road</t>
        </is>
      </c>
      <c r="C92" t="inlineStr">
        <is>
          <t>Intersection improvement at Irving Park Road and Old River Road</t>
        </is>
      </c>
      <c r="D92" t="inlineStr">
        <is>
          <t>Intersection/Interchange Improvements</t>
        </is>
      </c>
      <c r="E92" t="inlineStr">
        <is>
          <t>[H-INTIMP] Highway/Road - Intersection Improvement</t>
        </is>
      </c>
      <c r="F92" t="inlineStr">
        <is>
          <t>North Central Council</t>
        </is>
      </c>
      <c r="G92" t="inlineStr">
        <is>
          <t>Cook</t>
        </is>
      </c>
      <c r="H92" t="inlineStr">
        <is>
          <t>Schiller Park</t>
        </is>
      </c>
      <c r="I92" t="inlineStr">
        <is>
          <t>SVUV902</t>
        </is>
      </c>
      <c r="J92" t="inlineStr">
        <is>
          <t>D-91-189-16</t>
        </is>
      </c>
      <c r="K92" t="inlineStr">
        <is>
          <t>Y230</t>
        </is>
      </c>
      <c r="L92" s="5" t="n">
        <v>224000</v>
      </c>
      <c r="M92" t="inlineStr">
        <is>
          <t>No</t>
        </is>
      </c>
      <c r="N92" t="inlineStr">
        <is>
          <t>No</t>
        </is>
      </c>
      <c r="O92" t="inlineStr">
        <is>
          <t>No</t>
        </is>
      </c>
      <c r="P92" t="b">
        <v>1</v>
      </c>
      <c r="Q92" t="inlineStr">
        <is>
          <t>FFY2025</t>
        </is>
      </c>
      <c r="R92" t="inlineStr">
        <is>
          <t>FHWA Obligation</t>
        </is>
      </c>
    </row>
    <row r="93">
      <c r="A93" t="inlineStr">
        <is>
          <t>04-16-0005</t>
        </is>
      </c>
      <c r="B93" t="inlineStr">
        <is>
          <t>Balmoral Ave from Roosevelt Rd to Canterbury St - Westchester</t>
        </is>
      </c>
      <c r="C93" t="inlineStr">
        <is>
          <t>Reconstruction</t>
        </is>
      </c>
      <c r="D93" t="inlineStr">
        <is>
          <t>Road Modernization</t>
        </is>
      </c>
      <c r="E93" t="inlineStr">
        <is>
          <t>[H-RCINKND] Highway/Road - Reconstruct in Kind</t>
        </is>
      </c>
      <c r="F93" t="inlineStr">
        <is>
          <t>North Central Council</t>
        </is>
      </c>
      <c r="G93" t="inlineStr">
        <is>
          <t>Cook</t>
        </is>
      </c>
      <c r="H93" t="inlineStr">
        <is>
          <t>Westchester</t>
        </is>
      </c>
      <c r="I93" t="inlineStr">
        <is>
          <t>ZZEE871</t>
        </is>
      </c>
      <c r="J93" t="inlineStr">
        <is>
          <t>C-91-249-17</t>
        </is>
      </c>
      <c r="K93" t="inlineStr">
        <is>
          <t>Y230</t>
        </is>
      </c>
      <c r="L93" s="5" t="n">
        <v>1674977</v>
      </c>
      <c r="M93" t="inlineStr">
        <is>
          <t>No</t>
        </is>
      </c>
      <c r="N93" t="inlineStr">
        <is>
          <t>No</t>
        </is>
      </c>
      <c r="O93" t="inlineStr">
        <is>
          <t>No</t>
        </is>
      </c>
      <c r="P93" t="b">
        <v>1</v>
      </c>
      <c r="Q93" t="inlineStr">
        <is>
          <t>FFY2025</t>
        </is>
      </c>
      <c r="R93" t="inlineStr">
        <is>
          <t>FHWA Obligation</t>
        </is>
      </c>
    </row>
    <row r="94">
      <c r="A94" t="inlineStr">
        <is>
          <t>04-16-0008</t>
        </is>
      </c>
      <c r="B94" t="inlineStr">
        <is>
          <t>Elmwood Park Grand Avenue Grade Separation</t>
        </is>
      </c>
      <c r="C94" t="inlineStr">
        <is>
          <t>Grade Separation on Grand Avenue and Northeast Illinois Regional Commercial RR</t>
        </is>
      </c>
      <c r="D94" t="inlineStr">
        <is>
          <t>Rail-Highway Grade Separation</t>
        </is>
      </c>
      <c r="E94" t="inlineStr">
        <is>
          <t>[H-RRGS] Highway/Road - Railroad Grade Separation</t>
        </is>
      </c>
      <c r="F94" t="inlineStr">
        <is>
          <t>North Central Council</t>
        </is>
      </c>
      <c r="G94" t="inlineStr">
        <is>
          <t>Cook</t>
        </is>
      </c>
      <c r="H94" t="inlineStr">
        <is>
          <t>Elmwood Park</t>
        </is>
      </c>
      <c r="I94" t="inlineStr">
        <is>
          <t>87G2105</t>
        </is>
      </c>
      <c r="J94" t="inlineStr">
        <is>
          <t>P-91-029-17</t>
        </is>
      </c>
      <c r="K94" t="inlineStr">
        <is>
          <t>Y230</t>
        </is>
      </c>
      <c r="L94" s="5" t="n">
        <v>795899</v>
      </c>
      <c r="M94" t="inlineStr">
        <is>
          <t>No</t>
        </is>
      </c>
      <c r="N94" t="inlineStr">
        <is>
          <t>No</t>
        </is>
      </c>
      <c r="O94" t="inlineStr">
        <is>
          <t>No</t>
        </is>
      </c>
      <c r="P94" t="b">
        <v>1</v>
      </c>
      <c r="Q94" t="inlineStr">
        <is>
          <t>FFY2025</t>
        </is>
      </c>
      <c r="R94" t="inlineStr">
        <is>
          <t>FHWA Obligation</t>
        </is>
      </c>
    </row>
    <row r="95">
      <c r="A95" t="inlineStr">
        <is>
          <t>04-17-0002</t>
        </is>
      </c>
      <c r="B95" t="inlineStr">
        <is>
          <t>Melrose Park - Broadway Avenue Bridge</t>
        </is>
      </c>
      <c r="C95" t="inlineStr">
        <is>
          <t>Rehab, Removal, Replacement of Bridge</t>
        </is>
      </c>
      <c r="D95" t="inlineStr">
        <is>
          <t>Bridge Repair, Rehab, or Replace</t>
        </is>
      </c>
      <c r="E95" t="inlineStr">
        <is>
          <t>[B-REPAIR] Bridge/Structure - Reconst/Rehab No Chng in #, Wdth, or Lane, [S-MOD] Signals - Modernization</t>
        </is>
      </c>
      <c r="F95" t="inlineStr">
        <is>
          <t>North Central Council</t>
        </is>
      </c>
      <c r="G95" t="inlineStr">
        <is>
          <t>Cook</t>
        </is>
      </c>
      <c r="H95" t="inlineStr">
        <is>
          <t>Melrose Park</t>
        </is>
      </c>
      <c r="I95" t="inlineStr">
        <is>
          <t>RRBN653</t>
        </is>
      </c>
      <c r="J95" t="inlineStr">
        <is>
          <t>D-91-138-17</t>
        </is>
      </c>
      <c r="K95" t="inlineStr">
        <is>
          <t>Y114</t>
        </is>
      </c>
      <c r="L95" s="5" t="n">
        <v>212000</v>
      </c>
      <c r="M95" t="inlineStr">
        <is>
          <t>No</t>
        </is>
      </c>
      <c r="N95" t="inlineStr">
        <is>
          <t>No</t>
        </is>
      </c>
      <c r="O95" t="inlineStr">
        <is>
          <t>No</t>
        </is>
      </c>
      <c r="P95" t="b">
        <v>1</v>
      </c>
      <c r="Q95" t="inlineStr">
        <is>
          <t>FFY2025</t>
        </is>
      </c>
      <c r="R95" t="inlineStr">
        <is>
          <t>FHWA Obligation</t>
        </is>
      </c>
    </row>
    <row r="96">
      <c r="A96" t="inlineStr">
        <is>
          <t>04-17-0011</t>
        </is>
      </c>
      <c r="B96" t="inlineStr">
        <is>
          <t>Des Plaines River Trail from Touhy to North Avenue</t>
        </is>
      </c>
      <c r="C96" t="inlineStr">
        <is>
          <t>Creation, maintenance, and reconstruction of the Des Plaines River Trail from Touhy Avenue to North Avenue Park Ridge ITEP 143076 Touhy to Devon</t>
        </is>
      </c>
      <c r="D96" t="inlineStr">
        <is>
          <t>Bicycle &amp; Pedestrian</t>
        </is>
      </c>
      <c r="E96" t="inlineStr">
        <is>
          <t>[E-PEDIMP] Improve Pedestrian Facility, [E-PEDMAINT] Maintain Pedestrian Facility, [E-SharedMaint] Maintain Shared Path Facility, [E- SharedModern] Improve Shared Path Facility</t>
        </is>
      </c>
      <c r="F96" t="inlineStr">
        <is>
          <t>North Central Council</t>
        </is>
      </c>
      <c r="G96" t="inlineStr">
        <is>
          <t>Cook</t>
        </is>
      </c>
      <c r="H96" t="inlineStr">
        <is>
          <t>Chicago, Des Plaines, Elmwood Park, Franklin Park, Norridge, Park Ridge, River Grove, Rosemont, Schiller Park</t>
        </is>
      </c>
      <c r="I96" t="inlineStr">
        <is>
          <t>0REL643</t>
        </is>
      </c>
      <c r="J96" t="inlineStr">
        <is>
          <t>C-91-260-24</t>
        </is>
      </c>
      <c r="K96" t="inlineStr">
        <is>
          <t>Z301</t>
        </is>
      </c>
      <c r="L96" s="5" t="n">
        <v>2524900</v>
      </c>
      <c r="M96" t="inlineStr">
        <is>
          <t>Yes</t>
        </is>
      </c>
      <c r="N96" t="inlineStr">
        <is>
          <t>No</t>
        </is>
      </c>
      <c r="O96" t="inlineStr">
        <is>
          <t>No</t>
        </is>
      </c>
      <c r="P96" t="b">
        <v>1</v>
      </c>
      <c r="Q96" t="inlineStr">
        <is>
          <t>FFY2025</t>
        </is>
      </c>
      <c r="R96" t="inlineStr">
        <is>
          <t>FHWA Obligation</t>
        </is>
      </c>
    </row>
    <row r="97">
      <c r="A97" t="inlineStr">
        <is>
          <t>04-17-0011</t>
        </is>
      </c>
      <c r="B97" t="inlineStr">
        <is>
          <t>Des Plaines River Trail from Touhy to North Avenue</t>
        </is>
      </c>
      <c r="C97" t="inlineStr">
        <is>
          <t>Creation, maintenance, and reconstruction of the Des Plaines River Trail from Touhy Avenue to North Avenue Park Ridge ITEP 143076 Touhy to Devon</t>
        </is>
      </c>
      <c r="D97" t="inlineStr">
        <is>
          <t>Bicycle &amp; Pedestrian</t>
        </is>
      </c>
      <c r="E97" t="inlineStr">
        <is>
          <t>[E-PEDIMP] Improve Pedestrian Facility, [E-PEDMAINT] Maintain Pedestrian Facility, [E-SharedMaint] Maintain Shared Path Facility, [E- SharedModern] Improve Shared Path Facility</t>
        </is>
      </c>
      <c r="F97" t="inlineStr">
        <is>
          <t>North Central Council</t>
        </is>
      </c>
      <c r="G97" t="inlineStr">
        <is>
          <t>Cook</t>
        </is>
      </c>
      <c r="H97" t="inlineStr">
        <is>
          <t>Chicago, Des Plaines, Elmwood Park, Franklin Park, Norridge, Park Ridge, River Grove, Rosemont, Schiller Park</t>
        </is>
      </c>
      <c r="I97" t="inlineStr">
        <is>
          <t>E440489</t>
        </is>
      </c>
      <c r="J97" t="inlineStr">
        <is>
          <t>D-91-193-22</t>
        </is>
      </c>
      <c r="K97" t="inlineStr">
        <is>
          <t>Y300</t>
        </is>
      </c>
      <c r="L97" s="5" t="n">
        <v>257400</v>
      </c>
      <c r="M97" t="inlineStr">
        <is>
          <t>Yes</t>
        </is>
      </c>
      <c r="N97" t="inlineStr">
        <is>
          <t>No</t>
        </is>
      </c>
      <c r="O97" t="inlineStr">
        <is>
          <t>No</t>
        </is>
      </c>
      <c r="P97" t="b">
        <v>1</v>
      </c>
      <c r="Q97" t="inlineStr">
        <is>
          <t>FFY2025</t>
        </is>
      </c>
      <c r="R97" t="inlineStr">
        <is>
          <t>FHWA Obligation</t>
        </is>
      </c>
    </row>
    <row r="98">
      <c r="A98" t="inlineStr">
        <is>
          <t>04-17-0011</t>
        </is>
      </c>
      <c r="B98" t="inlineStr">
        <is>
          <t>Des Plaines River Trail from Touhy to North Avenue</t>
        </is>
      </c>
      <c r="C98" t="inlineStr">
        <is>
          <t>Creation, maintenance, and reconstruction of the Des Plaines River Trail from Touhy Avenue to North Avenue Park Ridge ITEP 143076 Touhy to Devon</t>
        </is>
      </c>
      <c r="D98" t="inlineStr">
        <is>
          <t>Bicycle &amp; Pedestrian</t>
        </is>
      </c>
      <c r="E98" t="inlineStr">
        <is>
          <t>[E-PEDIMP] Improve Pedestrian Facility, [E-PEDMAINT] Maintain Pedestrian Facility, [E-SharedMaint] Maintain Shared Path Facility, [E- SharedModern] Improve Shared Path Facility</t>
        </is>
      </c>
      <c r="F98" t="inlineStr">
        <is>
          <t>North Central Council</t>
        </is>
      </c>
      <c r="G98" t="inlineStr">
        <is>
          <t>Cook</t>
        </is>
      </c>
      <c r="H98" t="inlineStr">
        <is>
          <t>Chicago, Des Plaines, Elmwood Park, Franklin Park, Norridge, Park Ridge, River Grove, Rosemont, Schiller Park</t>
        </is>
      </c>
      <c r="I98" t="inlineStr">
        <is>
          <t>MC6P813</t>
        </is>
      </c>
      <c r="J98" t="inlineStr">
        <is>
          <t>C-91-039-22</t>
        </is>
      </c>
      <c r="K98" t="inlineStr">
        <is>
          <t>Z300</t>
        </is>
      </c>
      <c r="L98" s="5" t="n">
        <v>163300</v>
      </c>
      <c r="M98" t="inlineStr">
        <is>
          <t>Yes</t>
        </is>
      </c>
      <c r="N98" t="inlineStr">
        <is>
          <t>No</t>
        </is>
      </c>
      <c r="O98" t="inlineStr">
        <is>
          <t>No</t>
        </is>
      </c>
      <c r="P98" t="b">
        <v>1</v>
      </c>
      <c r="Q98" t="inlineStr">
        <is>
          <t>FFY2025</t>
        </is>
      </c>
      <c r="R98" t="inlineStr">
        <is>
          <t>FHWA Obligation</t>
        </is>
      </c>
    </row>
    <row r="99">
      <c r="A99" t="inlineStr">
        <is>
          <t>04-18-0006</t>
        </is>
      </c>
      <c r="B99" t="inlineStr">
        <is>
          <t>Armitage Avenue Reconstruction</t>
        </is>
      </c>
      <c r="C99" t="inlineStr">
        <is>
          <t>Reconstruction of Armitage Avenue in the Village of Melrose Park as well as some improvements to the bridge and box culvert over Silver Creek. The Bridge at Silver creek will be non-participating construction.</t>
        </is>
      </c>
      <c r="D99" t="inlineStr">
        <is>
          <t>Road Maintenance</t>
        </is>
      </c>
      <c r="E99" t="inlineStr">
        <is>
          <t>[A-PMRK] Safety - Pavement Marking, [B-REPAIR] Bridge/Structure - Reconst/Rehab No Chng in #, Wdth, or Lane, [E-ADAMAINT] Maintain/Repair ADA Infrastructure (Roadway), [H-IRS] Highway/Road - Intermittent Resurfacing, [H-RCINKND] Highway/Road - Reconstruct in Kind</t>
        </is>
      </c>
      <c r="F99" t="inlineStr">
        <is>
          <t>North Central Council</t>
        </is>
      </c>
      <c r="G99" t="inlineStr">
        <is>
          <t>Cook</t>
        </is>
      </c>
      <c r="H99" t="inlineStr">
        <is>
          <t>Melrose Park</t>
        </is>
      </c>
      <c r="I99" t="inlineStr">
        <is>
          <t>M0C3917</t>
        </is>
      </c>
      <c r="J99" t="inlineStr">
        <is>
          <t>D-91-141-22</t>
        </is>
      </c>
      <c r="K99" t="inlineStr">
        <is>
          <t>Z230</t>
        </is>
      </c>
      <c r="L99" s="5" t="n">
        <v>38385</v>
      </c>
      <c r="M99" t="inlineStr">
        <is>
          <t>Yes</t>
        </is>
      </c>
      <c r="N99" t="inlineStr">
        <is>
          <t>Yes</t>
        </is>
      </c>
      <c r="O99" t="inlineStr">
        <is>
          <t>Yes</t>
        </is>
      </c>
      <c r="P99" t="b">
        <v>1</v>
      </c>
      <c r="Q99" t="inlineStr">
        <is>
          <t>FFY2025</t>
        </is>
      </c>
      <c r="R99" t="inlineStr">
        <is>
          <t>FHWA Obligation</t>
        </is>
      </c>
    </row>
    <row r="100">
      <c r="A100" t="inlineStr">
        <is>
          <t>04-18-0006</t>
        </is>
      </c>
      <c r="B100" t="inlineStr">
        <is>
          <t>Armitage Avenue Reconstruction</t>
        </is>
      </c>
      <c r="C100" t="inlineStr">
        <is>
          <t>Reconstruction of Armitage Avenue in the Village of Melrose Park as well as some improvements to the bridge and box culvert over Silver Creek. The Bridge at Silver creek will be non-participating construction.</t>
        </is>
      </c>
      <c r="D100" t="inlineStr">
        <is>
          <t>Road Maintenance</t>
        </is>
      </c>
      <c r="E100" t="inlineStr">
        <is>
          <t>[A-PMRK] Safety - Pavement Marking, [B-REPAIR] Bridge/Structure - Reconst/Rehab No Chng in #, Wdth, or Lane, [E-ADAMAINT] Maintain/Repair ADA Infrastructure (Roadway), [H-IRS] Highway/Road - Intermittent Resurfacing, [H-RCINKND] Highway/Road - Reconstruct in Kind</t>
        </is>
      </c>
      <c r="F100" t="inlineStr">
        <is>
          <t>North Central Council</t>
        </is>
      </c>
      <c r="G100" t="inlineStr">
        <is>
          <t>Cook</t>
        </is>
      </c>
      <c r="H100" t="inlineStr">
        <is>
          <t>Melrose Park</t>
        </is>
      </c>
      <c r="I100" t="inlineStr">
        <is>
          <t>M0C3917</t>
        </is>
      </c>
      <c r="J100" t="inlineStr">
        <is>
          <t>D-91-141-22</t>
        </is>
      </c>
      <c r="K100" t="inlineStr">
        <is>
          <t>Y230</t>
        </is>
      </c>
      <c r="L100" s="5" t="n">
        <v>321199</v>
      </c>
      <c r="M100" t="inlineStr">
        <is>
          <t>Yes</t>
        </is>
      </c>
      <c r="N100" t="inlineStr">
        <is>
          <t>Yes</t>
        </is>
      </c>
      <c r="O100" t="inlineStr">
        <is>
          <t>Yes</t>
        </is>
      </c>
      <c r="P100" t="b">
        <v>1</v>
      </c>
      <c r="Q100" t="inlineStr">
        <is>
          <t>FFY2025</t>
        </is>
      </c>
      <c r="R100" t="inlineStr">
        <is>
          <t>FHWA Obligation</t>
        </is>
      </c>
    </row>
    <row r="101">
      <c r="A101" t="inlineStr">
        <is>
          <t>04-19-0001</t>
        </is>
      </c>
      <c r="B101" t="inlineStr">
        <is>
          <t>Rosemont Traffic Signals and Pedestrian Improvements</t>
        </is>
      </c>
      <c r="C101" t="inlineStr">
        <is>
          <t>Modernization of 14 existing traffic signals, pedestrian accommodations, pavement marking and signing</t>
        </is>
      </c>
      <c r="D101" t="inlineStr">
        <is>
          <t>Road Modernization</t>
        </is>
      </c>
      <c r="E101" t="inlineStr">
        <is>
          <t>[A-PMRK] Safety - Pavement Marking, [E-PEDIMP] Improve Pedestrian Facility, [E-PEDMAINT] Maintain Pedestrian Facility, [E-PEDNEW] New Pedestrian Facility, [E-PED] Pedestrian Facility, [H-INTIMP] Highway/Road - Intersection Improvement, [Z-OTH] Miscellaneous - Project Types Not Listed</t>
        </is>
      </c>
      <c r="F101" t="inlineStr">
        <is>
          <t>North Central Council</t>
        </is>
      </c>
      <c r="G101" t="inlineStr">
        <is>
          <t>Cook</t>
        </is>
      </c>
      <c r="H101" t="inlineStr">
        <is>
          <t>Rosemont</t>
        </is>
      </c>
      <c r="I101" t="inlineStr">
        <is>
          <t>6TKG691</t>
        </is>
      </c>
      <c r="J101" t="inlineStr">
        <is>
          <t>P-91-052-19</t>
        </is>
      </c>
      <c r="K101" t="inlineStr">
        <is>
          <t>ZS3E</t>
        </is>
      </c>
      <c r="L101" s="5" t="n">
        <v>159373</v>
      </c>
      <c r="M101" t="inlineStr">
        <is>
          <t>Yes</t>
        </is>
      </c>
      <c r="N101" t="inlineStr">
        <is>
          <t>No</t>
        </is>
      </c>
      <c r="O101" t="inlineStr">
        <is>
          <t>Yes</t>
        </is>
      </c>
      <c r="P101" t="b">
        <v>1</v>
      </c>
      <c r="Q101" t="inlineStr">
        <is>
          <t>FFY2025</t>
        </is>
      </c>
      <c r="R101" t="inlineStr">
        <is>
          <t>FHWA Obligation</t>
        </is>
      </c>
    </row>
    <row r="102">
      <c r="A102" t="inlineStr">
        <is>
          <t>04-19-0009</t>
        </is>
      </c>
      <c r="B102" t="inlineStr">
        <is>
          <t>Maywood 19th Avenue Reconstruction - Madison Street to Oak Street</t>
        </is>
      </c>
      <c r="C102" t="inlineStr">
        <is>
          <t>A reconstruction in-kind of 19th Avenue in the Village of Maywood from Madison Street to Oak Street</t>
        </is>
      </c>
      <c r="D102" t="inlineStr">
        <is>
          <t>Road Maintenance</t>
        </is>
      </c>
      <c r="E102" t="inlineStr">
        <is>
          <t>[A-LTS] Safety - Lighting, [A-PMRK] Safety - Pavement Marking, [E-ADAIMP] Improve ADA Infrastructure (Roadway), [E-PEDIMP] Improve Pedestrian Facility, [H-C/G] Highway/Road - Curb And Gutter, [H-RCINKND] Highway/Road - Reconstruct in Kind</t>
        </is>
      </c>
      <c r="F102" t="inlineStr">
        <is>
          <t>North Central Council</t>
        </is>
      </c>
      <c r="G102" t="inlineStr">
        <is>
          <t>Cook</t>
        </is>
      </c>
      <c r="H102" t="inlineStr">
        <is>
          <t>Maywood</t>
        </is>
      </c>
      <c r="I102" t="inlineStr">
        <is>
          <t>90KB677</t>
        </is>
      </c>
      <c r="J102" t="inlineStr">
        <is>
          <t>C-91-179-21</t>
        </is>
      </c>
      <c r="K102" t="inlineStr">
        <is>
          <t>Y230</t>
        </is>
      </c>
      <c r="L102" s="5" t="n">
        <v>2433000</v>
      </c>
      <c r="M102" t="inlineStr">
        <is>
          <t>Yes</t>
        </is>
      </c>
      <c r="N102" t="inlineStr">
        <is>
          <t>Yes</t>
        </is>
      </c>
      <c r="O102" t="inlineStr">
        <is>
          <t>Yes</t>
        </is>
      </c>
      <c r="P102" t="b">
        <v>1</v>
      </c>
      <c r="Q102" t="inlineStr">
        <is>
          <t>FFY2025</t>
        </is>
      </c>
      <c r="R102" t="inlineStr">
        <is>
          <t>FHWA Obligation</t>
        </is>
      </c>
    </row>
    <row r="103">
      <c r="A103" t="inlineStr">
        <is>
          <t>04-19-0010</t>
        </is>
      </c>
      <c r="B103" t="inlineStr">
        <is>
          <t>25th Avenue Shared Use Path</t>
        </is>
      </c>
      <c r="C103" t="inlineStr">
        <is>
          <t>The creation and maintenance of a Shared Use Path on 25th Avenue within the Village of Broadview from Salt Creek to 25th Avenue</t>
        </is>
      </c>
      <c r="D103" t="inlineStr">
        <is>
          <t>Bicycle &amp; Pedestrian</t>
        </is>
      </c>
      <c r="E103" t="inlineStr">
        <is>
          <t>[A-LTS] Safety - Lighting, [A-PMRK] Safety - Pavement Marking, [E- BIKENEW] New Bicycle Facility, [E-PEDNEW] New Pedestrian Facility, [H- RS] Highway/Road - Resurface (with No Lane Widening)</t>
        </is>
      </c>
      <c r="F103" t="inlineStr">
        <is>
          <t>North Central Council</t>
        </is>
      </c>
      <c r="G103" t="inlineStr">
        <is>
          <t>Cook</t>
        </is>
      </c>
      <c r="H103" t="inlineStr">
        <is>
          <t>Broadview</t>
        </is>
      </c>
      <c r="I103" t="inlineStr">
        <is>
          <t>8IXD653</t>
        </is>
      </c>
      <c r="J103" t="inlineStr">
        <is>
          <t>D-91-101-23</t>
        </is>
      </c>
      <c r="K103" t="inlineStr">
        <is>
          <t>Y301</t>
        </is>
      </c>
      <c r="L103" s="5" t="n">
        <v>234884</v>
      </c>
      <c r="M103" t="inlineStr">
        <is>
          <t>Yes</t>
        </is>
      </c>
      <c r="N103" t="inlineStr">
        <is>
          <t>No</t>
        </is>
      </c>
      <c r="O103" t="inlineStr">
        <is>
          <t>Yes</t>
        </is>
      </c>
      <c r="P103" t="b">
        <v>1</v>
      </c>
      <c r="Q103" t="inlineStr">
        <is>
          <t>FFY2025</t>
        </is>
      </c>
      <c r="R103" t="inlineStr">
        <is>
          <t>FHWA Obligation</t>
        </is>
      </c>
    </row>
    <row r="104">
      <c r="A104" t="inlineStr">
        <is>
          <t>04-19-0012</t>
        </is>
      </c>
      <c r="B104" t="inlineStr">
        <is>
          <t>Parkview/Palmer Bridge</t>
        </is>
      </c>
      <c r="C104" t="inlineStr">
        <is>
          <t>Superstructure replacement and approach roadway, sidewalk repair, replacement of Parkview Dr. and Palmer Ave Bridges</t>
        </is>
      </c>
      <c r="D104" t="inlineStr">
        <is>
          <t>Bridge Repair, Rehab, or Replace</t>
        </is>
      </c>
      <c r="E104" t="inlineStr">
        <is>
          <t>[B-REPLACE] Bridge/Structure - Replace, [B-SUP] Bridge Superstructure - Repair/Rehab, [E-PEDMAINT] Maintain Pedestrian Facility</t>
        </is>
      </c>
      <c r="F104" t="inlineStr">
        <is>
          <t>North Central Council</t>
        </is>
      </c>
      <c r="G104" t="inlineStr">
        <is>
          <t>Cook</t>
        </is>
      </c>
      <c r="H104" t="inlineStr">
        <is>
          <t>Northlake</t>
        </is>
      </c>
      <c r="I104" t="inlineStr">
        <is>
          <t>6DZ1399</t>
        </is>
      </c>
      <c r="J104" t="inlineStr">
        <is>
          <t>D-91-002-23</t>
        </is>
      </c>
      <c r="K104" t="inlineStr">
        <is>
          <t>Y233</t>
        </is>
      </c>
      <c r="L104" s="5" t="n">
        <v>88828</v>
      </c>
      <c r="M104" t="inlineStr">
        <is>
          <t>Yes</t>
        </is>
      </c>
      <c r="N104" t="inlineStr">
        <is>
          <t>No</t>
        </is>
      </c>
      <c r="O104" t="inlineStr">
        <is>
          <t>No</t>
        </is>
      </c>
      <c r="P104" t="b">
        <v>1</v>
      </c>
      <c r="Q104" t="inlineStr">
        <is>
          <t>FFY2025</t>
        </is>
      </c>
      <c r="R104" t="inlineStr">
        <is>
          <t>FHWA Obligation</t>
        </is>
      </c>
    </row>
    <row r="105">
      <c r="A105" t="inlineStr">
        <is>
          <t>04-19-0012</t>
        </is>
      </c>
      <c r="B105" t="inlineStr">
        <is>
          <t>Parkview/Palmer Bridge</t>
        </is>
      </c>
      <c r="C105" t="inlineStr">
        <is>
          <t>Superstructure replacement and approach roadway, sidewalk repair, replacement of Parkview Dr. and Palmer Ave Bridges</t>
        </is>
      </c>
      <c r="D105" t="inlineStr">
        <is>
          <t>Bridge Repair, Rehab, or Replace</t>
        </is>
      </c>
      <c r="E105" t="inlineStr">
        <is>
          <t>[B-REPLACE] Bridge/Structure - Replace, [B-SUP] Bridge Superstructure - Repair/Rehab, [E-PEDMAINT] Maintain Pedestrian Facility</t>
        </is>
      </c>
      <c r="F105" t="inlineStr">
        <is>
          <t>North Central Council</t>
        </is>
      </c>
      <c r="G105" t="inlineStr">
        <is>
          <t>Cook</t>
        </is>
      </c>
      <c r="H105" t="inlineStr">
        <is>
          <t>Northlake</t>
        </is>
      </c>
      <c r="I105" t="inlineStr">
        <is>
          <t>6DZ1399</t>
        </is>
      </c>
      <c r="J105" t="inlineStr">
        <is>
          <t>D-91-002-23</t>
        </is>
      </c>
      <c r="K105" t="inlineStr">
        <is>
          <t>Z233</t>
        </is>
      </c>
      <c r="L105" s="5" t="n">
        <v>7172</v>
      </c>
      <c r="M105" t="inlineStr">
        <is>
          <t>Yes</t>
        </is>
      </c>
      <c r="N105" t="inlineStr">
        <is>
          <t>No</t>
        </is>
      </c>
      <c r="O105" t="inlineStr">
        <is>
          <t>No</t>
        </is>
      </c>
      <c r="P105" t="b">
        <v>1</v>
      </c>
      <c r="Q105" t="inlineStr">
        <is>
          <t>FFY2025</t>
        </is>
      </c>
      <c r="R105" t="inlineStr">
        <is>
          <t>FHWA Obligation</t>
        </is>
      </c>
    </row>
    <row r="106">
      <c r="A106" t="inlineStr">
        <is>
          <t>04-19-0012</t>
        </is>
      </c>
      <c r="B106" t="inlineStr">
        <is>
          <t>Parkview/Palmer Bridge</t>
        </is>
      </c>
      <c r="C106" t="inlineStr">
        <is>
          <t>Superstructure replacement and approach roadway, sidewalk repair, replacement of Parkview Dr. and Palmer Ave Bridges</t>
        </is>
      </c>
      <c r="D106" t="inlineStr">
        <is>
          <t>Bridge Repair, Rehab, or Replace</t>
        </is>
      </c>
      <c r="E106" t="inlineStr">
        <is>
          <t>[B-REPLACE] Bridge/Structure - Replace, [B-SUP] Bridge Superstructure - Repair/Rehab, [E-PEDMAINT] Maintain Pedestrian Facility</t>
        </is>
      </c>
      <c r="F106" t="inlineStr">
        <is>
          <t>North Central Council</t>
        </is>
      </c>
      <c r="G106" t="inlineStr">
        <is>
          <t>Cook</t>
        </is>
      </c>
      <c r="H106" t="inlineStr">
        <is>
          <t>Northlake</t>
        </is>
      </c>
      <c r="I106" t="inlineStr">
        <is>
          <t>JUC2911</t>
        </is>
      </c>
      <c r="J106" t="inlineStr">
        <is>
          <t>C-91-003-23</t>
        </is>
      </c>
      <c r="K106" t="inlineStr">
        <is>
          <t>Y233</t>
        </is>
      </c>
      <c r="L106" s="5" t="n">
        <v>449600</v>
      </c>
      <c r="M106" t="inlineStr">
        <is>
          <t>Yes</t>
        </is>
      </c>
      <c r="N106" t="inlineStr">
        <is>
          <t>No</t>
        </is>
      </c>
      <c r="O106" t="inlineStr">
        <is>
          <t>No</t>
        </is>
      </c>
      <c r="P106" t="b">
        <v>1</v>
      </c>
      <c r="Q106" t="inlineStr">
        <is>
          <t>FFY2025</t>
        </is>
      </c>
      <c r="R106" t="inlineStr">
        <is>
          <t>FHWA Obligation</t>
        </is>
      </c>
    </row>
    <row r="107">
      <c r="A107" t="inlineStr">
        <is>
          <t>04-19-0014</t>
        </is>
      </c>
      <c r="B107" t="inlineStr">
        <is>
          <t>1) Ill 64 North Ave - I-294 (Tri-State Tollway) DuPage Co Line, 2) Ill 64 N Frontage Rd - 7th Ave (Hospital Entrance) to 5th Ave, 3) Ill 64 North Ave - 25th Ave to 5th Ave; 4) 5th Ave - N River Rd to Ill 64 (North Ave)</t>
        </is>
      </c>
      <c r="C107" t="inlineStr">
        <is>
          <t>Designed Overlay, Smart Overlay, ADA Improvements, Drainage</t>
        </is>
      </c>
      <c r="D107" t="inlineStr">
        <is>
          <t>Road Maintenance</t>
        </is>
      </c>
      <c r="E107" t="inlineStr">
        <is>
          <t>[E-ADAMAINT] Maintain/Repair ADA Infrastructure (Roadway), [H-RS] Highway/Road - Resurface (with No Lane Widening), [Z-OTHEX] Miscellaneous - Exempt Projects</t>
        </is>
      </c>
      <c r="F107" t="inlineStr">
        <is>
          <t>IDOT D1 Hwys</t>
        </is>
      </c>
      <c r="G107" t="inlineStr">
        <is>
          <t>Cook</t>
        </is>
      </c>
      <c r="H107" t="inlineStr">
        <is>
          <t>Elmwood Park, Melrose Park, Northlake, River Forest, River Grove</t>
        </is>
      </c>
      <c r="I107" t="inlineStr">
        <is>
          <t>ML0A796</t>
        </is>
      </c>
      <c r="J107" t="inlineStr">
        <is>
          <t>C-91-298-24</t>
        </is>
      </c>
      <c r="K107" t="inlineStr">
        <is>
          <t>Y041</t>
        </is>
      </c>
      <c r="L107" s="5" t="n">
        <v>1360000</v>
      </c>
      <c r="M107" t="inlineStr">
        <is>
          <t>Yes</t>
        </is>
      </c>
      <c r="N107" t="inlineStr">
        <is>
          <t>Yes</t>
        </is>
      </c>
      <c r="O107" t="inlineStr">
        <is>
          <t>No</t>
        </is>
      </c>
      <c r="P107" t="b">
        <v>1</v>
      </c>
      <c r="Q107" t="inlineStr">
        <is>
          <t>FFY2025</t>
        </is>
      </c>
      <c r="R107" t="inlineStr">
        <is>
          <t>FHWA Obligation</t>
        </is>
      </c>
    </row>
    <row r="108">
      <c r="A108" t="inlineStr">
        <is>
          <t>04-20-0019</t>
        </is>
      </c>
      <c r="B108" t="inlineStr">
        <is>
          <t>Traffic Signal Modernization at Wolf Road and Palmer Avenue</t>
        </is>
      </c>
      <c r="C108" t="inlineStr">
        <is>
          <t>Modernization of the existing traffic signal.</t>
        </is>
      </c>
      <c r="D108" t="inlineStr">
        <is>
          <t>Signal Systems</t>
        </is>
      </c>
      <c r="E108" t="inlineStr">
        <is>
          <t>[A-OPT] Safety - Opticom Equipment, [A-PMRK] Safety - Pavement Marking, [S-MOD] Signals - Modernization</t>
        </is>
      </c>
      <c r="F108" t="inlineStr">
        <is>
          <t>North Central Council</t>
        </is>
      </c>
      <c r="G108" t="inlineStr">
        <is>
          <t>Cook</t>
        </is>
      </c>
      <c r="H108" t="inlineStr">
        <is>
          <t>Northlake</t>
        </is>
      </c>
      <c r="I108" t="inlineStr">
        <is>
          <t>UXFQ887</t>
        </is>
      </c>
      <c r="J108" t="inlineStr">
        <is>
          <t>C-91-147-24</t>
        </is>
      </c>
      <c r="K108" t="inlineStr">
        <is>
          <t>Z230</t>
        </is>
      </c>
      <c r="L108" s="5" t="n">
        <v>92328</v>
      </c>
      <c r="M108" t="inlineStr">
        <is>
          <t>No</t>
        </is>
      </c>
      <c r="N108" t="inlineStr">
        <is>
          <t>No</t>
        </is>
      </c>
      <c r="O108" t="inlineStr">
        <is>
          <t>Yes</t>
        </is>
      </c>
      <c r="P108" t="b">
        <v>1</v>
      </c>
      <c r="Q108" t="inlineStr">
        <is>
          <t>FFY2025</t>
        </is>
      </c>
      <c r="R108" t="inlineStr">
        <is>
          <t>FHWA Obligation</t>
        </is>
      </c>
    </row>
    <row r="109">
      <c r="A109" t="inlineStr">
        <is>
          <t>04-20-0019</t>
        </is>
      </c>
      <c r="B109" t="inlineStr">
        <is>
          <t>Traffic Signal Modernization at Wolf Road and Palmer Avenue</t>
        </is>
      </c>
      <c r="C109" t="inlineStr">
        <is>
          <t>Modernization of the existing traffic signal.</t>
        </is>
      </c>
      <c r="D109" t="inlineStr">
        <is>
          <t>Signal Systems</t>
        </is>
      </c>
      <c r="E109" t="inlineStr">
        <is>
          <t>[A-OPT] Safety - Opticom Equipment, [A-PMRK] Safety - Pavement Marking, [S-MOD] Signals - Modernization</t>
        </is>
      </c>
      <c r="F109" t="inlineStr">
        <is>
          <t>North Central Council</t>
        </is>
      </c>
      <c r="G109" t="inlineStr">
        <is>
          <t>Cook</t>
        </is>
      </c>
      <c r="H109" t="inlineStr">
        <is>
          <t>Northlake</t>
        </is>
      </c>
      <c r="I109" t="inlineStr">
        <is>
          <t>UXFQ887</t>
        </is>
      </c>
      <c r="J109" t="inlineStr">
        <is>
          <t>C-91-147-24</t>
        </is>
      </c>
      <c r="K109" t="inlineStr">
        <is>
          <t>Y230</t>
        </is>
      </c>
      <c r="L109" s="5" t="n">
        <v>156765</v>
      </c>
      <c r="M109" t="inlineStr">
        <is>
          <t>No</t>
        </is>
      </c>
      <c r="N109" t="inlineStr">
        <is>
          <t>No</t>
        </is>
      </c>
      <c r="O109" t="inlineStr">
        <is>
          <t>Yes</t>
        </is>
      </c>
      <c r="P109" t="b">
        <v>1</v>
      </c>
      <c r="Q109" t="inlineStr">
        <is>
          <t>FFY2025</t>
        </is>
      </c>
      <c r="R109" t="inlineStr">
        <is>
          <t>FHWA Obligation</t>
        </is>
      </c>
    </row>
    <row r="110">
      <c r="A110" t="inlineStr">
        <is>
          <t>04-20-0020</t>
        </is>
      </c>
      <c r="B110" t="inlineStr">
        <is>
          <t>Traffic Signal Modernization at Wolf Road and Wiltse Drive</t>
        </is>
      </c>
      <c r="C110" t="inlineStr">
        <is>
          <t>Modernization of the existing traffic signal at Wolf Road and Wiltse Drive</t>
        </is>
      </c>
      <c r="D110" t="inlineStr">
        <is>
          <t>Road Modernization</t>
        </is>
      </c>
      <c r="E110" t="inlineStr">
        <is>
          <t>[A-OPT] Safety - Opticom Equipment, [S-MOD] Signals - Modernization</t>
        </is>
      </c>
      <c r="F110" t="inlineStr">
        <is>
          <t>North Central Council</t>
        </is>
      </c>
      <c r="G110" t="inlineStr">
        <is>
          <t>Cook</t>
        </is>
      </c>
      <c r="H110" t="inlineStr">
        <is>
          <t>Northlake</t>
        </is>
      </c>
      <c r="I110" t="inlineStr">
        <is>
          <t>KBZK227</t>
        </is>
      </c>
      <c r="J110" t="inlineStr">
        <is>
          <t>C-91-146-24</t>
        </is>
      </c>
      <c r="K110" t="inlineStr">
        <is>
          <t>Y230</t>
        </is>
      </c>
      <c r="L110" s="5" t="n">
        <v>480832</v>
      </c>
      <c r="M110" t="inlineStr">
        <is>
          <t>No</t>
        </is>
      </c>
      <c r="N110" t="inlineStr">
        <is>
          <t>No</t>
        </is>
      </c>
      <c r="O110" t="inlineStr">
        <is>
          <t>Yes</t>
        </is>
      </c>
      <c r="P110" t="b">
        <v>1</v>
      </c>
      <c r="Q110" t="inlineStr">
        <is>
          <t>FFY2025</t>
        </is>
      </c>
      <c r="R110" t="inlineStr">
        <is>
          <t>FHWA Obligation</t>
        </is>
      </c>
    </row>
    <row r="111">
      <c r="A111" t="inlineStr">
        <is>
          <t>04-20-0032</t>
        </is>
      </c>
      <c r="B111" t="inlineStr">
        <is>
          <t>9th Avenue LAFO - Main Street to Chicago Avenue</t>
        </is>
      </c>
      <c r="C111" t="inlineStr">
        <is>
          <t>Local Agency Functional Overlay (LAFO), including HMA surface removal, drainage structure repairs, intermittent curb and gutter removal and replacement, pavement patching, intermittent sidewalk removal and replacement, ADA ramp upgrades, resurfacing with HMA leveling binder and surface courses, pavement markings, landscape restoration, and appurtenant work.</t>
        </is>
      </c>
      <c r="D111" t="inlineStr">
        <is>
          <t>Road Maintenance</t>
        </is>
      </c>
      <c r="E111" t="inlineStr">
        <is>
          <t>[A-PMRK] Safety - Pavement Marking, [E-ADAIMP] Improve ADA Infrastructure (Roadway), [E-PEDIMP] Improve Pedestrian Facility, [H-C/G] Highway/Road - Curb And Gutter, [H-RS] Highway/Road - Resurface (with No Lane Widening)</t>
        </is>
      </c>
      <c r="F111" t="inlineStr">
        <is>
          <t>North Central Council</t>
        </is>
      </c>
      <c r="G111" t="inlineStr">
        <is>
          <t>Cook</t>
        </is>
      </c>
      <c r="H111" t="inlineStr">
        <is>
          <t>Maywood, Melrose Park</t>
        </is>
      </c>
      <c r="I111" t="inlineStr">
        <is>
          <t>2TX9757</t>
        </is>
      </c>
      <c r="J111" t="inlineStr">
        <is>
          <t>C-91-094-24</t>
        </is>
      </c>
      <c r="K111" t="inlineStr">
        <is>
          <t>Y230</t>
        </is>
      </c>
      <c r="L111" s="5" t="n">
        <v>42462</v>
      </c>
      <c r="M111" t="inlineStr">
        <is>
          <t>Yes</t>
        </is>
      </c>
      <c r="N111" t="inlineStr">
        <is>
          <t>Yes</t>
        </is>
      </c>
      <c r="O111" t="inlineStr">
        <is>
          <t>Yes</t>
        </is>
      </c>
      <c r="P111" t="b">
        <v>1</v>
      </c>
      <c r="Q111" t="inlineStr">
        <is>
          <t>FFY2025</t>
        </is>
      </c>
      <c r="R111" t="inlineStr">
        <is>
          <t>FHWA Obligation</t>
        </is>
      </c>
    </row>
    <row r="112">
      <c r="A112" t="inlineStr">
        <is>
          <t>04-20-0032</t>
        </is>
      </c>
      <c r="B112" t="inlineStr">
        <is>
          <t>9th Avenue LAFO - Main Street to Chicago Avenue</t>
        </is>
      </c>
      <c r="C112" t="inlineStr">
        <is>
          <t>Local Agency Functional Overlay (LAFO), including HMA surface removal, drainage structure repairs, intermittent curb and gutter removal and replacement, pavement patching, intermittent sidewalk removal and replacement, ADA ramp upgrades, resurfacing with HMA leveling binder and surface courses, pavement markings, landscape restoration, and appurtenant work.</t>
        </is>
      </c>
      <c r="D112" t="inlineStr">
        <is>
          <t>Road Maintenance</t>
        </is>
      </c>
      <c r="E112" t="inlineStr">
        <is>
          <t>[A-PMRK] Safety - Pavement Marking, [E-ADAIMP] Improve ADA Infrastructure (Roadway), [E-PEDIMP] Improve Pedestrian Facility, [H-C/G] Highway/Road - Curb And Gutter, [H-RS] Highway/Road - Resurface (with No Lane Widening)</t>
        </is>
      </c>
      <c r="F112" t="inlineStr">
        <is>
          <t>North Central Council</t>
        </is>
      </c>
      <c r="G112" t="inlineStr">
        <is>
          <t>Cook</t>
        </is>
      </c>
      <c r="H112" t="inlineStr">
        <is>
          <t>Maywood, Melrose Park</t>
        </is>
      </c>
      <c r="I112" t="inlineStr">
        <is>
          <t>2TX9757</t>
        </is>
      </c>
      <c r="J112" t="inlineStr">
        <is>
          <t>C-91-094-24</t>
        </is>
      </c>
      <c r="K112" t="inlineStr">
        <is>
          <t>Z23E</t>
        </is>
      </c>
      <c r="L112" s="5" t="n">
        <v>433538</v>
      </c>
      <c r="M112" t="inlineStr">
        <is>
          <t>Yes</t>
        </is>
      </c>
      <c r="N112" t="inlineStr">
        <is>
          <t>Yes</t>
        </is>
      </c>
      <c r="O112" t="inlineStr">
        <is>
          <t>Yes</t>
        </is>
      </c>
      <c r="P112" t="b">
        <v>1</v>
      </c>
      <c r="Q112" t="inlineStr">
        <is>
          <t>FFY2025</t>
        </is>
      </c>
      <c r="R112" t="inlineStr">
        <is>
          <t>FHWA Obligation</t>
        </is>
      </c>
    </row>
    <row r="113">
      <c r="A113" t="inlineStr">
        <is>
          <t>04-21-0010</t>
        </is>
      </c>
      <c r="B113" t="inlineStr">
        <is>
          <t>17th Ave - 14th St to I-290 (Eisenhower Expwy)</t>
        </is>
      </c>
      <c r="C113" t="inlineStr">
        <is>
          <t>Project is to add the intersections of 17th Ave at 14th St, 17th Ave at Harvard St, and 17th Ave at I-290 (Eisenhower Expy) to the west end of the existing traffic signal interconnect system - Econ 29. The existing system runs along Roosevelt Rd from 25th Ave to IL 43 (Harlem Ave) and includes nine (9) intersections.</t>
        </is>
      </c>
      <c r="D113" t="inlineStr">
        <is>
          <t>Signal Systems</t>
        </is>
      </c>
      <c r="E113" t="inlineStr">
        <is>
          <t>[S-TIM] Signals - Interconnects And Timing</t>
        </is>
      </c>
      <c r="F113" t="inlineStr">
        <is>
          <t>IDOT D1 Hwys</t>
        </is>
      </c>
      <c r="G113" t="inlineStr">
        <is>
          <t>Cook</t>
        </is>
      </c>
      <c r="H113" t="inlineStr">
        <is>
          <t>Broadview</t>
        </is>
      </c>
      <c r="I113" t="inlineStr">
        <is>
          <t>G4TG960</t>
        </is>
      </c>
      <c r="J113" t="inlineStr">
        <is>
          <t>C-91-244-22</t>
        </is>
      </c>
      <c r="K113" t="inlineStr">
        <is>
          <t>Y400</t>
        </is>
      </c>
      <c r="L113" s="5" t="n">
        <v>1968382</v>
      </c>
      <c r="M113" t="inlineStr">
        <is>
          <t>No</t>
        </is>
      </c>
      <c r="N113" t="inlineStr">
        <is>
          <t>No</t>
        </is>
      </c>
      <c r="O113" t="inlineStr">
        <is>
          <t>No</t>
        </is>
      </c>
      <c r="P113" t="b">
        <v>1</v>
      </c>
      <c r="Q113" t="inlineStr">
        <is>
          <t>FFY2025</t>
        </is>
      </c>
      <c r="R113" t="inlineStr">
        <is>
          <t>FHWA Obligation</t>
        </is>
      </c>
    </row>
    <row r="114">
      <c r="A114" t="inlineStr">
        <is>
          <t>04-21-0011</t>
        </is>
      </c>
      <c r="B114" t="inlineStr">
        <is>
          <t>Ill 43 - Ill 64 (North Ave) to Armitage Ave</t>
        </is>
      </c>
      <c r="C114" t="inlineStr">
        <is>
          <t>The project is to add the intersections of IL 43 at Bloomingdale Ave and IL 43 at Armitage Ave to the existing traffic signal interconnect system - ECON 100. The existing system runs along IL 64 from Cornell to Austin Blvd and along IL 171 from IL 64 to Strieby D, Which includes 23 intersections. In addition, the project will replace existing TS 1 cabinet and controller at two locations. IL 43 at Bloomingdale Ave and Armitage Ave.</t>
        </is>
      </c>
      <c r="D114" t="inlineStr">
        <is>
          <t>Signal Systems</t>
        </is>
      </c>
      <c r="E114" t="inlineStr">
        <is>
          <t>[S-TIM] Signals - Interconnects And Timing</t>
        </is>
      </c>
      <c r="F114" t="inlineStr">
        <is>
          <t>IDOT D1 Hwys</t>
        </is>
      </c>
      <c r="G114" t="inlineStr">
        <is>
          <t>Cook</t>
        </is>
      </c>
      <c r="H114" t="inlineStr">
        <is>
          <t>Elmwood Park</t>
        </is>
      </c>
      <c r="I114" t="inlineStr">
        <is>
          <t>L2HA083</t>
        </is>
      </c>
      <c r="J114" t="inlineStr">
        <is>
          <t>C-91-253-22</t>
        </is>
      </c>
      <c r="K114" t="inlineStr">
        <is>
          <t>Y400</t>
        </is>
      </c>
      <c r="L114" s="5" t="n">
        <v>996761</v>
      </c>
      <c r="M114" t="inlineStr">
        <is>
          <t>No</t>
        </is>
      </c>
      <c r="N114" t="inlineStr">
        <is>
          <t>No</t>
        </is>
      </c>
      <c r="O114" t="inlineStr">
        <is>
          <t>No</t>
        </is>
      </c>
      <c r="P114" t="b">
        <v>1</v>
      </c>
      <c r="Q114" t="inlineStr">
        <is>
          <t>FFY2025</t>
        </is>
      </c>
      <c r="R114" t="inlineStr">
        <is>
          <t>FHWA Obligation</t>
        </is>
      </c>
    </row>
    <row r="115">
      <c r="A115" t="inlineStr">
        <is>
          <t>04-21-0012</t>
        </is>
      </c>
      <c r="B115" t="inlineStr">
        <is>
          <t>US 20 Lake St - I-294 (Tri-State Tollway) to Wolf Rd</t>
        </is>
      </c>
      <c r="C115" t="inlineStr">
        <is>
          <t>Project is to add the intersections of US 20 (Lake St) at I-294 Ramps and US 20 (Lake St) at Wolf Rd to the south/west end of the existing traffic signal interconnect system - Econ 99. The existing system runs along IL 64 (North Ave) from Northwest Ave to Roy Ave and along Railroad Ave from IL 64 to US 20 and includes six (6) intersections.</t>
        </is>
      </c>
      <c r="D115" t="inlineStr">
        <is>
          <t>Signal Systems</t>
        </is>
      </c>
      <c r="E115" t="inlineStr">
        <is>
          <t>[S-TIM] Signals - Interconnects And Timing</t>
        </is>
      </c>
      <c r="F115" t="inlineStr">
        <is>
          <t>IDOT D1 Hwys</t>
        </is>
      </c>
      <c r="G115" t="inlineStr">
        <is>
          <t>Cook</t>
        </is>
      </c>
      <c r="H115" t="inlineStr">
        <is>
          <t>Northlake</t>
        </is>
      </c>
      <c r="I115" t="inlineStr">
        <is>
          <t>G4TG960</t>
        </is>
      </c>
      <c r="J115" t="inlineStr">
        <is>
          <t>C-91-244-22</t>
        </is>
      </c>
      <c r="K115" t="inlineStr">
        <is>
          <t>Y400</t>
        </is>
      </c>
      <c r="L115" s="5" t="n">
        <v>1968382</v>
      </c>
      <c r="M115" t="inlineStr">
        <is>
          <t>No</t>
        </is>
      </c>
      <c r="N115" t="inlineStr">
        <is>
          <t>No</t>
        </is>
      </c>
      <c r="O115" t="inlineStr">
        <is>
          <t>No</t>
        </is>
      </c>
      <c r="P115" t="b">
        <v>1</v>
      </c>
      <c r="Q115" t="inlineStr">
        <is>
          <t>FFY2025</t>
        </is>
      </c>
      <c r="R115" t="inlineStr">
        <is>
          <t>FHWA Obligation</t>
        </is>
      </c>
    </row>
    <row r="116">
      <c r="A116" t="inlineStr">
        <is>
          <t>04-22-0038</t>
        </is>
      </c>
      <c r="B116" t="inlineStr">
        <is>
          <t>21st Street Bridge at Addison Creek Replacement</t>
        </is>
      </c>
      <c r="C116" t="inlineStr">
        <is>
          <t>Bridge replacement and associated roadway improvements with bridge replacement. Lighting improvements as impacted by the bridge replacement. EII shown in IDOT MYP in 2025 (24-28)</t>
        </is>
      </c>
      <c r="D116" t="inlineStr">
        <is>
          <t>Bridge Repair, Rehab, or Replace</t>
        </is>
      </c>
      <c r="E116" t="inlineStr">
        <is>
          <t>[B-DECK] Bridge Deck - Repair/Rehab, [B-REPLACE] Bridge/Structure - Replace</t>
        </is>
      </c>
      <c r="F116" t="inlineStr">
        <is>
          <t>North Central Council</t>
        </is>
      </c>
      <c r="G116" t="inlineStr">
        <is>
          <t>Cook</t>
        </is>
      </c>
      <c r="H116" t="inlineStr">
        <is>
          <t>Broadview</t>
        </is>
      </c>
      <c r="I116" t="inlineStr">
        <is>
          <t>DSU8102</t>
        </is>
      </c>
      <c r="J116" t="inlineStr">
        <is>
          <t>P-91-055-22</t>
        </is>
      </c>
      <c r="K116" t="inlineStr">
        <is>
          <t>Y233</t>
        </is>
      </c>
      <c r="L116" s="5" t="n">
        <v>136000</v>
      </c>
      <c r="M116" t="inlineStr">
        <is>
          <t>No</t>
        </is>
      </c>
      <c r="N116" t="inlineStr">
        <is>
          <t>No</t>
        </is>
      </c>
      <c r="O116" t="inlineStr">
        <is>
          <t>No</t>
        </is>
      </c>
      <c r="P116" t="b">
        <v>1</v>
      </c>
      <c r="Q116" t="inlineStr">
        <is>
          <t>FFY2025</t>
        </is>
      </c>
      <c r="R116" t="inlineStr">
        <is>
          <t>FHWA Obligation</t>
        </is>
      </c>
    </row>
    <row r="117">
      <c r="A117" t="inlineStr">
        <is>
          <t>04-22-0044</t>
        </is>
      </c>
      <c r="B117" t="inlineStr">
        <is>
          <t>26th St - At Des Plaines River</t>
        </is>
      </c>
      <c r="C117" t="inlineStr">
        <is>
          <t>Bridge Joint Replace/Repair, Bridge Deck Overlay</t>
        </is>
      </c>
      <c r="D117" t="inlineStr">
        <is>
          <t>Bridge Routine Maintenance</t>
        </is>
      </c>
      <c r="E117" t="inlineStr">
        <is>
          <t>[B-OVR] Bridge Deck - Overlay, [B-REPAIR] Bridge/Structure - Reconst/Rehab No Chng in #, Wdth, or Lane</t>
        </is>
      </c>
      <c r="F117" t="inlineStr">
        <is>
          <t>IDOT D1 Hwys</t>
        </is>
      </c>
      <c r="G117" t="inlineStr">
        <is>
          <t>Cook</t>
        </is>
      </c>
      <c r="H117" t="inlineStr">
        <is>
          <t>North Riverside</t>
        </is>
      </c>
      <c r="I117" t="inlineStr">
        <is>
          <t>LB6A724</t>
        </is>
      </c>
      <c r="J117" t="inlineStr">
        <is>
          <t>C-91-350-22</t>
        </is>
      </c>
      <c r="K117" t="inlineStr">
        <is>
          <t>Y114</t>
        </is>
      </c>
      <c r="L117" s="5" t="n">
        <v>905939</v>
      </c>
      <c r="M117" t="inlineStr">
        <is>
          <t>No</t>
        </is>
      </c>
      <c r="N117" t="inlineStr">
        <is>
          <t>No</t>
        </is>
      </c>
      <c r="O117" t="inlineStr">
        <is>
          <t>No</t>
        </is>
      </c>
      <c r="P117" t="b">
        <v>1</v>
      </c>
      <c r="Q117" t="inlineStr">
        <is>
          <t>FFY2025</t>
        </is>
      </c>
      <c r="R117" t="inlineStr">
        <is>
          <t>FHWA Obligation</t>
        </is>
      </c>
    </row>
    <row r="118">
      <c r="A118" t="inlineStr">
        <is>
          <t>04-22-0045</t>
        </is>
      </c>
      <c r="B118" t="inlineStr">
        <is>
          <t>Des Plaines Avenue from 26th Street to Cermak Road</t>
        </is>
      </c>
      <c r="C118" t="inlineStr">
        <is>
          <t>Installation of decorative streetlight standards; concrete foundations; unit duct assembly, directionally bored; removal of existing street light poles and foundations; and all appurtenant construction to increase night time visibility and improve overall safety in the area.</t>
        </is>
      </c>
      <c r="D118" t="inlineStr">
        <is>
          <t>Transportation Enhancements</t>
        </is>
      </c>
      <c r="E118" t="inlineStr">
        <is>
          <t>[A-LTS] Safety - Lighting, [A-OTH] Safety - Other</t>
        </is>
      </c>
      <c r="F118" t="inlineStr">
        <is>
          <t>North Central Council</t>
        </is>
      </c>
      <c r="G118" t="inlineStr">
        <is>
          <t>Cook</t>
        </is>
      </c>
      <c r="H118" t="inlineStr">
        <is>
          <t>North Riverside</t>
        </is>
      </c>
      <c r="I118" t="inlineStr">
        <is>
          <t>WL3A619</t>
        </is>
      </c>
      <c r="J118" t="inlineStr">
        <is>
          <t>C-91-137-23</t>
        </is>
      </c>
      <c r="K118" t="inlineStr">
        <is>
          <t>Y230</t>
        </is>
      </c>
      <c r="L118" s="5" t="n">
        <v>691619</v>
      </c>
      <c r="M118" t="inlineStr">
        <is>
          <t>No</t>
        </is>
      </c>
      <c r="N118" t="inlineStr">
        <is>
          <t>No</t>
        </is>
      </c>
      <c r="O118" t="inlineStr">
        <is>
          <t>Yes</t>
        </is>
      </c>
      <c r="P118" t="b">
        <v>1</v>
      </c>
      <c r="Q118" t="inlineStr">
        <is>
          <t>FFY2025</t>
        </is>
      </c>
      <c r="R118" t="inlineStr">
        <is>
          <t>FHWA Obligation</t>
        </is>
      </c>
    </row>
    <row r="119">
      <c r="A119" t="inlineStr">
        <is>
          <t>04-23-0002</t>
        </is>
      </c>
      <c r="B119" t="inlineStr">
        <is>
          <t>Ill 171 Thatcher Ave - S of Belmont Ave</t>
        </is>
      </c>
      <c r="C119" t="inlineStr">
        <is>
          <t>RR Crossing Improvement</t>
        </is>
      </c>
      <c r="D119" t="inlineStr">
        <is>
          <t>Safety</t>
        </is>
      </c>
      <c r="E119" t="inlineStr">
        <is>
          <t>[A-RRXING] Safety - Railroad Crossing Improvements</t>
        </is>
      </c>
      <c r="F119" t="inlineStr">
        <is>
          <t>IDOT D1 Hwys</t>
        </is>
      </c>
      <c r="G119" t="inlineStr">
        <is>
          <t>Cook</t>
        </is>
      </c>
      <c r="H119" t="inlineStr">
        <is>
          <t>River Grove</t>
        </is>
      </c>
      <c r="I119" t="inlineStr">
        <is>
          <t>4ZHP031</t>
        </is>
      </c>
      <c r="J119" t="inlineStr">
        <is>
          <t>C-91-114-23</t>
        </is>
      </c>
      <c r="K119" t="inlineStr">
        <is>
          <t>ZS40</t>
        </is>
      </c>
      <c r="L119" s="5" t="n">
        <v>900000</v>
      </c>
      <c r="M119" t="inlineStr">
        <is>
          <t>No</t>
        </is>
      </c>
      <c r="N119" t="inlineStr">
        <is>
          <t>No</t>
        </is>
      </c>
      <c r="O119" t="inlineStr">
        <is>
          <t>Yes</t>
        </is>
      </c>
      <c r="P119" t="b">
        <v>1</v>
      </c>
      <c r="Q119" t="inlineStr">
        <is>
          <t>FFY2025</t>
        </is>
      </c>
      <c r="R119" t="inlineStr">
        <is>
          <t>FHWA Obligation</t>
        </is>
      </c>
    </row>
    <row r="120">
      <c r="A120" t="inlineStr">
        <is>
          <t>04-24-0006</t>
        </is>
      </c>
      <c r="B120" t="inlineStr">
        <is>
          <t>Berkeley Pace Bus Access Improvements</t>
        </is>
      </c>
      <c r="C120" t="inlineStr">
        <is>
          <t>Sidewalk network improvements to provide access from residential neighborhoods south of St. Charles Road to Pace Bus Route 313.</t>
        </is>
      </c>
      <c r="D120" t="inlineStr">
        <is>
          <t>Bicycle &amp; Pedestrian</t>
        </is>
      </c>
      <c r="E120" t="inlineStr">
        <is>
          <t>[E-PEDIMP] Improve Pedestrian Facility</t>
        </is>
      </c>
      <c r="F120" t="inlineStr">
        <is>
          <t>North Central Council</t>
        </is>
      </c>
      <c r="G120" t="inlineStr">
        <is>
          <t>Cook</t>
        </is>
      </c>
      <c r="H120" t="inlineStr">
        <is>
          <t>Berkeley</t>
        </is>
      </c>
      <c r="I120" t="inlineStr">
        <is>
          <t>JPL0431</t>
        </is>
      </c>
      <c r="J120" t="inlineStr">
        <is>
          <t>C-91-224-24</t>
        </is>
      </c>
      <c r="K120" t="inlineStr">
        <is>
          <t>Y300</t>
        </is>
      </c>
      <c r="L120" s="5" t="n">
        <v>200000</v>
      </c>
      <c r="M120" t="inlineStr">
        <is>
          <t>Yes</t>
        </is>
      </c>
      <c r="N120" t="inlineStr">
        <is>
          <t>No</t>
        </is>
      </c>
      <c r="O120" t="inlineStr">
        <is>
          <t>No</t>
        </is>
      </c>
      <c r="P120" t="b">
        <v>1</v>
      </c>
      <c r="Q120" t="inlineStr">
        <is>
          <t>FFY2025</t>
        </is>
      </c>
      <c r="R120" t="inlineStr">
        <is>
          <t>FHWA Obligation</t>
        </is>
      </c>
    </row>
    <row r="121">
      <c r="A121" t="inlineStr">
        <is>
          <t>04-24-0006</t>
        </is>
      </c>
      <c r="B121" t="inlineStr">
        <is>
          <t>Berkeley Pace Bus Access Improvements</t>
        </is>
      </c>
      <c r="C121" t="inlineStr">
        <is>
          <t>Sidewalk network improvements to provide access from residential neighborhoods south of St. Charles Road to Pace Bus Route 313.</t>
        </is>
      </c>
      <c r="D121" t="inlineStr">
        <is>
          <t>Bicycle &amp; Pedestrian</t>
        </is>
      </c>
      <c r="E121" t="inlineStr">
        <is>
          <t>[E-PEDIMP] Improve Pedestrian Facility</t>
        </is>
      </c>
      <c r="F121" t="inlineStr">
        <is>
          <t>North Central Council</t>
        </is>
      </c>
      <c r="G121" t="inlineStr">
        <is>
          <t>Cook</t>
        </is>
      </c>
      <c r="H121" t="inlineStr">
        <is>
          <t>Berkeley</t>
        </is>
      </c>
      <c r="I121" t="inlineStr">
        <is>
          <t>JPL0431</t>
        </is>
      </c>
      <c r="J121" t="inlineStr">
        <is>
          <t>C-91-224-24</t>
        </is>
      </c>
      <c r="K121" t="inlineStr">
        <is>
          <t>Y400</t>
        </is>
      </c>
      <c r="L121" s="5" t="n">
        <v>1227348</v>
      </c>
      <c r="M121" t="inlineStr">
        <is>
          <t>Yes</t>
        </is>
      </c>
      <c r="N121" t="inlineStr">
        <is>
          <t>No</t>
        </is>
      </c>
      <c r="O121" t="inlineStr">
        <is>
          <t>No</t>
        </is>
      </c>
      <c r="P121" t="b">
        <v>1</v>
      </c>
      <c r="Q121" t="inlineStr">
        <is>
          <t>FFY2025</t>
        </is>
      </c>
      <c r="R121" t="inlineStr">
        <is>
          <t>FHWA Obligation</t>
        </is>
      </c>
    </row>
    <row r="122">
      <c r="A122" t="inlineStr">
        <is>
          <t>04-24-0006</t>
        </is>
      </c>
      <c r="B122" t="inlineStr">
        <is>
          <t>Berkeley Pace Bus Access Improvements</t>
        </is>
      </c>
      <c r="C122" t="inlineStr">
        <is>
          <t>Sidewalk network improvements to provide access from residential neighborhoods south of St. Charles Road to Pace Bus Route 313.</t>
        </is>
      </c>
      <c r="D122" t="inlineStr">
        <is>
          <t>Bicycle &amp; Pedestrian</t>
        </is>
      </c>
      <c r="E122" t="inlineStr">
        <is>
          <t>[E-PEDIMP] Improve Pedestrian Facility</t>
        </is>
      </c>
      <c r="F122" t="inlineStr">
        <is>
          <t>North Central Council</t>
        </is>
      </c>
      <c r="G122" t="inlineStr">
        <is>
          <t>Cook</t>
        </is>
      </c>
      <c r="H122" t="inlineStr">
        <is>
          <t>Berkeley</t>
        </is>
      </c>
      <c r="I122" t="inlineStr">
        <is>
          <t>JPL0431</t>
        </is>
      </c>
      <c r="J122" t="inlineStr">
        <is>
          <t>C-91-224-24</t>
        </is>
      </c>
      <c r="K122" t="inlineStr">
        <is>
          <t>YS70</t>
        </is>
      </c>
      <c r="L122" s="5" t="n">
        <v>50000</v>
      </c>
      <c r="M122" t="inlineStr">
        <is>
          <t>Yes</t>
        </is>
      </c>
      <c r="N122" t="inlineStr">
        <is>
          <t>No</t>
        </is>
      </c>
      <c r="O122" t="inlineStr">
        <is>
          <t>No</t>
        </is>
      </c>
      <c r="P122" t="b">
        <v>1</v>
      </c>
      <c r="Q122" t="inlineStr">
        <is>
          <t>FFY2025</t>
        </is>
      </c>
      <c r="R122" t="inlineStr">
        <is>
          <t>FHWA Obligation</t>
        </is>
      </c>
    </row>
    <row r="123">
      <c r="A123" t="inlineStr">
        <is>
          <t>04-24-0034</t>
        </is>
      </c>
      <c r="B123" t="inlineStr">
        <is>
          <t>Franklin Park Grand and George Traffic Signal Installation</t>
        </is>
      </c>
      <c r="C123" t="inlineStr">
        <is>
          <t>Franklin Park Grand and George Traffic Signal Installation</t>
        </is>
      </c>
      <c r="D123" t="inlineStr">
        <is>
          <t>Road Signals &amp; Signs</t>
        </is>
      </c>
      <c r="E123" t="inlineStr">
        <is>
          <t>[S-ASNG] Signals - Add Signals At Single Intersection</t>
        </is>
      </c>
      <c r="F123" t="inlineStr">
        <is>
          <t>North Central Council</t>
        </is>
      </c>
      <c r="G123" t="inlineStr">
        <is>
          <t>Cook</t>
        </is>
      </c>
      <c r="H123" t="inlineStr">
        <is>
          <t>Franklin Park</t>
        </is>
      </c>
      <c r="I123" t="inlineStr">
        <is>
          <t>AGTY053</t>
        </is>
      </c>
      <c r="J123" t="inlineStr">
        <is>
          <t>P-91-016-25</t>
        </is>
      </c>
      <c r="K123" t="inlineStr">
        <is>
          <t>Y928</t>
        </is>
      </c>
      <c r="L123" s="5" t="n">
        <v>96000</v>
      </c>
      <c r="M123" t="inlineStr">
        <is>
          <t>No</t>
        </is>
      </c>
      <c r="N123" t="inlineStr">
        <is>
          <t>No</t>
        </is>
      </c>
      <c r="O123" t="inlineStr">
        <is>
          <t>No</t>
        </is>
      </c>
      <c r="P123" t="b">
        <v>1</v>
      </c>
      <c r="Q123" t="inlineStr">
        <is>
          <t>FFY2025</t>
        </is>
      </c>
      <c r="R123" t="inlineStr">
        <is>
          <t>FHWA Obligation</t>
        </is>
      </c>
    </row>
    <row r="124">
      <c r="A124" t="inlineStr">
        <is>
          <t>04-25-0001</t>
        </is>
      </c>
      <c r="B124" t="inlineStr">
        <is>
          <t>I-80 Under Maple Ave/187th St, I-94 EB to I- 55 SB At Archer Ave/ BNSF &amp; ICC RR</t>
        </is>
      </c>
      <c r="C124" t="inlineStr">
        <is>
          <t>Bridge Painting</t>
        </is>
      </c>
      <c r="D124" t="inlineStr">
        <is>
          <t>Bridge Routine Maintenance</t>
        </is>
      </c>
      <c r="E124" t="inlineStr">
        <is>
          <t>[B-PNT] Bridge/Structure - Paint</t>
        </is>
      </c>
      <c r="F124" t="inlineStr">
        <is>
          <t>IDOT D1 Hwys</t>
        </is>
      </c>
      <c r="G124" t="inlineStr">
        <is>
          <t>Cook, Will</t>
        </is>
      </c>
      <c r="H124" t="inlineStr">
        <is>
          <t>Chicago, Mokena</t>
        </is>
      </c>
      <c r="I124" t="inlineStr">
        <is>
          <t>BLWB517</t>
        </is>
      </c>
      <c r="J124" t="inlineStr">
        <is>
          <t>C-91-005-25</t>
        </is>
      </c>
      <c r="K124" t="inlineStr">
        <is>
          <t>Y001</t>
        </is>
      </c>
      <c r="L124" s="5" t="n">
        <v>659700</v>
      </c>
      <c r="M124" t="inlineStr">
        <is>
          <t>No</t>
        </is>
      </c>
      <c r="N124" t="inlineStr">
        <is>
          <t>No</t>
        </is>
      </c>
      <c r="O124" t="inlineStr">
        <is>
          <t>No</t>
        </is>
      </c>
      <c r="P124" t="b">
        <v>1</v>
      </c>
      <c r="Q124" t="inlineStr">
        <is>
          <t>FFY2025</t>
        </is>
      </c>
      <c r="R124" t="inlineStr">
        <is>
          <t>FHWA Obligation</t>
        </is>
      </c>
    </row>
    <row r="125">
      <c r="A125" t="inlineStr">
        <is>
          <t>04-25-0002</t>
        </is>
      </c>
      <c r="B125" t="inlineStr">
        <is>
          <t>I-290 Westchester Electric Vehicle Charging Station</t>
        </is>
      </c>
      <c r="C125" t="inlineStr">
        <is>
          <t>NEVI funds for electric vehicle charging station at 825 S. Mannheim Rd.</t>
        </is>
      </c>
      <c r="D125" t="inlineStr">
        <is>
          <t>Emissions Reduction</t>
        </is>
      </c>
      <c r="E125" t="inlineStr">
        <is>
          <t>[H-EVINF] Highway/Road - EV Infrastructure</t>
        </is>
      </c>
      <c r="F125" t="inlineStr">
        <is>
          <t>IDOT OP&amp;P</t>
        </is>
      </c>
      <c r="G125" t="inlineStr">
        <is>
          <t>Cook</t>
        </is>
      </c>
      <c r="H125" t="inlineStr">
        <is>
          <t>Westchester</t>
        </is>
      </c>
      <c r="I125" t="inlineStr">
        <is>
          <t>UAKA172</t>
        </is>
      </c>
      <c r="J125" t="inlineStr">
        <is>
          <t>N-75-012-25</t>
        </is>
      </c>
      <c r="K125" t="inlineStr">
        <is>
          <t>Y130</t>
        </is>
      </c>
      <c r="L125" s="5" t="n">
        <v>429200</v>
      </c>
      <c r="M125" t="inlineStr">
        <is>
          <t>No</t>
        </is>
      </c>
      <c r="N125" t="inlineStr">
        <is>
          <t>No</t>
        </is>
      </c>
      <c r="O125" t="inlineStr">
        <is>
          <t>No</t>
        </is>
      </c>
      <c r="P125" t="b">
        <v>0</v>
      </c>
      <c r="Q125" t="inlineStr">
        <is>
          <t>FFY2025</t>
        </is>
      </c>
      <c r="R125" t="inlineStr">
        <is>
          <t>FHWA Obligation</t>
        </is>
      </c>
    </row>
    <row r="126">
      <c r="A126" t="inlineStr">
        <is>
          <t>05-10-0004</t>
        </is>
      </c>
      <c r="B126" t="inlineStr">
        <is>
          <t>55th St from US 12 US 45 US 20 LaGrange Rd to East Ave/Eberly &amp; at US 12/20/45</t>
        </is>
      </c>
      <c r="C126" t="inlineStr">
        <is>
          <t>ADA RAMPS</t>
        </is>
      </c>
      <c r="D126" t="inlineStr">
        <is>
          <t>Road Maintenance</t>
        </is>
      </c>
      <c r="E126" t="inlineStr">
        <is>
          <t>[E-ADAIMP] Improve ADA Infrastructure (Roadway), [H-INTIMP] Highway/Road - Intersection Improvement, [H-WRS] Highway/Road - Widen Lanes And Resurface</t>
        </is>
      </c>
      <c r="F126" t="inlineStr">
        <is>
          <t>IDOT D1 Hwys</t>
        </is>
      </c>
      <c r="G126" t="inlineStr">
        <is>
          <t>Cook</t>
        </is>
      </c>
      <c r="H126" t="inlineStr">
        <is>
          <t>Countryside</t>
        </is>
      </c>
      <c r="I126" t="inlineStr">
        <is>
          <t>TM1F500</t>
        </is>
      </c>
      <c r="J126" t="inlineStr">
        <is>
          <t>C-91-126-12</t>
        </is>
      </c>
      <c r="K126" t="inlineStr">
        <is>
          <t>Y240</t>
        </is>
      </c>
      <c r="L126" s="5" t="n">
        <v>6452835</v>
      </c>
      <c r="M126" t="inlineStr">
        <is>
          <t>Yes</t>
        </is>
      </c>
      <c r="N126" t="inlineStr">
        <is>
          <t>Yes</t>
        </is>
      </c>
      <c r="O126" t="inlineStr">
        <is>
          <t>No</t>
        </is>
      </c>
      <c r="P126" t="b">
        <v>1</v>
      </c>
      <c r="Q126" t="inlineStr">
        <is>
          <t>FFY2025</t>
        </is>
      </c>
      <c r="R126" t="inlineStr">
        <is>
          <t>FHWA Obligation</t>
        </is>
      </c>
    </row>
    <row r="127">
      <c r="A127" t="inlineStr">
        <is>
          <t>05-16-0001</t>
        </is>
      </c>
      <c r="B127" t="inlineStr">
        <is>
          <t>16th St from IL 43 Harlem Av to Lombard Av</t>
        </is>
      </c>
      <c r="C127" t="inlineStr">
        <is>
          <t>Signal modernization along 16th Street, resurfacing, ADA improvements, Signal Interconnects, and curb bump outs</t>
        </is>
      </c>
      <c r="D127" t="inlineStr">
        <is>
          <t>Intersection/Interchange Improvements</t>
        </is>
      </c>
      <c r="E127" t="inlineStr">
        <is>
          <t>[E-ADAIMP] Improve ADA Infrastructure (Roadway), [E-ADANEW] New ADA Infrastructure (Roadway), [E-BIKEIMP] Improve Bicycle Facility, [E- BIKEPARK] Bicycle Parking, [E-PEDIMP] Improve Pedestrian Facility, [H- INTIMP] Highway/Road - Intersection Improvement, [H-INTRC] Highway/Road - Intersection Reconstruction, [H-RS] Highway/Road - Resurface (with No Lane Widening), [S-MOD] Signals - Modernization, [S- NEW] Signals - New Signals for Multiple Intersections, [S-TIM] Signals - Interconnects And Timing</t>
        </is>
      </c>
      <c r="F127" t="inlineStr">
        <is>
          <t>Central Council</t>
        </is>
      </c>
      <c r="G127" t="inlineStr">
        <is>
          <t>Cook</t>
        </is>
      </c>
      <c r="H127" t="inlineStr">
        <is>
          <t>Berwyn</t>
        </is>
      </c>
      <c r="I127" t="inlineStr">
        <is>
          <t>YA4T592</t>
        </is>
      </c>
      <c r="J127" t="inlineStr">
        <is>
          <t>D-91-146-21</t>
        </is>
      </c>
      <c r="K127" t="inlineStr">
        <is>
          <t>Y230</t>
        </is>
      </c>
      <c r="L127" s="5" t="n">
        <v>335821</v>
      </c>
      <c r="M127" t="inlineStr">
        <is>
          <t>Yes</t>
        </is>
      </c>
      <c r="N127" t="inlineStr">
        <is>
          <t>Yes</t>
        </is>
      </c>
      <c r="O127" t="inlineStr">
        <is>
          <t>No</t>
        </is>
      </c>
      <c r="P127" t="b">
        <v>1</v>
      </c>
      <c r="Q127" t="inlineStr">
        <is>
          <t>FFY2025</t>
        </is>
      </c>
      <c r="R127" t="inlineStr">
        <is>
          <t>FHWA Obligation</t>
        </is>
      </c>
    </row>
    <row r="128">
      <c r="A128" t="inlineStr">
        <is>
          <t>05-16-0007</t>
        </is>
      </c>
      <c r="B128" t="inlineStr">
        <is>
          <t>IL 56 from IL 59 to IL 50; Cermak Rd./22nd St., Renaissance Blvd (West of) to IL 50 (Cicero Ave.)</t>
        </is>
      </c>
      <c r="C128" t="inlineStr">
        <is>
          <t>Changeable Message Signs, Pedestrian Signals, Sidewalks, Signal Timing/Progression, Signing (New), Surveillance, Traffic Signal Modernization, ADA</t>
        </is>
      </c>
      <c r="D128" t="inlineStr">
        <is>
          <t>Road Maintenance</t>
        </is>
      </c>
      <c r="E128" t="inlineStr">
        <is>
          <t>[H-INFO] Highway/Road - Directional/Informational Signs, [S-MOD] Signals - Modernization, [S-TIM] Signals - Interconnects And Timing, [Z-OTHEX] Miscellaneous - Exempt Projects</t>
        </is>
      </c>
      <c r="F128" t="inlineStr">
        <is>
          <t>IDOT D1 Hwys</t>
        </is>
      </c>
      <c r="G128" t="inlineStr">
        <is>
          <t>Cook, DuPage</t>
        </is>
      </c>
      <c r="H128" t="inlineStr">
        <is>
          <t>Berwyn, Broadview, Chicago, Cicero, Elmhurst, Elmwood Park, Melrose Park, North Riverside, Northlake, Oak Brook, Oak Park, River Forest, River Grove, Westchester</t>
        </is>
      </c>
      <c r="I128" t="inlineStr">
        <is>
          <t>97TW455</t>
        </is>
      </c>
      <c r="J128" t="inlineStr">
        <is>
          <t>D-91-078-21</t>
        </is>
      </c>
      <c r="K128" t="inlineStr">
        <is>
          <t>Y230</t>
        </is>
      </c>
      <c r="L128" s="5" t="n">
        <v>116074</v>
      </c>
      <c r="M128" t="inlineStr">
        <is>
          <t>No</t>
        </is>
      </c>
      <c r="N128" t="inlineStr">
        <is>
          <t>No</t>
        </is>
      </c>
      <c r="O128" t="inlineStr">
        <is>
          <t>No</t>
        </is>
      </c>
      <c r="P128" t="b">
        <v>1</v>
      </c>
      <c r="Q128" t="inlineStr">
        <is>
          <t>FFY2025</t>
        </is>
      </c>
      <c r="R128" t="inlineStr">
        <is>
          <t>FHWA Obligation</t>
        </is>
      </c>
    </row>
    <row r="129">
      <c r="A129" t="inlineStr">
        <is>
          <t>05-16-0007</t>
        </is>
      </c>
      <c r="B129" t="inlineStr">
        <is>
          <t>IL 56 from IL 59 to IL 50; Cermak Rd./22nd St., Renaissance Blvd (West of) to IL 50 (Cicero Ave.)</t>
        </is>
      </c>
      <c r="C129" t="inlineStr">
        <is>
          <t>Changeable Message Signs, Pedestrian Signals, Sidewalks, Signal Timing/Progression, Signing (New), Surveillance, Traffic Signal Modernization, ADA</t>
        </is>
      </c>
      <c r="D129" t="inlineStr">
        <is>
          <t>Road Maintenance</t>
        </is>
      </c>
      <c r="E129" t="inlineStr">
        <is>
          <t>[H-INFO] Highway/Road - Directional/Informational Signs, [S-MOD] Signals - Modernization, [S-TIM] Signals - Interconnects And Timing, [Z-OTHEX] Miscellaneous - Exempt Projects</t>
        </is>
      </c>
      <c r="F129" t="inlineStr">
        <is>
          <t>IDOT D1 Hwys</t>
        </is>
      </c>
      <c r="G129" t="inlineStr">
        <is>
          <t>Cook, DuPage</t>
        </is>
      </c>
      <c r="H129" t="inlineStr">
        <is>
          <t>Berwyn, Broadview, Chicago, Cicero, Elmhurst, Elmwood Park, Melrose Park, North Riverside, Northlake, Oak Brook, Oak Park, River Forest, River Grove, Westchester</t>
        </is>
      </c>
      <c r="I129" t="inlineStr">
        <is>
          <t>XVU6771</t>
        </is>
      </c>
      <c r="J129" t="inlineStr">
        <is>
          <t>C-91-107-21</t>
        </is>
      </c>
      <c r="K129" t="inlineStr">
        <is>
          <t>Y240</t>
        </is>
      </c>
      <c r="L129" s="5" t="n">
        <v>16038095</v>
      </c>
      <c r="M129" t="inlineStr">
        <is>
          <t>No</t>
        </is>
      </c>
      <c r="N129" t="inlineStr">
        <is>
          <t>No</t>
        </is>
      </c>
      <c r="O129" t="inlineStr">
        <is>
          <t>No</t>
        </is>
      </c>
      <c r="P129" t="b">
        <v>1</v>
      </c>
      <c r="Q129" t="inlineStr">
        <is>
          <t>FFY2025</t>
        </is>
      </c>
      <c r="R129" t="inlineStr">
        <is>
          <t>FHWA Obligation</t>
        </is>
      </c>
    </row>
    <row r="130">
      <c r="A130" t="inlineStr">
        <is>
          <t>05-16-0008</t>
        </is>
      </c>
      <c r="B130" t="inlineStr">
        <is>
          <t>US 34 at Wolf Rd, Saratoga Ave &amp; Main St and Ill 59 At Main St</t>
        </is>
      </c>
      <c r="C130" t="inlineStr">
        <is>
          <t>Traffic Signal Modernization, Pavement Marking, Intersection Improvement, ADA Improvements</t>
        </is>
      </c>
      <c r="D130" t="inlineStr">
        <is>
          <t>Intersection/Interchange Improvements</t>
        </is>
      </c>
      <c r="E130" t="inlineStr">
        <is>
          <t>[A-PMRK] Safety - Pavement Marking, [E-ADAIMP] Improve ADA Infrastructure (Roadway), [H-INTIMP] Highway/Road - Intersection Improvement, [S-MOD] Signals - Modernization, [Z-OTHEX] Miscellaneous - Exempt Projects</t>
        </is>
      </c>
      <c r="F130" t="inlineStr">
        <is>
          <t>IDOT D1 Hwys</t>
        </is>
      </c>
      <c r="G130" t="inlineStr">
        <is>
          <t>Cook</t>
        </is>
      </c>
      <c r="H130" t="inlineStr">
        <is>
          <t>Western Springs</t>
        </is>
      </c>
      <c r="I130" t="inlineStr">
        <is>
          <t>KBWQ375</t>
        </is>
      </c>
      <c r="J130" t="inlineStr">
        <is>
          <t>C-91-024-23</t>
        </is>
      </c>
      <c r="K130" t="inlineStr">
        <is>
          <t>ZS30</t>
        </is>
      </c>
      <c r="L130" s="5" t="n">
        <v>97911</v>
      </c>
      <c r="M130" t="inlineStr">
        <is>
          <t>Yes</t>
        </is>
      </c>
      <c r="N130" t="inlineStr">
        <is>
          <t>Yes</t>
        </is>
      </c>
      <c r="O130" t="inlineStr">
        <is>
          <t>Yes</t>
        </is>
      </c>
      <c r="P130" t="b">
        <v>1</v>
      </c>
      <c r="Q130" t="inlineStr">
        <is>
          <t>FFY2025</t>
        </is>
      </c>
      <c r="R130" t="inlineStr">
        <is>
          <t>FHWA Obligation</t>
        </is>
      </c>
    </row>
    <row r="131">
      <c r="A131" t="inlineStr">
        <is>
          <t>05-16-0008</t>
        </is>
      </c>
      <c r="B131" t="inlineStr">
        <is>
          <t>US 34 at Wolf Rd, Saratoga Ave &amp; Main St and Ill 59 At Main St</t>
        </is>
      </c>
      <c r="C131" t="inlineStr">
        <is>
          <t>Traffic Signal Modernization, Pavement Marking, Intersection Improvement, ADA Improvements</t>
        </is>
      </c>
      <c r="D131" t="inlineStr">
        <is>
          <t>Intersection/Interchange Improvements</t>
        </is>
      </c>
      <c r="E131" t="inlineStr">
        <is>
          <t>[A-PMRK] Safety - Pavement Marking, [E-ADAIMP] Improve ADA Infrastructure (Roadway), [H-INTIMP] Highway/Road - Intersection Improvement, [S-MOD] Signals - Modernization, [Z-OTHEX] Miscellaneous - Exempt Projects</t>
        </is>
      </c>
      <c r="F131" t="inlineStr">
        <is>
          <t>IDOT D1 Hwys</t>
        </is>
      </c>
      <c r="G131" t="inlineStr">
        <is>
          <t>Cook</t>
        </is>
      </c>
      <c r="H131" t="inlineStr">
        <is>
          <t>Western Springs</t>
        </is>
      </c>
      <c r="I131" t="inlineStr">
        <is>
          <t>KBWQ375</t>
        </is>
      </c>
      <c r="J131" t="inlineStr">
        <is>
          <t>C-91-024-23</t>
        </is>
      </c>
      <c r="K131" t="inlineStr">
        <is>
          <t>YS30</t>
        </is>
      </c>
      <c r="L131" s="5" t="n">
        <v>2212618</v>
      </c>
      <c r="M131" t="inlineStr">
        <is>
          <t>Yes</t>
        </is>
      </c>
      <c r="N131" t="inlineStr">
        <is>
          <t>Yes</t>
        </is>
      </c>
      <c r="O131" t="inlineStr">
        <is>
          <t>Yes</t>
        </is>
      </c>
      <c r="P131" t="b">
        <v>1</v>
      </c>
      <c r="Q131" t="inlineStr">
        <is>
          <t>FFY2025</t>
        </is>
      </c>
      <c r="R131" t="inlineStr">
        <is>
          <t>FHWA Obligation</t>
        </is>
      </c>
    </row>
    <row r="132">
      <c r="A132" t="inlineStr">
        <is>
          <t>05-17-0007</t>
        </is>
      </c>
      <c r="B132" t="inlineStr">
        <is>
          <t>Acacia Drive</t>
        </is>
      </c>
      <c r="C132" t="inlineStr">
        <is>
          <t>Acacia Drive Reconstruction, ADA improvements, and pedestrian projects</t>
        </is>
      </c>
      <c r="D132" t="inlineStr">
        <is>
          <t>Road Maintenance</t>
        </is>
      </c>
      <c r="E132" t="inlineStr">
        <is>
          <t>[A-PMRK] Safety - Pavement Marking, [A-SHDR] Safety - Shoulder Improvements, [E-ADAIMP] Improve ADA Infrastructure (Roadway), [E- ADANEW] New ADA Infrastructure (Roadway), [E-PEDIMP] Improve Pedestrian Facility, [H-RCINKND] Highway/Road - Reconstruct in Kind</t>
        </is>
      </c>
      <c r="F132" t="inlineStr">
        <is>
          <t>Central Council</t>
        </is>
      </c>
      <c r="G132" t="inlineStr">
        <is>
          <t>Cook</t>
        </is>
      </c>
      <c r="H132" t="inlineStr">
        <is>
          <t>Indian Head Park</t>
        </is>
      </c>
      <c r="I132" t="inlineStr">
        <is>
          <t>NHFS890</t>
        </is>
      </c>
      <c r="J132" t="inlineStr">
        <is>
          <t>D-91-279-18</t>
        </is>
      </c>
      <c r="K132" t="inlineStr">
        <is>
          <t>Z230</t>
        </is>
      </c>
      <c r="L132" s="5" t="n">
        <v>85024</v>
      </c>
      <c r="M132" t="inlineStr">
        <is>
          <t>Yes</t>
        </is>
      </c>
      <c r="N132" t="inlineStr">
        <is>
          <t>Yes</t>
        </is>
      </c>
      <c r="O132" t="inlineStr">
        <is>
          <t>Yes</t>
        </is>
      </c>
      <c r="P132" t="b">
        <v>1</v>
      </c>
      <c r="Q132" t="inlineStr">
        <is>
          <t>FFY2025</t>
        </is>
      </c>
      <c r="R132" t="inlineStr">
        <is>
          <t>FHWA Obligation</t>
        </is>
      </c>
    </row>
    <row r="133">
      <c r="A133" t="inlineStr">
        <is>
          <t>05-19-0001</t>
        </is>
      </c>
      <c r="B133" t="inlineStr">
        <is>
          <t>55th Street Transit Access Improvements</t>
        </is>
      </c>
      <c r="C133" t="inlineStr">
        <is>
          <t>Bus pad and sidewalk placement, detectable warnings, curb replacement, pedestrian signal heads and push buttons, earthwork, and drainage replacement.</t>
        </is>
      </c>
      <c r="D133" t="inlineStr">
        <is>
          <t>Transit Station/Stop Improvements</t>
        </is>
      </c>
      <c r="E133" t="inlineStr">
        <is>
          <t>[E-PEDIMP] Improve Pedestrian Facility, [E-PEDNEW] New Pedestrian Facility, [T-IMPSVC] Bus Routes - Improve Service</t>
        </is>
      </c>
      <c r="F133" t="inlineStr">
        <is>
          <t>IDOT D1 Hwys</t>
        </is>
      </c>
      <c r="G133" t="inlineStr">
        <is>
          <t>Cook</t>
        </is>
      </c>
      <c r="H133" t="inlineStr">
        <is>
          <t>McCook</t>
        </is>
      </c>
      <c r="I133" t="inlineStr">
        <is>
          <t>210R285</t>
        </is>
      </c>
      <c r="J133" t="inlineStr">
        <is>
          <t>C-91-321-16</t>
        </is>
      </c>
      <c r="K133" t="inlineStr">
        <is>
          <t>Y400</t>
        </is>
      </c>
      <c r="L133" s="5" t="n">
        <v>16195</v>
      </c>
      <c r="M133" t="inlineStr">
        <is>
          <t>Yes</t>
        </is>
      </c>
      <c r="N133" t="inlineStr">
        <is>
          <t>No</t>
        </is>
      </c>
      <c r="O133" t="inlineStr">
        <is>
          <t>No</t>
        </is>
      </c>
      <c r="P133" t="b">
        <v>1</v>
      </c>
      <c r="Q133" t="inlineStr">
        <is>
          <t>FFY2025</t>
        </is>
      </c>
      <c r="R133" t="inlineStr">
        <is>
          <t>FHWA Obligation</t>
        </is>
      </c>
    </row>
    <row r="134">
      <c r="A134" t="inlineStr">
        <is>
          <t>05-19-0001</t>
        </is>
      </c>
      <c r="B134" t="inlineStr">
        <is>
          <t>55th Street Transit Access Improvements</t>
        </is>
      </c>
      <c r="C134" t="inlineStr">
        <is>
          <t>Bus pad and sidewalk placement, detectable warnings, curb replacement, pedestrian signal heads and push buttons, earthwork, and drainage replacement.</t>
        </is>
      </c>
      <c r="D134" t="inlineStr">
        <is>
          <t>Transit Station/Stop Improvements</t>
        </is>
      </c>
      <c r="E134" t="inlineStr">
        <is>
          <t>[E-PEDIMP] Improve Pedestrian Facility, [E-PEDNEW] New Pedestrian Facility, [T-IMPSVC] Bus Routes - Improve Service</t>
        </is>
      </c>
      <c r="F134" t="inlineStr">
        <is>
          <t>IDOT D1 Hwys</t>
        </is>
      </c>
      <c r="G134" t="inlineStr">
        <is>
          <t>Cook</t>
        </is>
      </c>
      <c r="H134" t="inlineStr">
        <is>
          <t>McCook</t>
        </is>
      </c>
      <c r="I134" t="inlineStr">
        <is>
          <t>210R285</t>
        </is>
      </c>
      <c r="J134" t="inlineStr">
        <is>
          <t>C-91-321-16</t>
        </is>
      </c>
      <c r="K134" t="inlineStr">
        <is>
          <t>Z230</t>
        </is>
      </c>
      <c r="L134" s="5" t="n">
        <v>361640</v>
      </c>
      <c r="M134" t="inlineStr">
        <is>
          <t>Yes</t>
        </is>
      </c>
      <c r="N134" t="inlineStr">
        <is>
          <t>No</t>
        </is>
      </c>
      <c r="O134" t="inlineStr">
        <is>
          <t>No</t>
        </is>
      </c>
      <c r="P134" t="b">
        <v>1</v>
      </c>
      <c r="Q134" t="inlineStr">
        <is>
          <t>FFY2025</t>
        </is>
      </c>
      <c r="R134" t="inlineStr">
        <is>
          <t>FHWA Obligation</t>
        </is>
      </c>
    </row>
    <row r="135">
      <c r="A135" t="inlineStr">
        <is>
          <t>05-19-0001</t>
        </is>
      </c>
      <c r="B135" t="inlineStr">
        <is>
          <t>55th Street Transit Access Improvements</t>
        </is>
      </c>
      <c r="C135" t="inlineStr">
        <is>
          <t>Bus pad and sidewalk placement, detectable warnings, curb replacement, pedestrian signal heads and push buttons, earthwork, and drainage replacement.</t>
        </is>
      </c>
      <c r="D135" t="inlineStr">
        <is>
          <t>Transit Station/Stop Improvements</t>
        </is>
      </c>
      <c r="E135" t="inlineStr">
        <is>
          <t>[E-PEDIMP] Improve Pedestrian Facility, [E-PEDNEW] New Pedestrian Facility, [T-IMPSVC] Bus Routes - Improve Service</t>
        </is>
      </c>
      <c r="F135" t="inlineStr">
        <is>
          <t>IDOT D1 Hwys</t>
        </is>
      </c>
      <c r="G135" t="inlineStr">
        <is>
          <t>Cook</t>
        </is>
      </c>
      <c r="H135" t="inlineStr">
        <is>
          <t>McCook</t>
        </is>
      </c>
      <c r="I135" t="inlineStr">
        <is>
          <t>210R285</t>
        </is>
      </c>
      <c r="J135" t="inlineStr">
        <is>
          <t>C-91-321-16</t>
        </is>
      </c>
      <c r="K135" t="inlineStr">
        <is>
          <t>Y230</t>
        </is>
      </c>
      <c r="L135" s="5" t="n">
        <v>2446357</v>
      </c>
      <c r="M135" t="inlineStr">
        <is>
          <t>Yes</t>
        </is>
      </c>
      <c r="N135" t="inlineStr">
        <is>
          <t>No</t>
        </is>
      </c>
      <c r="O135" t="inlineStr">
        <is>
          <t>No</t>
        </is>
      </c>
      <c r="P135" t="b">
        <v>1</v>
      </c>
      <c r="Q135" t="inlineStr">
        <is>
          <t>FFY2025</t>
        </is>
      </c>
      <c r="R135" t="inlineStr">
        <is>
          <t>FHWA Obligation</t>
        </is>
      </c>
    </row>
    <row r="136">
      <c r="A136" t="inlineStr">
        <is>
          <t>05-21-0002</t>
        </is>
      </c>
      <c r="B136" t="inlineStr">
        <is>
          <t>26th St @ Riverside Dr</t>
        </is>
      </c>
      <c r="C136" t="inlineStr">
        <is>
          <t>Project is to add the intersection of 26th St at Riverside Dr to the west/south end of the existing traffic signal interconnect system - Econ 30. The existing system runs along Cermak Rd from North Riverside Mall West Entrance to 54th Ave and along IL 43 (Harlem Ave) from Cermak Rd to Riverside Dr/Longcommon Rd and includes twenty (20) intersections.</t>
        </is>
      </c>
      <c r="D136" t="inlineStr">
        <is>
          <t>Intersection/Interchange Improvements</t>
        </is>
      </c>
      <c r="E136" t="inlineStr">
        <is>
          <t>[S-TIM] Signals - Interconnects And Timing</t>
        </is>
      </c>
      <c r="F136" t="inlineStr">
        <is>
          <t>IDOT D1 Hwys</t>
        </is>
      </c>
      <c r="G136" t="inlineStr">
        <is>
          <t>Cook</t>
        </is>
      </c>
      <c r="H136" t="inlineStr">
        <is>
          <t>Berwyn</t>
        </is>
      </c>
      <c r="I136" t="inlineStr">
        <is>
          <t>G4TG960</t>
        </is>
      </c>
      <c r="J136" t="inlineStr">
        <is>
          <t>C-91-244-22</t>
        </is>
      </c>
      <c r="K136" t="inlineStr">
        <is>
          <t>Y400</t>
        </is>
      </c>
      <c r="L136" s="5" t="n">
        <v>1968382</v>
      </c>
      <c r="M136" t="inlineStr">
        <is>
          <t>No</t>
        </is>
      </c>
      <c r="N136" t="inlineStr">
        <is>
          <t>No</t>
        </is>
      </c>
      <c r="O136" t="inlineStr">
        <is>
          <t>No</t>
        </is>
      </c>
      <c r="P136" t="b">
        <v>1</v>
      </c>
      <c r="Q136" t="inlineStr">
        <is>
          <t>FFY2025</t>
        </is>
      </c>
      <c r="R136" t="inlineStr">
        <is>
          <t>FHWA Obligation</t>
        </is>
      </c>
    </row>
    <row r="137">
      <c r="A137" t="inlineStr">
        <is>
          <t>05-22-0012</t>
        </is>
      </c>
      <c r="B137" t="inlineStr">
        <is>
          <t>LAFO resurfacing: Brookfield, Woodside, Parkview, Golf, and Grand</t>
        </is>
      </c>
      <c r="C137" t="inlineStr">
        <is>
          <t>Resurfacing Brookfield Avenue from Prairie Avenue to Woodside Avenue, Woodside Avenue from Brookfield Avenue to Parkview Avenue, Parkview Avenue from Woodside Avenue to Golf Road, and Golf Road from Parkview Avenue to Washington Avenue. The project also includes resurfacing Grand Boulevard from Brookfield Avenue to Grant Avenue.</t>
        </is>
      </c>
      <c r="D137" t="inlineStr">
        <is>
          <t>Road Maintenance</t>
        </is>
      </c>
      <c r="E137" t="inlineStr">
        <is>
          <t>[A-PMRK] Safety - Pavement Marking, [E-ADAMAINT] Maintain/Repair ADA Infrastructure (Roadway), [E-BIKENEW] New Bicycle Facility, [H-C/G] Highway/Road - Curb And Gutter, [H-PATCH] Highway/Road - Pavement Patching, [H-RS] Highway/Road - Resurface (with No Lane Widening), [P- MAINT] Parking - Maintain, Rehabilitate, Replace Commuter Parking</t>
        </is>
      </c>
      <c r="F137" t="inlineStr">
        <is>
          <t>Central Council</t>
        </is>
      </c>
      <c r="G137" t="inlineStr">
        <is>
          <t>Cook</t>
        </is>
      </c>
      <c r="H137" t="inlineStr">
        <is>
          <t>Brookfield</t>
        </is>
      </c>
      <c r="I137" t="inlineStr">
        <is>
          <t>AQ4W052</t>
        </is>
      </c>
      <c r="J137" t="inlineStr">
        <is>
          <t>C-91-252-24</t>
        </is>
      </c>
      <c r="K137" t="inlineStr">
        <is>
          <t>Y230</t>
        </is>
      </c>
      <c r="L137" s="5" t="n">
        <v>4062640</v>
      </c>
      <c r="M137" t="inlineStr">
        <is>
          <t>Yes</t>
        </is>
      </c>
      <c r="N137" t="inlineStr">
        <is>
          <t>Yes</t>
        </is>
      </c>
      <c r="O137" t="inlineStr">
        <is>
          <t>Yes</t>
        </is>
      </c>
      <c r="P137" t="b">
        <v>1</v>
      </c>
      <c r="Q137" t="inlineStr">
        <is>
          <t>FFY2025</t>
        </is>
      </c>
      <c r="R137" t="inlineStr">
        <is>
          <t>FHWA Obligation</t>
        </is>
      </c>
    </row>
    <row r="138">
      <c r="A138" t="inlineStr">
        <is>
          <t>05-22-0018</t>
        </is>
      </c>
      <c r="B138" t="inlineStr">
        <is>
          <t>US 34 Ogden Ave - At IHB RR</t>
        </is>
      </c>
      <c r="C138" t="inlineStr">
        <is>
          <t>Bridge Joint Replace/Repair, Bridge Deck Overlay</t>
        </is>
      </c>
      <c r="D138" t="inlineStr">
        <is>
          <t>Bridge Repair, Rehab, or Replace</t>
        </is>
      </c>
      <c r="E138" t="inlineStr">
        <is>
          <t>[B-OVR] Bridge Deck - Overlay, [B-REPAIR] Bridge/Structure - Reconst/Rehab No Chng in #, Wdth, or Lane</t>
        </is>
      </c>
      <c r="F138" t="inlineStr">
        <is>
          <t>IDOT D1 Hwys</t>
        </is>
      </c>
      <c r="G138" t="inlineStr">
        <is>
          <t>Cook</t>
        </is>
      </c>
      <c r="H138" t="inlineStr">
        <is>
          <t>La Grange</t>
        </is>
      </c>
      <c r="I138" t="inlineStr">
        <is>
          <t>1RPG948</t>
        </is>
      </c>
      <c r="J138" t="inlineStr">
        <is>
          <t>C-91-273-22</t>
        </is>
      </c>
      <c r="K138" t="inlineStr">
        <is>
          <t>Y001</t>
        </is>
      </c>
      <c r="L138" s="5" t="n">
        <v>1706491</v>
      </c>
      <c r="M138" t="inlineStr">
        <is>
          <t>No</t>
        </is>
      </c>
      <c r="N138" t="inlineStr">
        <is>
          <t>No</t>
        </is>
      </c>
      <c r="O138" t="inlineStr">
        <is>
          <t>No</t>
        </is>
      </c>
      <c r="P138" t="b">
        <v>1</v>
      </c>
      <c r="Q138" t="inlineStr">
        <is>
          <t>FFY2025</t>
        </is>
      </c>
      <c r="R138" t="inlineStr">
        <is>
          <t>FHWA Obligation</t>
        </is>
      </c>
    </row>
    <row r="139">
      <c r="A139" t="inlineStr">
        <is>
          <t>05-22-0019</t>
        </is>
      </c>
      <c r="B139" t="inlineStr">
        <is>
          <t>Ill 171 Archer Ave - At IHB RR</t>
        </is>
      </c>
      <c r="C139" t="inlineStr">
        <is>
          <t>Bridge Joint Replace/Repair, Bridge Deck Overlay</t>
        </is>
      </c>
      <c r="D139" t="inlineStr">
        <is>
          <t>Bridge Routine Maintenance</t>
        </is>
      </c>
      <c r="E139" t="inlineStr">
        <is>
          <t>[B-OVR] Bridge Deck - Overlay, [B-REPAIR] Bridge/Structure - Reconst/Rehab No Chng in #, Wdth, or Lane</t>
        </is>
      </c>
      <c r="F139" t="inlineStr">
        <is>
          <t>IDOT D1 Hwys</t>
        </is>
      </c>
      <c r="G139" t="inlineStr">
        <is>
          <t>Cook</t>
        </is>
      </c>
      <c r="H139" t="inlineStr">
        <is>
          <t>Summit</t>
        </is>
      </c>
      <c r="I139" t="inlineStr">
        <is>
          <t>64ZN009</t>
        </is>
      </c>
      <c r="J139" t="inlineStr">
        <is>
          <t>C-91-359-22</t>
        </is>
      </c>
      <c r="K139" t="inlineStr">
        <is>
          <t>Y114</t>
        </is>
      </c>
      <c r="L139" s="5" t="n">
        <v>471200</v>
      </c>
      <c r="M139" t="inlineStr">
        <is>
          <t>No</t>
        </is>
      </c>
      <c r="N139" t="inlineStr">
        <is>
          <t>No</t>
        </is>
      </c>
      <c r="O139" t="inlineStr">
        <is>
          <t>No</t>
        </is>
      </c>
      <c r="P139" t="b">
        <v>1</v>
      </c>
      <c r="Q139" t="inlineStr">
        <is>
          <t>FFY2025</t>
        </is>
      </c>
      <c r="R139" t="inlineStr">
        <is>
          <t>FHWA Obligation</t>
        </is>
      </c>
    </row>
    <row r="140">
      <c r="A140" t="inlineStr">
        <is>
          <t>05-24-0001</t>
        </is>
      </c>
      <c r="B140" t="inlineStr">
        <is>
          <t>Hampton Avenue Resurfacing (Hillgrove Avenue to Ogden Avenue)</t>
        </is>
      </c>
      <c r="C140" t="inlineStr">
        <is>
          <t>This project consists of resurfacing Hampton Avenue from Hillgrove Avenue to Ogden Avenue. Curb and gutter and sidewalk repairs are included as part of the project.</t>
        </is>
      </c>
      <c r="D140" t="inlineStr">
        <is>
          <t>Road Maintenance</t>
        </is>
      </c>
      <c r="E140" t="inlineStr">
        <is>
          <t>[A-PMRK] Safety - Pavement Marking, [E-ADAMAINT] Maintain/Repair ADA Infrastructure (Roadway), [E-PEDMAINT] Maintain Pedestrian Facility, [H- C/G] Highway/Road - Curb And Gutter, [H-RCINKND] Highway/Road - Reconstruct in Kind</t>
        </is>
      </c>
      <c r="F140" t="inlineStr">
        <is>
          <t>Central Council</t>
        </is>
      </c>
      <c r="G140" t="inlineStr">
        <is>
          <t>Cook</t>
        </is>
      </c>
      <c r="H140" t="inlineStr">
        <is>
          <t>Western Springs</t>
        </is>
      </c>
      <c r="I140" t="inlineStr">
        <is>
          <t>FRKK939</t>
        </is>
      </c>
      <c r="J140" t="inlineStr">
        <is>
          <t>C-91-254-24</t>
        </is>
      </c>
      <c r="K140" t="inlineStr">
        <is>
          <t>Y230</t>
        </is>
      </c>
      <c r="L140" s="5" t="n">
        <v>924800</v>
      </c>
      <c r="M140" t="inlineStr">
        <is>
          <t>Yes</t>
        </is>
      </c>
      <c r="N140" t="inlineStr">
        <is>
          <t>Yes</t>
        </is>
      </c>
      <c r="O140" t="inlineStr">
        <is>
          <t>Yes</t>
        </is>
      </c>
      <c r="P140" t="b">
        <v>1</v>
      </c>
      <c r="Q140" t="inlineStr">
        <is>
          <t>FFY2025</t>
        </is>
      </c>
      <c r="R140" t="inlineStr">
        <is>
          <t>FHWA Obligation</t>
        </is>
      </c>
    </row>
    <row r="141">
      <c r="A141" t="inlineStr">
        <is>
          <t>05-24-0002</t>
        </is>
      </c>
      <c r="B141" t="inlineStr">
        <is>
          <t>46th Street - Harlem Ave to Oak Park Ave</t>
        </is>
      </c>
      <c r="C141" t="inlineStr">
        <is>
          <t>Roadway improvements to 46th Street from Harlem Avenue to Oak Park Avenue in the Village of Forest View, Illinois. This work will consist of removing and replacing drainage structures, manholes, sewer laterals, sewer point repairs, removing and replacing deteriorated sections of combined concrete curb &amp; gutter, sidewalk, driveway aprons, upgrading sidewalk ramps to comply with ADA guidelines, cold milling HMA from the roadway and placing a lift of leveling binder and a lift of HMA surface.</t>
        </is>
      </c>
      <c r="D141" t="inlineStr">
        <is>
          <t>Road Maintenance</t>
        </is>
      </c>
      <c r="E141" t="inlineStr">
        <is>
          <t>[A-PMRK] Safety - Pavement Marking, [E-ADAIMP] Improve ADA Infrastructure (Roadway), [H-C/G] Highway/Road - Curb And Gutter, [H- PATCH] Highway/Road - Pavement Patching, [H-RS] Highway/Road - Resurface (with No Lane Widening)</t>
        </is>
      </c>
      <c r="F141" t="inlineStr">
        <is>
          <t>Central Council</t>
        </is>
      </c>
      <c r="G141" t="inlineStr">
        <is>
          <t>Cook</t>
        </is>
      </c>
      <c r="H141" t="inlineStr">
        <is>
          <t>Forest View</t>
        </is>
      </c>
      <c r="I141" t="inlineStr">
        <is>
          <t>C9RC593</t>
        </is>
      </c>
      <c r="J141" t="inlineStr">
        <is>
          <t>C-91-266-24</t>
        </is>
      </c>
      <c r="K141" t="inlineStr">
        <is>
          <t>Y230</t>
        </is>
      </c>
      <c r="L141" s="5" t="n">
        <v>680000</v>
      </c>
      <c r="M141" t="inlineStr">
        <is>
          <t>Yes</t>
        </is>
      </c>
      <c r="N141" t="inlineStr">
        <is>
          <t>Yes</t>
        </is>
      </c>
      <c r="O141" t="inlineStr">
        <is>
          <t>Yes</t>
        </is>
      </c>
      <c r="P141" t="b">
        <v>1</v>
      </c>
      <c r="Q141" t="inlineStr">
        <is>
          <t>FFY2025</t>
        </is>
      </c>
      <c r="R141" t="inlineStr">
        <is>
          <t>FHWA Obligation</t>
        </is>
      </c>
    </row>
    <row r="142">
      <c r="A142" t="inlineStr">
        <is>
          <t>05-24-0004</t>
        </is>
      </c>
      <c r="B142" t="inlineStr">
        <is>
          <t>Burlington Avenue Resurfacing (Central Avenue to Wolf Road)</t>
        </is>
      </c>
      <c r="C142" t="inlineStr">
        <is>
          <t>This project consists of the resurfacing of Burlington Avenue from Central Avenue to Wolf Road, with curb and gutter and sidewalk repairs as needed.</t>
        </is>
      </c>
      <c r="D142" t="inlineStr">
        <is>
          <t>Road Maintenance</t>
        </is>
      </c>
      <c r="E142" t="inlineStr">
        <is>
          <t>[A-PMRK] Safety - Pavement Marking, [E-ADAMAINT] Maintain/Repair ADA Infrastructure (Roadway), [E-PEDMAINT] Maintain Pedestrian Facility, [H- C/G] Highway/Road - Curb And Gutter, [H-PATCH] Highway/Road - Pavement Patching, [H-RS] Highway/Road - Resurface (with No Lane Widening)</t>
        </is>
      </c>
      <c r="F142" t="inlineStr">
        <is>
          <t>Central Council</t>
        </is>
      </c>
      <c r="G142" t="inlineStr">
        <is>
          <t>Cook</t>
        </is>
      </c>
      <c r="H142" t="inlineStr">
        <is>
          <t>Western Springs</t>
        </is>
      </c>
      <c r="I142" t="inlineStr">
        <is>
          <t>1IR0610</t>
        </is>
      </c>
      <c r="J142" t="inlineStr">
        <is>
          <t>C-91-291-24</t>
        </is>
      </c>
      <c r="K142" t="inlineStr">
        <is>
          <t>Y230</t>
        </is>
      </c>
      <c r="L142" s="5" t="n">
        <v>565600</v>
      </c>
      <c r="M142" t="inlineStr">
        <is>
          <t>Yes</t>
        </is>
      </c>
      <c r="N142" t="inlineStr">
        <is>
          <t>Yes</t>
        </is>
      </c>
      <c r="O142" t="inlineStr">
        <is>
          <t>Yes</t>
        </is>
      </c>
      <c r="P142" t="b">
        <v>1</v>
      </c>
      <c r="Q142" t="inlineStr">
        <is>
          <t>FFY2025</t>
        </is>
      </c>
      <c r="R142" t="inlineStr">
        <is>
          <t>FHWA Obligation</t>
        </is>
      </c>
    </row>
    <row r="143">
      <c r="A143" t="inlineStr">
        <is>
          <t>05-25-0003</t>
        </is>
      </c>
      <c r="B143" t="inlineStr">
        <is>
          <t>I-55 Cicero Electric Vehicle Charging Station</t>
        </is>
      </c>
      <c r="C143" t="inlineStr">
        <is>
          <t>NEVI funds for electric vehicle charging station at 3800 S. Cicero Ave</t>
        </is>
      </c>
      <c r="D143" t="inlineStr">
        <is>
          <t>Emissions Reduction</t>
        </is>
      </c>
      <c r="E143" t="inlineStr">
        <is>
          <t>[H-EVINF] Highway/Road - EV Infrastructure</t>
        </is>
      </c>
      <c r="F143" t="inlineStr">
        <is>
          <t>IDOT OP&amp;P</t>
        </is>
      </c>
      <c r="G143" t="inlineStr">
        <is>
          <t>Cook</t>
        </is>
      </c>
      <c r="H143" t="inlineStr">
        <is>
          <t>Cicero</t>
        </is>
      </c>
      <c r="I143" t="inlineStr">
        <is>
          <t>JHCN243</t>
        </is>
      </c>
      <c r="J143" t="inlineStr">
        <is>
          <t>N-75-044-25</t>
        </is>
      </c>
      <c r="K143" t="inlineStr">
        <is>
          <t>Y130</t>
        </is>
      </c>
      <c r="L143" s="5" t="n">
        <v>484831</v>
      </c>
      <c r="M143" t="inlineStr">
        <is>
          <t>No</t>
        </is>
      </c>
      <c r="N143" t="inlineStr">
        <is>
          <t>No</t>
        </is>
      </c>
      <c r="O143" t="inlineStr">
        <is>
          <t>No</t>
        </is>
      </c>
      <c r="P143" t="b">
        <v>0</v>
      </c>
      <c r="Q143" t="inlineStr">
        <is>
          <t>FFY2025</t>
        </is>
      </c>
      <c r="R143" t="inlineStr">
        <is>
          <t>FHWA Obligation</t>
        </is>
      </c>
    </row>
    <row r="144">
      <c r="A144" t="inlineStr">
        <is>
          <t>06-00-0042</t>
        </is>
      </c>
      <c r="B144" t="inlineStr">
        <is>
          <t>143rd Street from Wolf Road to US 45 LaGrange Rd</t>
        </is>
      </c>
      <c r="C144" t="inlineStr">
        <is>
          <t>143rd St Reconstruction; traffic signal modernization and interconnect; Roadway widening, addition of signalized intersections, addition of turn lanes, and construction of a shared-use path and sidewalk on 143rd Street between Wolf Road and Southwest Highway in the Village of Orland Park. Signal interconnect extends to US 45. Southwest Hwy Metra Commuter Lot expansion, roadway lighting (West Ave to Southwest Hwy)</t>
        </is>
      </c>
      <c r="D144" t="inlineStr">
        <is>
          <t>Road Expansion</t>
        </is>
      </c>
      <c r="E144" t="inlineStr">
        <is>
          <t>[A-LTS] Safety - Lighting, [A-MED] Safety - Median Projects, [E-SharedNew] New Shared Use Path, [H-AL] Highway/Road - Add Lanes, [H-CLVT] Highway/Road - Repair/Replace Culvert, [H-INTIMP] Highway/Road - Intersection Improvement, [S-NEW] Signals - New Signals for Multiple Intersections, [S-TIM] Signals - Interconnects And Timing</t>
        </is>
      </c>
      <c r="F144" t="inlineStr">
        <is>
          <t>Southwest Council</t>
        </is>
      </c>
      <c r="G144" t="inlineStr">
        <is>
          <t>Cook</t>
        </is>
      </c>
      <c r="H144" t="inlineStr">
        <is>
          <t>Orland Park</t>
        </is>
      </c>
      <c r="I144" t="inlineStr">
        <is>
          <t>AMPX674</t>
        </is>
      </c>
      <c r="J144" t="inlineStr">
        <is>
          <t>D-91-180-14</t>
        </is>
      </c>
      <c r="K144" t="inlineStr">
        <is>
          <t>Y230</t>
        </is>
      </c>
      <c r="L144" s="5" t="n">
        <v>1000000</v>
      </c>
      <c r="M144" t="inlineStr">
        <is>
          <t>Yes</t>
        </is>
      </c>
      <c r="N144" t="inlineStr">
        <is>
          <t>No</t>
        </is>
      </c>
      <c r="O144" t="inlineStr">
        <is>
          <t>Yes</t>
        </is>
      </c>
      <c r="P144" t="b">
        <v>1</v>
      </c>
      <c r="Q144" t="inlineStr">
        <is>
          <t>FFY2025</t>
        </is>
      </c>
      <c r="R144" t="inlineStr">
        <is>
          <t>FHWA Obligation</t>
        </is>
      </c>
    </row>
    <row r="145">
      <c r="A145" t="inlineStr">
        <is>
          <t>06-14-0012</t>
        </is>
      </c>
      <c r="B145" t="inlineStr">
        <is>
          <t>91st St from California Ave to Western Ave</t>
        </is>
      </c>
      <c r="C145" t="inlineStr">
        <is>
          <t>Sidewalks</t>
        </is>
      </c>
      <c r="D145" t="inlineStr">
        <is>
          <t>Bicycle &amp; Pedestrian</t>
        </is>
      </c>
      <c r="E145" t="inlineStr">
        <is>
          <t>[E-PEDNEW] New Pedestrian Facility</t>
        </is>
      </c>
      <c r="F145" t="inlineStr">
        <is>
          <t>Southwest Council</t>
        </is>
      </c>
      <c r="G145" t="inlineStr">
        <is>
          <t>Cook</t>
        </is>
      </c>
      <c r="H145" t="inlineStr">
        <is>
          <t>Evergreen Park</t>
        </is>
      </c>
      <c r="I145" t="inlineStr">
        <is>
          <t>H99H730</t>
        </is>
      </c>
      <c r="J145" t="inlineStr">
        <is>
          <t>D-91-243-18</t>
        </is>
      </c>
      <c r="K145" t="inlineStr">
        <is>
          <t>ZS40</t>
        </is>
      </c>
      <c r="L145" s="5" t="n">
        <v>86725</v>
      </c>
      <c r="M145" t="inlineStr">
        <is>
          <t>Yes</t>
        </is>
      </c>
      <c r="N145" t="inlineStr">
        <is>
          <t>No</t>
        </is>
      </c>
      <c r="O145" t="inlineStr">
        <is>
          <t>No</t>
        </is>
      </c>
      <c r="P145" t="b">
        <v>1</v>
      </c>
      <c r="Q145" t="inlineStr">
        <is>
          <t>FFY2025</t>
        </is>
      </c>
      <c r="R145" t="inlineStr">
        <is>
          <t>FHWA Obligation</t>
        </is>
      </c>
    </row>
    <row r="146">
      <c r="A146" t="inlineStr">
        <is>
          <t>06-14-0012</t>
        </is>
      </c>
      <c r="B146" t="inlineStr">
        <is>
          <t>91st St from California Ave to Western Ave</t>
        </is>
      </c>
      <c r="C146" t="inlineStr">
        <is>
          <t>Sidewalks</t>
        </is>
      </c>
      <c r="D146" t="inlineStr">
        <is>
          <t>Bicycle &amp; Pedestrian</t>
        </is>
      </c>
      <c r="E146" t="inlineStr">
        <is>
          <t>[E-PEDNEW] New Pedestrian Facility</t>
        </is>
      </c>
      <c r="F146" t="inlineStr">
        <is>
          <t>Southwest Council</t>
        </is>
      </c>
      <c r="G146" t="inlineStr">
        <is>
          <t>Cook</t>
        </is>
      </c>
      <c r="H146" t="inlineStr">
        <is>
          <t>Evergreen Park</t>
        </is>
      </c>
      <c r="I146" t="inlineStr">
        <is>
          <t>H99H730</t>
        </is>
      </c>
      <c r="J146" t="inlineStr">
        <is>
          <t>D-91-243-18</t>
        </is>
      </c>
      <c r="K146" t="inlineStr">
        <is>
          <t>Y230</t>
        </is>
      </c>
      <c r="L146" s="5" t="n">
        <v>30000</v>
      </c>
      <c r="M146" t="inlineStr">
        <is>
          <t>Yes</t>
        </is>
      </c>
      <c r="N146" t="inlineStr">
        <is>
          <t>No</t>
        </is>
      </c>
      <c r="O146" t="inlineStr">
        <is>
          <t>No</t>
        </is>
      </c>
      <c r="P146" t="b">
        <v>1</v>
      </c>
      <c r="Q146" t="inlineStr">
        <is>
          <t>FFY2025</t>
        </is>
      </c>
      <c r="R146" t="inlineStr">
        <is>
          <t>FHWA Obligation</t>
        </is>
      </c>
    </row>
    <row r="147">
      <c r="A147" t="inlineStr">
        <is>
          <t>06-15-0012</t>
        </is>
      </c>
      <c r="B147" t="inlineStr">
        <is>
          <t>I-294 NB at 88th Ave Archer Rd (Entrance Ramp)</t>
        </is>
      </c>
      <c r="C147" t="inlineStr">
        <is>
          <t>Exit ramp northbound I-294 to 88th Ave and entrance ramp from westbound Archer Rd</t>
        </is>
      </c>
      <c r="D147" t="inlineStr">
        <is>
          <t>New/Expanded Interchange</t>
        </is>
      </c>
      <c r="E147" t="inlineStr">
        <is>
          <t>[A-LTS] Safety - Lighting, [A-PMRK] Safety - Pavement Marking, [E-LS] Enhancement - Landscaping, [E-SharedNew] New Shared Use Path, [H- INTIMP] Highway/Road - Intersection Improvement, [I-NEW] Interchange - New, [S-NEW] Signals - New Signals for Multiple Intersections, [S-TIM] Signals - Interconnects And Timing</t>
        </is>
      </c>
      <c r="F147" t="inlineStr">
        <is>
          <t>Southwest Council</t>
        </is>
      </c>
      <c r="G147" t="inlineStr">
        <is>
          <t>Cook</t>
        </is>
      </c>
      <c r="H147" t="inlineStr">
        <is>
          <t>Justice</t>
        </is>
      </c>
      <c r="I147" t="inlineStr">
        <is>
          <t>284E761</t>
        </is>
      </c>
      <c r="J147" t="inlineStr">
        <is>
          <t>C-91-008-20</t>
        </is>
      </c>
      <c r="K147" t="inlineStr">
        <is>
          <t>Y460</t>
        </is>
      </c>
      <c r="L147" s="5" t="n">
        <v>13443680</v>
      </c>
      <c r="M147" t="inlineStr">
        <is>
          <t>Yes</t>
        </is>
      </c>
      <c r="N147" t="inlineStr">
        <is>
          <t>No</t>
        </is>
      </c>
      <c r="O147" t="inlineStr">
        <is>
          <t>Yes</t>
        </is>
      </c>
      <c r="P147" t="b">
        <v>1</v>
      </c>
      <c r="Q147" t="inlineStr">
        <is>
          <t>FFY2025</t>
        </is>
      </c>
      <c r="R147" t="inlineStr">
        <is>
          <t>FHWA Obligation</t>
        </is>
      </c>
    </row>
    <row r="148">
      <c r="A148" t="inlineStr">
        <is>
          <t>06-15-0022</t>
        </is>
      </c>
      <c r="B148" t="inlineStr">
        <is>
          <t>123rd St Over Mill Creek and between 93rd Ave and Hobart Ave</t>
        </is>
      </c>
      <c r="C148" t="inlineStr">
        <is>
          <t>CULVERT REPLACEMENT, RETAINING WALL</t>
        </is>
      </c>
      <c r="D148" t="inlineStr">
        <is>
          <t>Bridge Repair, Rehab, or Replace</t>
        </is>
      </c>
      <c r="E148" t="inlineStr">
        <is>
          <t>[H-CLVT] Highway/Road - Repair/Replace Culvert, [Z-OTHEX] Miscellaneous - Exempt Projects</t>
        </is>
      </c>
      <c r="F148" t="inlineStr">
        <is>
          <t>IDOT D1 Hwys</t>
        </is>
      </c>
      <c r="G148" t="inlineStr">
        <is>
          <t>Cook</t>
        </is>
      </c>
      <c r="H148" t="inlineStr">
        <is>
          <t>Palos Park</t>
        </is>
      </c>
      <c r="I148" t="inlineStr">
        <is>
          <t>JSP0118</t>
        </is>
      </c>
      <c r="J148" t="inlineStr">
        <is>
          <t>C-91-353-22</t>
        </is>
      </c>
      <c r="K148" t="inlineStr">
        <is>
          <t>Y230</t>
        </is>
      </c>
      <c r="L148" s="5" t="n">
        <v>1276718</v>
      </c>
      <c r="M148" t="inlineStr">
        <is>
          <t>No</t>
        </is>
      </c>
      <c r="N148" t="inlineStr">
        <is>
          <t>No</t>
        </is>
      </c>
      <c r="O148" t="inlineStr">
        <is>
          <t>No</t>
        </is>
      </c>
      <c r="P148" t="b">
        <v>1</v>
      </c>
      <c r="Q148" t="inlineStr">
        <is>
          <t>FFY2025</t>
        </is>
      </c>
      <c r="R148" t="inlineStr">
        <is>
          <t>FHWA Obligation</t>
        </is>
      </c>
    </row>
    <row r="149">
      <c r="A149" t="inlineStr">
        <is>
          <t>06-16-0009</t>
        </is>
      </c>
      <c r="B149" t="inlineStr">
        <is>
          <t>John Humphrey Drive at 143rd St</t>
        </is>
      </c>
      <c r="C149" t="inlineStr">
        <is>
          <t>Intersection improvement, repair and expansion of dry land bridge beneath 143rd St just east of JohnHumphry Drive</t>
        </is>
      </c>
      <c r="D149" t="inlineStr">
        <is>
          <t>Road Modernization</t>
        </is>
      </c>
      <c r="E149" t="inlineStr">
        <is>
          <t>[B-REPAIR] Bridge/Structure - Reconst/Rehab No Chng in #, Wdth, or Lane, [H-INTIMP] Highway/Road - Intersection Improvement</t>
        </is>
      </c>
      <c r="F149" t="inlineStr">
        <is>
          <t>Southwest Council</t>
        </is>
      </c>
      <c r="G149" t="inlineStr">
        <is>
          <t>Cook</t>
        </is>
      </c>
      <c r="H149" t="inlineStr">
        <is>
          <t>Orland Park</t>
        </is>
      </c>
      <c r="I149" t="inlineStr">
        <is>
          <t>5ZJJ285</t>
        </is>
      </c>
      <c r="J149" t="inlineStr">
        <is>
          <t>D-91-264-18</t>
        </is>
      </c>
      <c r="K149" t="inlineStr">
        <is>
          <t>Y230</t>
        </is>
      </c>
      <c r="L149" s="5" t="n">
        <v>560000</v>
      </c>
      <c r="M149" t="inlineStr">
        <is>
          <t>No</t>
        </is>
      </c>
      <c r="N149" t="inlineStr">
        <is>
          <t>No</t>
        </is>
      </c>
      <c r="O149" t="inlineStr">
        <is>
          <t>No</t>
        </is>
      </c>
      <c r="P149" t="b">
        <v>1</v>
      </c>
      <c r="Q149" t="inlineStr">
        <is>
          <t>FFY2025</t>
        </is>
      </c>
      <c r="R149" t="inlineStr">
        <is>
          <t>FHWA Obligation</t>
        </is>
      </c>
    </row>
    <row r="150">
      <c r="A150" t="inlineStr">
        <is>
          <t>06-16-0009</t>
        </is>
      </c>
      <c r="B150" t="inlineStr">
        <is>
          <t>John Humphrey Drive at 143rd St</t>
        </is>
      </c>
      <c r="C150" t="inlineStr">
        <is>
          <t>Intersection improvement, repair and expansion of dry land bridge beneath 143rd St just east of JohnHumphry Drive</t>
        </is>
      </c>
      <c r="D150" t="inlineStr">
        <is>
          <t>Road Modernization</t>
        </is>
      </c>
      <c r="E150" t="inlineStr">
        <is>
          <t>[B-REPAIR] Bridge/Structure - Reconst/Rehab No Chng in #, Wdth, or Lane, [H-INTIMP] Highway/Road - Intersection Improvement</t>
        </is>
      </c>
      <c r="F150" t="inlineStr">
        <is>
          <t>Southwest Council</t>
        </is>
      </c>
      <c r="G150" t="inlineStr">
        <is>
          <t>Cook</t>
        </is>
      </c>
      <c r="H150" t="inlineStr">
        <is>
          <t>Orland Park</t>
        </is>
      </c>
      <c r="I150" t="inlineStr">
        <is>
          <t>F6GB348</t>
        </is>
      </c>
      <c r="J150" t="inlineStr">
        <is>
          <t>C-91-261-24</t>
        </is>
      </c>
      <c r="K150" t="inlineStr">
        <is>
          <t>Y050</t>
        </is>
      </c>
      <c r="L150" s="5" t="n">
        <v>3000000</v>
      </c>
      <c r="M150" t="inlineStr">
        <is>
          <t>No</t>
        </is>
      </c>
      <c r="N150" t="inlineStr">
        <is>
          <t>No</t>
        </is>
      </c>
      <c r="O150" t="inlineStr">
        <is>
          <t>No</t>
        </is>
      </c>
      <c r="P150" t="b">
        <v>1</v>
      </c>
      <c r="Q150" t="inlineStr">
        <is>
          <t>FFY2025</t>
        </is>
      </c>
      <c r="R150" t="inlineStr">
        <is>
          <t>FHWA Obligation</t>
        </is>
      </c>
    </row>
    <row r="151">
      <c r="A151" t="inlineStr">
        <is>
          <t>06-17-0002</t>
        </is>
      </c>
      <c r="B151" t="inlineStr">
        <is>
          <t>Palos Hills, Roberts Road at 111th Street</t>
        </is>
      </c>
      <c r="C151" t="inlineStr">
        <is>
          <t>Intersection Improvement, Traffic Signal Modernization and installation of an exclusive southbound right turn lane</t>
        </is>
      </c>
      <c r="D151" t="inlineStr">
        <is>
          <t>Intersection/Interchange Improvements</t>
        </is>
      </c>
      <c r="E151" t="inlineStr">
        <is>
          <t>[H-INTIMP] Highway/Road - Intersection Improvement, [S-MOD] Signals - Modernization</t>
        </is>
      </c>
      <c r="F151" t="inlineStr">
        <is>
          <t>Southwest Council</t>
        </is>
      </c>
      <c r="G151" t="inlineStr">
        <is>
          <t>Cook</t>
        </is>
      </c>
      <c r="H151" t="inlineStr">
        <is>
          <t>Palos Hills</t>
        </is>
      </c>
      <c r="I151" t="inlineStr">
        <is>
          <t>B2CI246</t>
        </is>
      </c>
      <c r="J151" t="inlineStr">
        <is>
          <t>C-91-214-17</t>
        </is>
      </c>
      <c r="K151" t="inlineStr">
        <is>
          <t>Y230</t>
        </is>
      </c>
      <c r="L151" s="5" t="n">
        <v>2084760</v>
      </c>
      <c r="M151" t="inlineStr">
        <is>
          <t>No</t>
        </is>
      </c>
      <c r="N151" t="inlineStr">
        <is>
          <t>No</t>
        </is>
      </c>
      <c r="O151" t="inlineStr">
        <is>
          <t>No</t>
        </is>
      </c>
      <c r="P151" t="b">
        <v>1</v>
      </c>
      <c r="Q151" t="inlineStr">
        <is>
          <t>FFY2025</t>
        </is>
      </c>
      <c r="R151" t="inlineStr">
        <is>
          <t>FHWA Obligation</t>
        </is>
      </c>
    </row>
    <row r="152">
      <c r="A152" t="inlineStr">
        <is>
          <t>06-21-0009</t>
        </is>
      </c>
      <c r="B152" t="inlineStr">
        <is>
          <t>79th St - 88th Ave to IL 50 (Cicero Ave)</t>
        </is>
      </c>
      <c r="C152" t="inlineStr">
        <is>
          <t>Project is to add the intersections of 79th St at 88th Ave/Cork Ave, 79th St at Roberts Rd, 79th St at 78th Ave, 79th St at Oketo Ave, 79th St at IL 43 (Harlem Ave), 79th St at Sayre Ave, 79th St at [Burbank] Fire Station, 79th St at Narragansett Ave, and 79th St at Austin Ave to the west end of the existing traffic signal interconnect system - Econ 51. The existing Econ 51 system runs between three (3) intersections including two along 79th St at both Central Ave and State Rd.</t>
        </is>
      </c>
      <c r="D152" t="inlineStr">
        <is>
          <t>Signal Systems</t>
        </is>
      </c>
      <c r="E152" t="inlineStr">
        <is>
          <t>[S-TIM] Signals - Interconnects And Timing</t>
        </is>
      </c>
      <c r="F152" t="inlineStr">
        <is>
          <t>IDOT D1 Hwys</t>
        </is>
      </c>
      <c r="G152" t="inlineStr">
        <is>
          <t>Cook</t>
        </is>
      </c>
      <c r="H152" t="inlineStr">
        <is>
          <t>Bridgeview</t>
        </is>
      </c>
      <c r="I152" t="inlineStr">
        <is>
          <t>G4TG960</t>
        </is>
      </c>
      <c r="J152" t="inlineStr">
        <is>
          <t>C-91-244-22</t>
        </is>
      </c>
      <c r="K152" t="inlineStr">
        <is>
          <t>Y400</t>
        </is>
      </c>
      <c r="L152" s="5" t="n">
        <v>1968382</v>
      </c>
      <c r="M152" t="inlineStr">
        <is>
          <t>No</t>
        </is>
      </c>
      <c r="N152" t="inlineStr">
        <is>
          <t>No</t>
        </is>
      </c>
      <c r="O152" t="inlineStr">
        <is>
          <t>No</t>
        </is>
      </c>
      <c r="P152" t="b">
        <v>1</v>
      </c>
      <c r="Q152" t="inlineStr">
        <is>
          <t>FFY2025</t>
        </is>
      </c>
      <c r="R152" t="inlineStr">
        <is>
          <t>FHWA Obligation</t>
        </is>
      </c>
    </row>
    <row r="153">
      <c r="A153" t="inlineStr">
        <is>
          <t>06-24-0044</t>
        </is>
      </c>
      <c r="B153" t="inlineStr">
        <is>
          <t>Western Ave - S of Broadway St to I-57</t>
        </is>
      </c>
      <c r="C153" t="inlineStr">
        <is>
          <t>Smart Overlay</t>
        </is>
      </c>
      <c r="D153" t="inlineStr">
        <is>
          <t>Road Maintenance</t>
        </is>
      </c>
      <c r="E153" t="inlineStr">
        <is>
          <t>[H-RS] Highway/Road - Resurface (with No Lane Widening)</t>
        </is>
      </c>
      <c r="F153" t="inlineStr">
        <is>
          <t>IDOT D1 Hwys</t>
        </is>
      </c>
      <c r="G153" t="inlineStr">
        <is>
          <t>Cook</t>
        </is>
      </c>
      <c r="H153" t="inlineStr">
        <is>
          <t>Blue Island, Dixmoor</t>
        </is>
      </c>
      <c r="I153" t="inlineStr">
        <is>
          <t>G2DR523</t>
        </is>
      </c>
      <c r="J153" t="inlineStr">
        <is>
          <t>C-91-073-24</t>
        </is>
      </c>
      <c r="K153" t="inlineStr">
        <is>
          <t>Y001</t>
        </is>
      </c>
      <c r="L153" s="5" t="n">
        <v>219072</v>
      </c>
      <c r="M153" t="inlineStr">
        <is>
          <t>No</t>
        </is>
      </c>
      <c r="N153" t="inlineStr">
        <is>
          <t>No</t>
        </is>
      </c>
      <c r="O153" t="inlineStr">
        <is>
          <t>No</t>
        </is>
      </c>
      <c r="P153" t="b">
        <v>1</v>
      </c>
      <c r="Q153" t="inlineStr">
        <is>
          <t>FFY2025</t>
        </is>
      </c>
      <c r="R153" t="inlineStr">
        <is>
          <t>FHWA Obligation</t>
        </is>
      </c>
    </row>
    <row r="154">
      <c r="A154" t="inlineStr">
        <is>
          <t>06-24-0044</t>
        </is>
      </c>
      <c r="B154" t="inlineStr">
        <is>
          <t>Western Ave - S of Broadway St to I-57</t>
        </is>
      </c>
      <c r="C154" t="inlineStr">
        <is>
          <t>Smart Overlay</t>
        </is>
      </c>
      <c r="D154" t="inlineStr">
        <is>
          <t>Road Maintenance</t>
        </is>
      </c>
      <c r="E154" t="inlineStr">
        <is>
          <t>[H-RS] Highway/Road - Resurface (with No Lane Widening)</t>
        </is>
      </c>
      <c r="F154" t="inlineStr">
        <is>
          <t>IDOT D1 Hwys</t>
        </is>
      </c>
      <c r="G154" t="inlineStr">
        <is>
          <t>Cook</t>
        </is>
      </c>
      <c r="H154" t="inlineStr">
        <is>
          <t>Blue Island, Dixmoor</t>
        </is>
      </c>
      <c r="I154" t="inlineStr">
        <is>
          <t>G2DR523</t>
        </is>
      </c>
      <c r="J154" t="inlineStr">
        <is>
          <t>C-91-073-24</t>
        </is>
      </c>
      <c r="K154" t="inlineStr">
        <is>
          <t>M0E1</t>
        </is>
      </c>
      <c r="L154" s="5" t="n">
        <v>635546</v>
      </c>
      <c r="M154" t="inlineStr">
        <is>
          <t>No</t>
        </is>
      </c>
      <c r="N154" t="inlineStr">
        <is>
          <t>No</t>
        </is>
      </c>
      <c r="O154" t="inlineStr">
        <is>
          <t>No</t>
        </is>
      </c>
      <c r="P154" t="b">
        <v>1</v>
      </c>
      <c r="Q154" t="inlineStr">
        <is>
          <t>FFY2025</t>
        </is>
      </c>
      <c r="R154" t="inlineStr">
        <is>
          <t>FHWA Obligation</t>
        </is>
      </c>
    </row>
    <row r="155">
      <c r="A155" t="inlineStr">
        <is>
          <t>07-12-0006</t>
        </is>
      </c>
      <c r="B155" t="inlineStr">
        <is>
          <t>IL 1 Halsted St over IHB Railroad over CSX Railroad</t>
        </is>
      </c>
      <c r="C155" t="inlineStr">
        <is>
          <t>BRIDGE DECK OVERLAY; JOINT REPAIR</t>
        </is>
      </c>
      <c r="D155" t="inlineStr">
        <is>
          <t>Bridge Repair, Rehab, or Replace</t>
        </is>
      </c>
      <c r="E155" t="inlineStr">
        <is>
          <t>[B-OVR] Bridge Deck - Overlay, [B-REPAIR] Bridge/Structure - Reconst/Rehab No Chng in #, Wdth, or Lane, [E-PEDNEW] New Pedestrian Facility</t>
        </is>
      </c>
      <c r="F155" t="inlineStr">
        <is>
          <t>IDOT D1 Hwys</t>
        </is>
      </c>
      <c r="G155" t="inlineStr">
        <is>
          <t>Cook</t>
        </is>
      </c>
      <c r="H155" t="inlineStr">
        <is>
          <t>Riverdale</t>
        </is>
      </c>
      <c r="I155" t="inlineStr">
        <is>
          <t>HTDL389</t>
        </is>
      </c>
      <c r="J155" t="inlineStr">
        <is>
          <t>C-91-294-19</t>
        </is>
      </c>
      <c r="K155" t="inlineStr">
        <is>
          <t>Y230</t>
        </is>
      </c>
      <c r="L155" s="5" t="n">
        <v>7621393</v>
      </c>
      <c r="M155" t="inlineStr">
        <is>
          <t>Yes</t>
        </is>
      </c>
      <c r="N155" t="inlineStr">
        <is>
          <t>No</t>
        </is>
      </c>
      <c r="O155" t="inlineStr">
        <is>
          <t>No</t>
        </is>
      </c>
      <c r="P155" t="b">
        <v>1</v>
      </c>
      <c r="Q155" t="inlineStr">
        <is>
          <t>FFY2025</t>
        </is>
      </c>
      <c r="R155" t="inlineStr">
        <is>
          <t>FHWA Obligation</t>
        </is>
      </c>
    </row>
    <row r="156">
      <c r="A156" t="inlineStr">
        <is>
          <t>07-17-0010</t>
        </is>
      </c>
      <c r="B156" t="inlineStr">
        <is>
          <t>IL 1 (Halsted St.) at IL 83 (147th St.)</t>
        </is>
      </c>
      <c r="C156" t="inlineStr">
        <is>
          <t>Traffic Signal Modernization, ADA Improvements</t>
        </is>
      </c>
      <c r="D156" t="inlineStr">
        <is>
          <t>Road Maintenance</t>
        </is>
      </c>
      <c r="E156" t="inlineStr">
        <is>
          <t>[E-ADAMAINT] Maintain/Repair ADA Infrastructure (Roadway), [S-MOD] Signals - Modernization</t>
        </is>
      </c>
      <c r="F156" t="inlineStr">
        <is>
          <t>IDOT D1 Hwys</t>
        </is>
      </c>
      <c r="G156" t="inlineStr">
        <is>
          <t>Cook</t>
        </is>
      </c>
      <c r="H156" t="inlineStr">
        <is>
          <t>Harvey</t>
        </is>
      </c>
      <c r="I156" t="inlineStr">
        <is>
          <t>TBNJ040</t>
        </is>
      </c>
      <c r="J156" t="inlineStr">
        <is>
          <t>R-90-005-20</t>
        </is>
      </c>
      <c r="K156" t="inlineStr">
        <is>
          <t>YS30</t>
        </is>
      </c>
      <c r="L156" s="5" t="n">
        <v>24747</v>
      </c>
      <c r="M156" t="inlineStr">
        <is>
          <t>Yes</t>
        </is>
      </c>
      <c r="N156" t="inlineStr">
        <is>
          <t>Yes</t>
        </is>
      </c>
      <c r="O156" t="inlineStr">
        <is>
          <t>No</t>
        </is>
      </c>
      <c r="P156" t="b">
        <v>1</v>
      </c>
      <c r="Q156" t="inlineStr">
        <is>
          <t>FFY2025</t>
        </is>
      </c>
      <c r="R156" t="inlineStr">
        <is>
          <t>FHWA Obligation</t>
        </is>
      </c>
    </row>
    <row r="157">
      <c r="A157" t="inlineStr">
        <is>
          <t>07-17-0010</t>
        </is>
      </c>
      <c r="B157" t="inlineStr">
        <is>
          <t>IL 1 (Halsted St.) at IL 83 (147th St.)</t>
        </is>
      </c>
      <c r="C157" t="inlineStr">
        <is>
          <t>Traffic Signal Modernization, ADA Improvements</t>
        </is>
      </c>
      <c r="D157" t="inlineStr">
        <is>
          <t>Road Maintenance</t>
        </is>
      </c>
      <c r="E157" t="inlineStr">
        <is>
          <t>[E-ADAMAINT] Maintain/Repair ADA Infrastructure (Roadway), [S-MOD] Signals - Modernization</t>
        </is>
      </c>
      <c r="F157" t="inlineStr">
        <is>
          <t>IDOT D1 Hwys</t>
        </is>
      </c>
      <c r="G157" t="inlineStr">
        <is>
          <t>Cook</t>
        </is>
      </c>
      <c r="H157" t="inlineStr">
        <is>
          <t>Harvey</t>
        </is>
      </c>
      <c r="I157" t="inlineStr">
        <is>
          <t>W34X107</t>
        </is>
      </c>
      <c r="J157" t="inlineStr">
        <is>
          <t>C-91-360-22</t>
        </is>
      </c>
      <c r="K157" t="inlineStr">
        <is>
          <t>YS30</t>
        </is>
      </c>
      <c r="L157" s="5" t="n">
        <v>1935095</v>
      </c>
      <c r="M157" t="inlineStr">
        <is>
          <t>Yes</t>
        </is>
      </c>
      <c r="N157" t="inlineStr">
        <is>
          <t>Yes</t>
        </is>
      </c>
      <c r="O157" t="inlineStr">
        <is>
          <t>No</t>
        </is>
      </c>
      <c r="P157" t="b">
        <v>1</v>
      </c>
      <c r="Q157" t="inlineStr">
        <is>
          <t>FFY2025</t>
        </is>
      </c>
      <c r="R157" t="inlineStr">
        <is>
          <t>FHWA Obligation</t>
        </is>
      </c>
    </row>
    <row r="158">
      <c r="A158" t="inlineStr">
        <is>
          <t>07-20-0033</t>
        </is>
      </c>
      <c r="B158" t="inlineStr">
        <is>
          <t>East Hazel Crest : Center Street - 171st Street to 175th Street</t>
        </is>
      </c>
      <c r="C158" t="inlineStr">
        <is>
          <t>Street resurfacing, pavement patching, adding a multi-use path from 175th Street to 172nd Street, ADA ramps at all intersections, ditch regrading and driveway culvert replacement as necessary, street lighting and adding beautification planting along roadway.</t>
        </is>
      </c>
      <c r="D158" t="inlineStr">
        <is>
          <t>Road Modernization</t>
        </is>
      </c>
      <c r="E158" t="inlineStr">
        <is>
          <t>[A-LTS] Safety - Lighting, [A-PMRK] Safety - Pavement Marking, [E- ADANEW] New ADA Infrastructure (Roadway), [E-LS] Enhancement - Landscaping, [E-SharedNew] New Shared Use Path, [H-C/G] Highway/Road - Curb And Gutter, [H-RS] Highway/Road - Resurface (with No Lane Widening)</t>
        </is>
      </c>
      <c r="F158" t="inlineStr">
        <is>
          <t>South Council</t>
        </is>
      </c>
      <c r="G158" t="inlineStr">
        <is>
          <t>Cook</t>
        </is>
      </c>
      <c r="H158" t="inlineStr">
        <is>
          <t>East Hazel Crest</t>
        </is>
      </c>
      <c r="I158" t="inlineStr">
        <is>
          <t>NM5A507</t>
        </is>
      </c>
      <c r="J158" t="inlineStr">
        <is>
          <t>C-91-177-23</t>
        </is>
      </c>
      <c r="K158" t="inlineStr">
        <is>
          <t>Y230</t>
        </is>
      </c>
      <c r="L158" s="5" t="n">
        <v>518152</v>
      </c>
      <c r="M158" t="inlineStr">
        <is>
          <t>Yes</t>
        </is>
      </c>
      <c r="N158" t="inlineStr">
        <is>
          <t>Yes</t>
        </is>
      </c>
      <c r="O158" t="inlineStr">
        <is>
          <t>Yes</t>
        </is>
      </c>
      <c r="P158" t="b">
        <v>1</v>
      </c>
      <c r="Q158" t="inlineStr">
        <is>
          <t>FFY2025</t>
        </is>
      </c>
      <c r="R158" t="inlineStr">
        <is>
          <t>FHWA Obligation</t>
        </is>
      </c>
    </row>
    <row r="159">
      <c r="A159" t="inlineStr">
        <is>
          <t>07-22-0052</t>
        </is>
      </c>
      <c r="B159" t="inlineStr">
        <is>
          <t>171st Street Resurfacing (Dixie Highway to Wood Street)</t>
        </is>
      </c>
      <c r="C159" t="inlineStr">
        <is>
          <t>LAFO Resurfacing</t>
        </is>
      </c>
      <c r="D159" t="inlineStr">
        <is>
          <t>Road Maintenance</t>
        </is>
      </c>
      <c r="E159" t="inlineStr">
        <is>
          <t>[H-RS] Highway/Road - Resurface (with No Lane Widening)</t>
        </is>
      </c>
      <c r="F159" t="inlineStr">
        <is>
          <t>South Council</t>
        </is>
      </c>
      <c r="G159" t="inlineStr">
        <is>
          <t>Cook</t>
        </is>
      </c>
      <c r="H159" t="inlineStr">
        <is>
          <t>Hazel Crest</t>
        </is>
      </c>
      <c r="I159" t="inlineStr">
        <is>
          <t>1CWT209</t>
        </is>
      </c>
      <c r="J159" t="inlineStr">
        <is>
          <t>C-91-013-25</t>
        </is>
      </c>
      <c r="K159" t="inlineStr">
        <is>
          <t>Y050</t>
        </is>
      </c>
      <c r="L159" s="5" t="n">
        <v>294400</v>
      </c>
      <c r="M159" t="inlineStr">
        <is>
          <t>No</t>
        </is>
      </c>
      <c r="N159" t="inlineStr">
        <is>
          <t>No</t>
        </is>
      </c>
      <c r="O159" t="inlineStr">
        <is>
          <t>No</t>
        </is>
      </c>
      <c r="P159" t="b">
        <v>1</v>
      </c>
      <c r="Q159" t="inlineStr">
        <is>
          <t>FFY2025</t>
        </is>
      </c>
      <c r="R159" t="inlineStr">
        <is>
          <t>FHWA Obligation</t>
        </is>
      </c>
    </row>
    <row r="160">
      <c r="A160" t="inlineStr">
        <is>
          <t>07-22-0082</t>
        </is>
      </c>
      <c r="B160" t="inlineStr">
        <is>
          <t>Ill 50 Cicero Ave - Ill 83 (147th St) to 157th St</t>
        </is>
      </c>
      <c r="C160" t="inlineStr">
        <is>
          <t>Smart Overlay, ADA Improvements</t>
        </is>
      </c>
      <c r="D160" t="inlineStr">
        <is>
          <t>Road Maintenance</t>
        </is>
      </c>
      <c r="E160" t="inlineStr">
        <is>
          <t>[E-ADAMAINT] Maintain/Repair ADA Infrastructure (Roadway), [H-RS] Highway/Road - Resurface (with No Lane Widening)</t>
        </is>
      </c>
      <c r="F160" t="inlineStr">
        <is>
          <t>IDOT D1 Hwys</t>
        </is>
      </c>
      <c r="G160" t="inlineStr">
        <is>
          <t>Cook</t>
        </is>
      </c>
      <c r="H160" t="inlineStr">
        <is>
          <t>Midlothian, Oak Forest</t>
        </is>
      </c>
      <c r="I160" t="inlineStr">
        <is>
          <t>WIU7540</t>
        </is>
      </c>
      <c r="J160" t="inlineStr">
        <is>
          <t>C-91-308-22</t>
        </is>
      </c>
      <c r="K160" t="inlineStr">
        <is>
          <t>Y001</t>
        </is>
      </c>
      <c r="L160" s="5" t="n">
        <v>1280000</v>
      </c>
      <c r="M160" t="inlineStr">
        <is>
          <t>Yes</t>
        </is>
      </c>
      <c r="N160" t="inlineStr">
        <is>
          <t>Yes</t>
        </is>
      </c>
      <c r="O160" t="inlineStr">
        <is>
          <t>No</t>
        </is>
      </c>
      <c r="P160" t="b">
        <v>1</v>
      </c>
      <c r="Q160" t="inlineStr">
        <is>
          <t>FFY2025</t>
        </is>
      </c>
      <c r="R160" t="inlineStr">
        <is>
          <t>FHWA Obligation</t>
        </is>
      </c>
    </row>
    <row r="161">
      <c r="A161" t="inlineStr">
        <is>
          <t>07-22-0086</t>
        </is>
      </c>
      <c r="B161" t="inlineStr">
        <is>
          <t>Western Ave - At Thorn Creek</t>
        </is>
      </c>
      <c r="C161" t="inlineStr">
        <is>
          <t>Bridge Joint Replace/Repair, Bridge Deck Overlay</t>
        </is>
      </c>
      <c r="D161" t="inlineStr">
        <is>
          <t>Bridge Routine Maintenance</t>
        </is>
      </c>
      <c r="E161" t="inlineStr">
        <is>
          <t>[B-OVR] Bridge Deck - Overlay, [B-REPAIR] Bridge/Structure - Reconst/Rehab No Chng in #, Wdth, or Lane</t>
        </is>
      </c>
      <c r="F161" t="inlineStr">
        <is>
          <t>IDOT D1 Hwys</t>
        </is>
      </c>
      <c r="G161" t="inlineStr">
        <is>
          <t>Cook</t>
        </is>
      </c>
      <c r="H161" t="inlineStr">
        <is>
          <t>Park Forest</t>
        </is>
      </c>
      <c r="I161" t="inlineStr">
        <is>
          <t>EBIC484</t>
        </is>
      </c>
      <c r="J161" t="inlineStr">
        <is>
          <t>C-91-357-22</t>
        </is>
      </c>
      <c r="K161" t="inlineStr">
        <is>
          <t>Y114</t>
        </is>
      </c>
      <c r="L161" s="5" t="n">
        <v>440000</v>
      </c>
      <c r="M161" t="inlineStr">
        <is>
          <t>No</t>
        </is>
      </c>
      <c r="N161" t="inlineStr">
        <is>
          <t>No</t>
        </is>
      </c>
      <c r="O161" t="inlineStr">
        <is>
          <t>No</t>
        </is>
      </c>
      <c r="P161" t="b">
        <v>1</v>
      </c>
      <c r="Q161" t="inlineStr">
        <is>
          <t>FFY2025</t>
        </is>
      </c>
      <c r="R161" t="inlineStr">
        <is>
          <t>FHWA Obligation</t>
        </is>
      </c>
    </row>
    <row r="162">
      <c r="A162" t="inlineStr">
        <is>
          <t>07-23-0027</t>
        </is>
      </c>
      <c r="B162" t="inlineStr">
        <is>
          <t>CBD Streetscape Improvements</t>
        </is>
      </c>
      <c r="C162" t="inlineStr">
        <is>
          <t>ADA, sidewalk, truck apron in roundabout, trees, gates, benches, pavers, bump-outs, bike racks, drainage, wayfinding signage, and lighting.</t>
        </is>
      </c>
      <c r="D162" t="inlineStr">
        <is>
          <t>Bicycle &amp; Pedestrian</t>
        </is>
      </c>
      <c r="E162" t="inlineStr">
        <is>
          <t>[A-LTS] Safety - Lighting, [A-MED] Safety - Median Projects, [A-PMRK] Safety - Pavement Marking, [E-ADAIMP] Improve ADA Infrastructure (Roadway), [E-BIKEPARK] Bicycle Parking, [E-LS] Enhancement - Landscaping, [H-RAB] Highway/Road - Roundabout</t>
        </is>
      </c>
      <c r="F162" t="inlineStr">
        <is>
          <t>South Council</t>
        </is>
      </c>
      <c r="G162" t="inlineStr">
        <is>
          <t>Cook</t>
        </is>
      </c>
      <c r="H162" t="inlineStr">
        <is>
          <t>Flossmoor</t>
        </is>
      </c>
      <c r="I162" t="inlineStr">
        <is>
          <t>ZZR2010</t>
        </is>
      </c>
      <c r="J162" t="inlineStr">
        <is>
          <t>C-91-065-25</t>
        </is>
      </c>
      <c r="K162" t="inlineStr">
        <is>
          <t>Y300</t>
        </is>
      </c>
      <c r="L162" s="5" t="n">
        <v>1038840</v>
      </c>
      <c r="M162" t="inlineStr">
        <is>
          <t>Yes</t>
        </is>
      </c>
      <c r="N162" t="inlineStr">
        <is>
          <t>Yes</t>
        </is>
      </c>
      <c r="O162" t="inlineStr">
        <is>
          <t>Yes</t>
        </is>
      </c>
      <c r="P162" t="b">
        <v>1</v>
      </c>
      <c r="Q162" t="inlineStr">
        <is>
          <t>FFY2025</t>
        </is>
      </c>
      <c r="R162" t="inlineStr">
        <is>
          <t>FHWA Obligation</t>
        </is>
      </c>
    </row>
    <row r="163">
      <c r="A163" t="inlineStr">
        <is>
          <t>07-23-0027</t>
        </is>
      </c>
      <c r="B163" t="inlineStr">
        <is>
          <t>CBD Streetscape Improvements</t>
        </is>
      </c>
      <c r="C163" t="inlineStr">
        <is>
          <t>ADA, sidewalk, truck apron in roundabout, trees, gates, benches, pavers, bump-outs, bike racks, drainage, wayfinding signage, and lighting.</t>
        </is>
      </c>
      <c r="D163" t="inlineStr">
        <is>
          <t>Bicycle &amp; Pedestrian</t>
        </is>
      </c>
      <c r="E163" t="inlineStr">
        <is>
          <t>[A-LTS] Safety - Lighting, [A-MED] Safety - Median Projects, [A-PMRK] Safety - Pavement Marking, [E-ADAIMP] Improve ADA Infrastructure (Roadway), [E-BIKEPARK] Bicycle Parking, [E-LS] Enhancement - Landscaping, [H-RAB] Highway/Road - Roundabout</t>
        </is>
      </c>
      <c r="F163" t="inlineStr">
        <is>
          <t>South Council</t>
        </is>
      </c>
      <c r="G163" t="inlineStr">
        <is>
          <t>Cook</t>
        </is>
      </c>
      <c r="H163" t="inlineStr">
        <is>
          <t>Flossmoor</t>
        </is>
      </c>
      <c r="I163" t="inlineStr">
        <is>
          <t>ZZR2010</t>
        </is>
      </c>
      <c r="J163" t="inlineStr">
        <is>
          <t>C-91-065-25</t>
        </is>
      </c>
      <c r="K163" t="inlineStr">
        <is>
          <t>Z300</t>
        </is>
      </c>
      <c r="L163" s="5" t="n">
        <v>145616</v>
      </c>
      <c r="M163" t="inlineStr">
        <is>
          <t>Yes</t>
        </is>
      </c>
      <c r="N163" t="inlineStr">
        <is>
          <t>Yes</t>
        </is>
      </c>
      <c r="O163" t="inlineStr">
        <is>
          <t>Yes</t>
        </is>
      </c>
      <c r="P163" t="b">
        <v>1</v>
      </c>
      <c r="Q163" t="inlineStr">
        <is>
          <t>FFY2025</t>
        </is>
      </c>
      <c r="R163" t="inlineStr">
        <is>
          <t>FHWA Obligation</t>
        </is>
      </c>
    </row>
    <row r="164">
      <c r="A164" t="inlineStr">
        <is>
          <t>07-23-0028</t>
        </is>
      </c>
      <c r="B164" t="inlineStr">
        <is>
          <t>I-57 - Under Metra RR N of 127th St &amp; Bike Path N of 107th St</t>
        </is>
      </c>
      <c r="C164" t="inlineStr">
        <is>
          <t>Bridge Painting, RR Flagger</t>
        </is>
      </c>
      <c r="D164" t="inlineStr">
        <is>
          <t>Bridge Routine Maintenance</t>
        </is>
      </c>
      <c r="E164" t="inlineStr">
        <is>
          <t>[A-OTH] Safety - Other, [B-PNT] Bridge/Structure - Paint</t>
        </is>
      </c>
      <c r="F164" t="inlineStr">
        <is>
          <t>IDOT D1 Hwys</t>
        </is>
      </c>
      <c r="G164" t="inlineStr">
        <is>
          <t>Cook</t>
        </is>
      </c>
      <c r="H164" t="inlineStr">
        <is>
          <t>Calumet Park</t>
        </is>
      </c>
      <c r="I164" t="inlineStr">
        <is>
          <t>43ZU021</t>
        </is>
      </c>
      <c r="J164" t="inlineStr">
        <is>
          <t>C-91-003-24</t>
        </is>
      </c>
      <c r="K164" t="inlineStr">
        <is>
          <t>Y001</t>
        </is>
      </c>
      <c r="L164" s="5" t="n">
        <v>1468466</v>
      </c>
      <c r="M164" t="inlineStr">
        <is>
          <t>No</t>
        </is>
      </c>
      <c r="N164" t="inlineStr">
        <is>
          <t>No</t>
        </is>
      </c>
      <c r="O164" t="inlineStr">
        <is>
          <t>Yes</t>
        </is>
      </c>
      <c r="P164" t="b">
        <v>1</v>
      </c>
      <c r="Q164" t="inlineStr">
        <is>
          <t>FFY2025</t>
        </is>
      </c>
      <c r="R164" t="inlineStr">
        <is>
          <t>FHWA Obligation</t>
        </is>
      </c>
    </row>
    <row r="165">
      <c r="A165" t="inlineStr">
        <is>
          <t>07-24-0003</t>
        </is>
      </c>
      <c r="B165" t="inlineStr">
        <is>
          <t>Ill 1 Halsted St - Over IHB RR &amp; Over CSX RR</t>
        </is>
      </c>
      <c r="C165" t="inlineStr">
        <is>
          <t>Bridge Rehabilitation, Bikeway</t>
        </is>
      </c>
      <c r="D165" t="inlineStr">
        <is>
          <t>Bridge Repair, Rehab, or Replace</t>
        </is>
      </c>
      <c r="E165" t="inlineStr">
        <is>
          <t>[B-REPAIR] Bridge/Structure - Reconst/Rehab No Chng in #, Wdth, or Lane, [Z-OTHEX] Miscellaneous - Exempt Projects</t>
        </is>
      </c>
      <c r="F165" t="inlineStr">
        <is>
          <t>IDOT D1 Hwys</t>
        </is>
      </c>
      <c r="G165" t="inlineStr">
        <is>
          <t>Cook</t>
        </is>
      </c>
      <c r="H165" t="inlineStr">
        <is>
          <t>Riverdale</t>
        </is>
      </c>
      <c r="I165" t="inlineStr">
        <is>
          <t>HTDL389</t>
        </is>
      </c>
      <c r="J165" t="inlineStr">
        <is>
          <t>C-91-294-19</t>
        </is>
      </c>
      <c r="K165" t="inlineStr">
        <is>
          <t>Y230</t>
        </is>
      </c>
      <c r="L165" s="5" t="n">
        <v>7621393</v>
      </c>
      <c r="M165" t="inlineStr">
        <is>
          <t>No</t>
        </is>
      </c>
      <c r="N165" t="inlineStr">
        <is>
          <t>No</t>
        </is>
      </c>
      <c r="O165" t="inlineStr">
        <is>
          <t>No</t>
        </is>
      </c>
      <c r="P165" t="b">
        <v>1</v>
      </c>
      <c r="Q165" t="inlineStr">
        <is>
          <t>FFY2025</t>
        </is>
      </c>
      <c r="R165" t="inlineStr">
        <is>
          <t>FHWA Obligation</t>
        </is>
      </c>
    </row>
    <row r="166">
      <c r="A166" t="inlineStr">
        <is>
          <t>07-24-0011</t>
        </is>
      </c>
      <c r="B166" t="inlineStr">
        <is>
          <t>Taft Drive (FAU 1044) Resurfacing</t>
        </is>
      </c>
      <c r="C166" t="inlineStr">
        <is>
          <t>LAFO Resurfacing along Taft Drive (FAU 1044) from East of Union Ave to Canal St. Improvements include hot-mix asphalt surface removal and resurfacing with binder and surface courses, concrete curb and gutter replacement, hot-mix asphalt patches, hot-mix asphalt driveway replacement, concrete driveway replacement, drainage adjustments, restoration, pavement marking, concrete sidewalk replacement and ADA facility improvements.</t>
        </is>
      </c>
      <c r="D166" t="inlineStr">
        <is>
          <t>Road Maintenance</t>
        </is>
      </c>
      <c r="E166" t="inlineStr">
        <is>
          <t>[A-PMRK] Safety - Pavement Marking, [E-ADAIMP] Improve ADA Infrastructure (Roadway), [E-PEDIMP] Improve Pedestrian Facility, [H- PATCH] Highway/Road - Pavement Patching, [H-RS] Highway/Road - Resurface (with No Lane Widening)</t>
        </is>
      </c>
      <c r="F166" t="inlineStr">
        <is>
          <t>South Council</t>
        </is>
      </c>
      <c r="G166" t="inlineStr">
        <is>
          <t>Cook</t>
        </is>
      </c>
      <c r="H166" t="inlineStr">
        <is>
          <t>South Holland</t>
        </is>
      </c>
      <c r="I166" t="inlineStr">
        <is>
          <t>Y7DP186</t>
        </is>
      </c>
      <c r="J166" t="inlineStr">
        <is>
          <t>C-91-046-25</t>
        </is>
      </c>
      <c r="K166" t="inlineStr">
        <is>
          <t>Z230</t>
        </is>
      </c>
      <c r="L166" s="5" t="n">
        <v>281698</v>
      </c>
      <c r="M166" t="inlineStr">
        <is>
          <t>Yes</t>
        </is>
      </c>
      <c r="N166" t="inlineStr">
        <is>
          <t>Yes</t>
        </is>
      </c>
      <c r="O166" t="inlineStr">
        <is>
          <t>Yes</t>
        </is>
      </c>
      <c r="P166" t="b">
        <v>1</v>
      </c>
      <c r="Q166" t="inlineStr">
        <is>
          <t>FFY2025</t>
        </is>
      </c>
      <c r="R166" t="inlineStr">
        <is>
          <t>FHWA Obligation</t>
        </is>
      </c>
    </row>
    <row r="167">
      <c r="A167" t="inlineStr">
        <is>
          <t>07-24-0011</t>
        </is>
      </c>
      <c r="B167" t="inlineStr">
        <is>
          <t>Taft Drive (FAU 1044) Resurfacing</t>
        </is>
      </c>
      <c r="C167" t="inlineStr">
        <is>
          <t>LAFO Resurfacing along Taft Drive (FAU 1044) from East of Union Ave to Canal St. Improvements include hot-mix asphalt surface removal and resurfacing with binder and surface courses, concrete curb and gutter replacement, hot-mix asphalt patches, hot-mix asphalt driveway replacement, concrete driveway replacement, drainage adjustments, restoration, pavement marking, concrete sidewalk replacement and ADA facility improvements.</t>
        </is>
      </c>
      <c r="D167" t="inlineStr">
        <is>
          <t>Road Maintenance</t>
        </is>
      </c>
      <c r="E167" t="inlineStr">
        <is>
          <t>[A-PMRK] Safety - Pavement Marking, [E-ADAIMP] Improve ADA Infrastructure (Roadway), [E-PEDIMP] Improve Pedestrian Facility, [H- PATCH] Highway/Road - Pavement Patching, [H-RS] Highway/Road - Resurface (with No Lane Widening)</t>
        </is>
      </c>
      <c r="F167" t="inlineStr">
        <is>
          <t>South Council</t>
        </is>
      </c>
      <c r="G167" t="inlineStr">
        <is>
          <t>Cook</t>
        </is>
      </c>
      <c r="H167" t="inlineStr">
        <is>
          <t>South Holland</t>
        </is>
      </c>
      <c r="I167" t="inlineStr">
        <is>
          <t>Y7DP186</t>
        </is>
      </c>
      <c r="J167" t="inlineStr">
        <is>
          <t>C-91-046-25</t>
        </is>
      </c>
      <c r="K167" t="inlineStr">
        <is>
          <t>Y230</t>
        </is>
      </c>
      <c r="L167" s="5" t="n">
        <v>79102</v>
      </c>
      <c r="M167" t="inlineStr">
        <is>
          <t>Yes</t>
        </is>
      </c>
      <c r="N167" t="inlineStr">
        <is>
          <t>Yes</t>
        </is>
      </c>
      <c r="O167" t="inlineStr">
        <is>
          <t>Yes</t>
        </is>
      </c>
      <c r="P167" t="b">
        <v>1</v>
      </c>
      <c r="Q167" t="inlineStr">
        <is>
          <t>FFY2025</t>
        </is>
      </c>
      <c r="R167" t="inlineStr">
        <is>
          <t>FHWA Obligation</t>
        </is>
      </c>
    </row>
    <row r="168">
      <c r="A168" t="inlineStr">
        <is>
          <t>07-24-0012</t>
        </is>
      </c>
      <c r="B168" t="inlineStr">
        <is>
          <t>Stony Island Avenue Street Resurfacing</t>
        </is>
      </c>
      <c r="C168" t="inlineStr">
        <is>
          <t>Stony Island Avenue is a 2-lane road serving commercial and residential users. Project details include HMA surface removal and replacement, aggregate shoulder modification, pavement patching as needed, ADA ramps and landscaping as needed. 1 signalized intersection and 2 stop controlled intersections within the project limits</t>
        </is>
      </c>
      <c r="D168" t="inlineStr">
        <is>
          <t>Road Maintenance</t>
        </is>
      </c>
      <c r="E168" t="inlineStr">
        <is>
          <t>[A-PMRK] Safety - Pavement Marking, [A-SHDR] Safety - Shoulder Improvements, [E-ADAIMP] Improve ADA Infrastructure (Roadway), [E-LS] Enhancement - Landscaping, [H-PATCH] Highway/Road - Pavement Patching, [H-RS] Highway/Road - Resurface (with No Lane Widening)</t>
        </is>
      </c>
      <c r="F168" t="inlineStr">
        <is>
          <t>South Council</t>
        </is>
      </c>
      <c r="G168" t="inlineStr">
        <is>
          <t>Cook</t>
        </is>
      </c>
      <c r="H168" t="inlineStr">
        <is>
          <t>Lansing</t>
        </is>
      </c>
      <c r="I168" t="inlineStr">
        <is>
          <t>D74F960</t>
        </is>
      </c>
      <c r="J168" t="inlineStr">
        <is>
          <t>C-91-063-25</t>
        </is>
      </c>
      <c r="K168" t="inlineStr">
        <is>
          <t>Y230</t>
        </is>
      </c>
      <c r="L168" s="5" t="n">
        <v>192569</v>
      </c>
      <c r="M168" t="inlineStr">
        <is>
          <t>Yes</t>
        </is>
      </c>
      <c r="N168" t="inlineStr">
        <is>
          <t>Yes</t>
        </is>
      </c>
      <c r="O168" t="inlineStr">
        <is>
          <t>Yes</t>
        </is>
      </c>
      <c r="P168" t="b">
        <v>1</v>
      </c>
      <c r="Q168" t="inlineStr">
        <is>
          <t>FFY2025</t>
        </is>
      </c>
      <c r="R168" t="inlineStr">
        <is>
          <t>FHWA Obligation</t>
        </is>
      </c>
    </row>
    <row r="169">
      <c r="A169" t="inlineStr">
        <is>
          <t>07-24-0012</t>
        </is>
      </c>
      <c r="B169" t="inlineStr">
        <is>
          <t>Stony Island Avenue Street Resurfacing</t>
        </is>
      </c>
      <c r="C169" t="inlineStr">
        <is>
          <t>Stony Island Avenue is a 2-lane road serving commercial and residential users. Project details include HMA surface removal and replacement, aggregate shoulder modification, pavement patching as needed, ADA ramps and landscaping as needed. 1 signalized intersection and 2 stop controlled intersections within the project limits</t>
        </is>
      </c>
      <c r="D169" t="inlineStr">
        <is>
          <t>Road Maintenance</t>
        </is>
      </c>
      <c r="E169" t="inlineStr">
        <is>
          <t>[A-PMRK] Safety - Pavement Marking, [A-SHDR] Safety - Shoulder Improvements, [E-ADAIMP] Improve ADA Infrastructure (Roadway), [E-LS] Enhancement - Landscaping, [H-PATCH] Highway/Road - Pavement Patching, [H-RS] Highway/Road - Resurface (with No Lane Widening)</t>
        </is>
      </c>
      <c r="F169" t="inlineStr">
        <is>
          <t>South Council</t>
        </is>
      </c>
      <c r="G169" t="inlineStr">
        <is>
          <t>Cook</t>
        </is>
      </c>
      <c r="H169" t="inlineStr">
        <is>
          <t>Lansing</t>
        </is>
      </c>
      <c r="I169" t="inlineStr">
        <is>
          <t>D74F960</t>
        </is>
      </c>
      <c r="J169" t="inlineStr">
        <is>
          <t>C-91-063-25</t>
        </is>
      </c>
      <c r="K169" t="inlineStr">
        <is>
          <t>Z23E</t>
        </is>
      </c>
      <c r="L169" s="5" t="n">
        <v>146685</v>
      </c>
      <c r="M169" t="inlineStr">
        <is>
          <t>Yes</t>
        </is>
      </c>
      <c r="N169" t="inlineStr">
        <is>
          <t>Yes</t>
        </is>
      </c>
      <c r="O169" t="inlineStr">
        <is>
          <t>Yes</t>
        </is>
      </c>
      <c r="P169" t="b">
        <v>1</v>
      </c>
      <c r="Q169" t="inlineStr">
        <is>
          <t>FFY2025</t>
        </is>
      </c>
      <c r="R169" t="inlineStr">
        <is>
          <t>FHWA Obligation</t>
        </is>
      </c>
    </row>
    <row r="170">
      <c r="A170" t="inlineStr">
        <is>
          <t>07-24-0037</t>
        </is>
      </c>
      <c r="B170" t="inlineStr">
        <is>
          <t>207th Street Resurfacing</t>
        </is>
      </c>
      <c r="C170" t="inlineStr">
        <is>
          <t>Resurfacing of 207th Street from Cicero Avenue to Crawford Avenue</t>
        </is>
      </c>
      <c r="D170" t="inlineStr">
        <is>
          <t>Road Maintenance</t>
        </is>
      </c>
      <c r="E170" t="inlineStr">
        <is>
          <t>[A-GRD] Safety - Guardrails, [A-PMRK] Safety - Pavement Marking, [E- ADAIMP] Improve ADA Infrastructure (Roadway), [E-LS] Enhancement - Landscaping, [E-PEDIMP] Improve Pedestrian Facility, [H-C/G] Highway/Road - Curb And Gutter, [H-PATCH] Highway/Road - Pavement Patching, [H-RS] Highway/Road - Resurface (with No Lane Widening)</t>
        </is>
      </c>
      <c r="F170" t="inlineStr">
        <is>
          <t>South Council</t>
        </is>
      </c>
      <c r="G170" t="inlineStr">
        <is>
          <t>Cook</t>
        </is>
      </c>
      <c r="H170" t="inlineStr">
        <is>
          <t>Matteson</t>
        </is>
      </c>
      <c r="I170" t="inlineStr">
        <is>
          <t>L6L2866</t>
        </is>
      </c>
      <c r="J170" t="inlineStr">
        <is>
          <t>C-91-057-25</t>
        </is>
      </c>
      <c r="K170" t="inlineStr">
        <is>
          <t>Y030</t>
        </is>
      </c>
      <c r="L170" s="5" t="n">
        <v>1056000</v>
      </c>
      <c r="M170" t="inlineStr">
        <is>
          <t>Yes</t>
        </is>
      </c>
      <c r="N170" t="inlineStr">
        <is>
          <t>Yes</t>
        </is>
      </c>
      <c r="O170" t="inlineStr">
        <is>
          <t>Yes</t>
        </is>
      </c>
      <c r="P170" t="b">
        <v>1</v>
      </c>
      <c r="Q170" t="inlineStr">
        <is>
          <t>FFY2025</t>
        </is>
      </c>
      <c r="R170" t="inlineStr">
        <is>
          <t>FHWA Obligation</t>
        </is>
      </c>
    </row>
    <row r="171">
      <c r="A171" t="inlineStr">
        <is>
          <t>07-24-0038</t>
        </is>
      </c>
      <c r="B171" t="inlineStr">
        <is>
          <t>Main Street Resurfacing</t>
        </is>
      </c>
      <c r="C171" t="inlineStr">
        <is>
          <t>Main Street Resurfacing from Lincoln Highway to 216th Street</t>
        </is>
      </c>
      <c r="D171" t="inlineStr">
        <is>
          <t>Road Maintenance</t>
        </is>
      </c>
      <c r="E171" t="inlineStr">
        <is>
          <t>[A-GRD] Safety - Guardrails, [A-PMRK] Safety - Pavement Marking, [E- ADAIMP] Improve ADA Infrastructure (Roadway), [E-LS] Enhancement - Landscaping, [E-PEDIMP] Improve Pedestrian Facility, [H-C/G] Highway/Road - Curb And Gutter, [H-PATCH] Highway/Road - Pavement Patching</t>
        </is>
      </c>
      <c r="F171" t="inlineStr">
        <is>
          <t>South Council</t>
        </is>
      </c>
      <c r="G171" t="inlineStr">
        <is>
          <t>Cook</t>
        </is>
      </c>
      <c r="H171" t="inlineStr">
        <is>
          <t>Matteson</t>
        </is>
      </c>
      <c r="I171" t="inlineStr">
        <is>
          <t>5VWT535</t>
        </is>
      </c>
      <c r="J171" t="inlineStr">
        <is>
          <t>C-91-059-25</t>
        </is>
      </c>
      <c r="K171" t="inlineStr">
        <is>
          <t>Y230</t>
        </is>
      </c>
      <c r="L171" s="5" t="n">
        <v>690800</v>
      </c>
      <c r="M171" t="inlineStr">
        <is>
          <t>Yes</t>
        </is>
      </c>
      <c r="N171" t="inlineStr">
        <is>
          <t>Yes</t>
        </is>
      </c>
      <c r="O171" t="inlineStr">
        <is>
          <t>Yes</t>
        </is>
      </c>
      <c r="P171" t="b">
        <v>1</v>
      </c>
      <c r="Q171" t="inlineStr">
        <is>
          <t>FFY2025</t>
        </is>
      </c>
      <c r="R171" t="inlineStr">
        <is>
          <t>FHWA Obligation</t>
        </is>
      </c>
    </row>
    <row r="172">
      <c r="A172" t="inlineStr">
        <is>
          <t>07-25-0004</t>
        </is>
      </c>
      <c r="B172" t="inlineStr">
        <is>
          <t>I-57 Calumet Park Electric Vehicle Charging Station</t>
        </is>
      </c>
      <c r="C172" t="inlineStr">
        <is>
          <t>NEVI funds for electric vehicle charging station at 12716 Ashland Ave.</t>
        </is>
      </c>
      <c r="D172" t="inlineStr">
        <is>
          <t>Emissions Reduction</t>
        </is>
      </c>
      <c r="E172" t="inlineStr">
        <is>
          <t>[H-EVINF] Highway/Road - EV Infrastructure</t>
        </is>
      </c>
      <c r="F172" t="inlineStr">
        <is>
          <t>IDOT OP&amp;P</t>
        </is>
      </c>
      <c r="G172" t="inlineStr">
        <is>
          <t>Cook</t>
        </is>
      </c>
      <c r="H172" t="inlineStr">
        <is>
          <t>Calumet Park</t>
        </is>
      </c>
      <c r="I172" t="inlineStr">
        <is>
          <t>W6BY101</t>
        </is>
      </c>
      <c r="J172" t="inlineStr">
        <is>
          <t>N-75-023-25</t>
        </is>
      </c>
      <c r="K172" t="inlineStr">
        <is>
          <t>Y130</t>
        </is>
      </c>
      <c r="L172" s="5" t="n">
        <v>802532</v>
      </c>
      <c r="M172" t="inlineStr">
        <is>
          <t>No</t>
        </is>
      </c>
      <c r="N172" t="inlineStr">
        <is>
          <t>No</t>
        </is>
      </c>
      <c r="O172" t="inlineStr">
        <is>
          <t>No</t>
        </is>
      </c>
      <c r="P172" t="b">
        <v>0</v>
      </c>
      <c r="Q172" t="inlineStr">
        <is>
          <t>FFY2025</t>
        </is>
      </c>
      <c r="R172" t="inlineStr">
        <is>
          <t>FHWA Obligation</t>
        </is>
      </c>
    </row>
    <row r="173">
      <c r="A173" t="inlineStr">
        <is>
          <t>07-25-0024</t>
        </is>
      </c>
      <c r="B173" t="inlineStr">
        <is>
          <t>I-80 Homewood Electric Vehicle Charing Station</t>
        </is>
      </c>
      <c r="C173" t="inlineStr">
        <is>
          <t>Install Electric Vehicle Charging infrastructure for TESLA vehicles at the Homewood Target</t>
        </is>
      </c>
      <c r="D173" t="inlineStr">
        <is>
          <t>Emissions Reduction</t>
        </is>
      </c>
      <c r="E173" t="inlineStr">
        <is>
          <t>[H-EVINF] Highway/Road - EV Infrastructure</t>
        </is>
      </c>
      <c r="F173" t="inlineStr">
        <is>
          <t>IDOT OP&amp;P</t>
        </is>
      </c>
      <c r="G173" t="inlineStr">
        <is>
          <t>Cook</t>
        </is>
      </c>
      <c r="H173" t="inlineStr">
        <is>
          <t>Homewood</t>
        </is>
      </c>
      <c r="I173" t="inlineStr">
        <is>
          <t>CM75095</t>
        </is>
      </c>
      <c r="J173" t="inlineStr">
        <is>
          <t>N-75-001-26</t>
        </is>
      </c>
      <c r="K173" t="inlineStr">
        <is>
          <t>Y133</t>
        </is>
      </c>
      <c r="L173" s="5" t="n">
        <v>12576631</v>
      </c>
      <c r="M173" t="inlineStr">
        <is>
          <t>No</t>
        </is>
      </c>
      <c r="N173" t="inlineStr">
        <is>
          <t>No</t>
        </is>
      </c>
      <c r="O173" t="inlineStr">
        <is>
          <t>No</t>
        </is>
      </c>
      <c r="P173" t="b">
        <v>0</v>
      </c>
      <c r="Q173" t="inlineStr">
        <is>
          <t>FFY2025</t>
        </is>
      </c>
      <c r="R173" t="inlineStr">
        <is>
          <t>FHWA Obligation</t>
        </is>
      </c>
    </row>
    <row r="174">
      <c r="A174" t="inlineStr">
        <is>
          <t>07-25-0025</t>
        </is>
      </c>
      <c r="B174" t="inlineStr">
        <is>
          <t>I-80 Lansing Electric Vehicle Charging Station</t>
        </is>
      </c>
      <c r="C174" t="inlineStr">
        <is>
          <t>Install Electric Charging Infrastructure at the Taco Bell in Lansing</t>
        </is>
      </c>
      <c r="D174" t="inlineStr">
        <is>
          <t>Emissions Reduction</t>
        </is>
      </c>
      <c r="E174" t="inlineStr">
        <is>
          <t>[H-EVINF] Highway/Road - EV Infrastructure</t>
        </is>
      </c>
      <c r="F174" t="inlineStr">
        <is>
          <t>IDOT OP&amp;P</t>
        </is>
      </c>
      <c r="G174" t="inlineStr">
        <is>
          <t>Cook</t>
        </is>
      </c>
      <c r="H174" t="inlineStr">
        <is>
          <t>Lansing</t>
        </is>
      </c>
      <c r="I174" t="inlineStr">
        <is>
          <t>CM75095</t>
        </is>
      </c>
      <c r="J174" t="inlineStr">
        <is>
          <t>N-75-001-26</t>
        </is>
      </c>
      <c r="K174" t="inlineStr">
        <is>
          <t>Y133</t>
        </is>
      </c>
      <c r="L174" s="5" t="n">
        <v>12576631</v>
      </c>
      <c r="M174" t="inlineStr">
        <is>
          <t>No</t>
        </is>
      </c>
      <c r="N174" t="inlineStr">
        <is>
          <t>No</t>
        </is>
      </c>
      <c r="O174" t="inlineStr">
        <is>
          <t>No</t>
        </is>
      </c>
      <c r="P174" t="b">
        <v>0</v>
      </c>
      <c r="Q174" t="inlineStr">
        <is>
          <t>FFY2025</t>
        </is>
      </c>
      <c r="R174" t="inlineStr">
        <is>
          <t>FHWA Obligation</t>
        </is>
      </c>
    </row>
    <row r="175">
      <c r="A175" t="inlineStr">
        <is>
          <t>08-22-0042</t>
        </is>
      </c>
      <c r="B175" t="inlineStr">
        <is>
          <t>Ill 19 Irving Park Rd - E of Wise Rd to Roselle Rd</t>
        </is>
      </c>
      <c r="C175" t="inlineStr">
        <is>
          <t>Designed Overlay, New Shoulders, ADA Improvements</t>
        </is>
      </c>
      <c r="D175" t="inlineStr">
        <is>
          <t>Road Maintenance</t>
        </is>
      </c>
      <c r="E175" t="inlineStr">
        <is>
          <t>[A-SHDR] Safety - Shoulder Improvements, [E-ADAMAINT] Maintain/Repair ADA Infrastructure (Roadway), [H-RS] Highway/Road - Resurface (with No Lane Widening)</t>
        </is>
      </c>
      <c r="F175" t="inlineStr">
        <is>
          <t>IDOT D1 Hwys</t>
        </is>
      </c>
      <c r="G175" t="inlineStr">
        <is>
          <t>Cook, DuPage</t>
        </is>
      </c>
      <c r="H175" t="inlineStr">
        <is>
          <t>Roselle, Schaumburg</t>
        </is>
      </c>
      <c r="I175" t="inlineStr">
        <is>
          <t>YJJD457</t>
        </is>
      </c>
      <c r="J175" t="inlineStr">
        <is>
          <t>C-91-209-22</t>
        </is>
      </c>
      <c r="K175" t="inlineStr">
        <is>
          <t>Z001</t>
        </is>
      </c>
      <c r="L175" s="5" t="n">
        <v>173600</v>
      </c>
      <c r="M175" t="inlineStr">
        <is>
          <t>Yes</t>
        </is>
      </c>
      <c r="N175" t="inlineStr">
        <is>
          <t>Yes</t>
        </is>
      </c>
      <c r="O175" t="inlineStr">
        <is>
          <t>Yes</t>
        </is>
      </c>
      <c r="P175" t="b">
        <v>1</v>
      </c>
      <c r="Q175" t="inlineStr">
        <is>
          <t>FFY2025</t>
        </is>
      </c>
      <c r="R175" t="inlineStr">
        <is>
          <t>FHWA Obligation</t>
        </is>
      </c>
    </row>
    <row r="176">
      <c r="A176" t="inlineStr">
        <is>
          <t>08-22-0042</t>
        </is>
      </c>
      <c r="B176" t="inlineStr">
        <is>
          <t>Ill 19 Irving Park Rd - E of Wise Rd to Roselle Rd</t>
        </is>
      </c>
      <c r="C176" t="inlineStr">
        <is>
          <t>Designed Overlay, New Shoulders, ADA Improvements</t>
        </is>
      </c>
      <c r="D176" t="inlineStr">
        <is>
          <t>Road Maintenance</t>
        </is>
      </c>
      <c r="E176" t="inlineStr">
        <is>
          <t>[A-SHDR] Safety - Shoulder Improvements, [E-ADAMAINT] Maintain/Repair ADA Infrastructure (Roadway), [H-RS] Highway/Road - Resurface (with No Lane Widening)</t>
        </is>
      </c>
      <c r="F176" t="inlineStr">
        <is>
          <t>IDOT D1 Hwys</t>
        </is>
      </c>
      <c r="G176" t="inlineStr">
        <is>
          <t>Cook, DuPage</t>
        </is>
      </c>
      <c r="H176" t="inlineStr">
        <is>
          <t>Roselle, Schaumburg</t>
        </is>
      </c>
      <c r="I176" t="inlineStr">
        <is>
          <t>YJJD457</t>
        </is>
      </c>
      <c r="J176" t="inlineStr">
        <is>
          <t>C-91-209-22</t>
        </is>
      </c>
      <c r="K176" t="inlineStr">
        <is>
          <t>Y030</t>
        </is>
      </c>
      <c r="L176" s="5" t="n">
        <v>1560000</v>
      </c>
      <c r="M176" t="inlineStr">
        <is>
          <t>Yes</t>
        </is>
      </c>
      <c r="N176" t="inlineStr">
        <is>
          <t>Yes</t>
        </is>
      </c>
      <c r="O176" t="inlineStr">
        <is>
          <t>Yes</t>
        </is>
      </c>
      <c r="P176" t="b">
        <v>1</v>
      </c>
      <c r="Q176" t="inlineStr">
        <is>
          <t>FFY2025</t>
        </is>
      </c>
      <c r="R176" t="inlineStr">
        <is>
          <t>FHWA Obligation</t>
        </is>
      </c>
    </row>
    <row r="177">
      <c r="A177" t="inlineStr">
        <is>
          <t>08-25-0004</t>
        </is>
      </c>
      <c r="B177" t="inlineStr">
        <is>
          <t>I-290 Elmhurst Electric Vehicle Charging Station</t>
        </is>
      </c>
      <c r="C177" t="inlineStr">
        <is>
          <t>NEVI funds for electric vehicle charging station at 601 N. York St.</t>
        </is>
      </c>
      <c r="D177" t="inlineStr">
        <is>
          <t>Emissions Reduction</t>
        </is>
      </c>
      <c r="E177" t="inlineStr">
        <is>
          <t>[H-EVINF] Highway/Road - EV Infrastructure</t>
        </is>
      </c>
      <c r="F177" t="inlineStr">
        <is>
          <t>IDOT OP&amp;P</t>
        </is>
      </c>
      <c r="G177" t="inlineStr">
        <is>
          <t>Cook</t>
        </is>
      </c>
      <c r="H177" t="inlineStr">
        <is>
          <t>Elmhurst</t>
        </is>
      </c>
      <c r="I177" t="inlineStr">
        <is>
          <t>LMZX366</t>
        </is>
      </c>
      <c r="J177" t="inlineStr">
        <is>
          <t>N-75-015-25</t>
        </is>
      </c>
      <c r="K177" t="inlineStr">
        <is>
          <t>Y130</t>
        </is>
      </c>
      <c r="L177" s="5" t="n">
        <v>451634</v>
      </c>
      <c r="M177" t="inlineStr">
        <is>
          <t>No</t>
        </is>
      </c>
      <c r="N177" t="inlineStr">
        <is>
          <t>No</t>
        </is>
      </c>
      <c r="O177" t="inlineStr">
        <is>
          <t>No</t>
        </is>
      </c>
      <c r="P177" t="b">
        <v>0</v>
      </c>
      <c r="Q177" t="inlineStr">
        <is>
          <t>FFY2025</t>
        </is>
      </c>
      <c r="R177" t="inlineStr">
        <is>
          <t>FHWA Obligation</t>
        </is>
      </c>
    </row>
    <row r="178">
      <c r="A178" t="inlineStr">
        <is>
          <t>09-20-0039</t>
        </is>
      </c>
      <c r="B178" t="inlineStr">
        <is>
          <t>US 20/Shales - from Poplar Creek to IL 59</t>
        </is>
      </c>
      <c r="C178" t="inlineStr">
        <is>
          <t>Interchange Reconstruction, Bridge Replacement, Retaining Wall, Bridge Joint Replace/Repair, Bride Deck Overlay, Road Extension , Roundabouts, Interchange reconfiguration.</t>
        </is>
      </c>
      <c r="D178" t="inlineStr">
        <is>
          <t>Road Modernization</t>
        </is>
      </c>
      <c r="E178" t="inlineStr">
        <is>
          <t>[A-BAR] Safety - Barriers, [B-NEW] Bridge/Structure - New, [B-OVR] Bridge Deck - Overlay, [B-REPAIR] Bridge/Structure - Reconst/Rehab No Chng in #, Wdth, or Lane, [B-REPLACE] Bridge/Structure - Replace, [H-COR] Highway/Road - Corridor Improvement, [H-EXT] Highway/Road - Extend Road, [H-INTIMP] Highway/Road - Intersection Improvement, [H-RAB] Highway/Road - Roundabout, [I-EXP] Interchange - Expand (New Movements Added to Interchange), [I-RCNST] Interchange - Reconstruction, [S-MOD] Signals - Modernization</t>
        </is>
      </c>
      <c r="F178" t="inlineStr">
        <is>
          <t>IDOT D1 Hwys</t>
        </is>
      </c>
      <c r="G178" t="inlineStr">
        <is>
          <t>Cook</t>
        </is>
      </c>
      <c r="H178" t="inlineStr">
        <is>
          <t>Elgin</t>
        </is>
      </c>
      <c r="I178" t="inlineStr">
        <is>
          <t>339F142</t>
        </is>
      </c>
      <c r="J178" t="inlineStr">
        <is>
          <t>P-91-027-20</t>
        </is>
      </c>
      <c r="K178" t="inlineStr">
        <is>
          <t>Y001</t>
        </is>
      </c>
      <c r="L178" s="5" t="n">
        <v>620000</v>
      </c>
      <c r="M178" t="inlineStr">
        <is>
          <t>No</t>
        </is>
      </c>
      <c r="N178" t="inlineStr">
        <is>
          <t>No</t>
        </is>
      </c>
      <c r="O178" t="inlineStr">
        <is>
          <t>Yes</t>
        </is>
      </c>
      <c r="P178" t="b">
        <v>1</v>
      </c>
      <c r="Q178" t="inlineStr">
        <is>
          <t>FFY2025</t>
        </is>
      </c>
      <c r="R178" t="inlineStr">
        <is>
          <t>FHWA Obligation</t>
        </is>
      </c>
    </row>
    <row r="179">
      <c r="A179" t="inlineStr">
        <is>
          <t>10-23-0030</t>
        </is>
      </c>
      <c r="B179" t="inlineStr">
        <is>
          <t>US 41/I-94 Skokie Hwy - Park Ave W to I- 90/94 (Kennedy Edens Junction)</t>
        </is>
      </c>
      <c r="C179" t="inlineStr">
        <is>
          <t>Surveillance, Signing (New), Miscellaneous, RR Flagger</t>
        </is>
      </c>
      <c r="D179" t="inlineStr">
        <is>
          <t>Safety</t>
        </is>
      </c>
      <c r="E179" t="inlineStr">
        <is>
          <t>[A-OTH] Safety - Other, [Z-OTHEX] Miscellaneous - Exempt Projects</t>
        </is>
      </c>
      <c r="F179" t="inlineStr">
        <is>
          <t>IDOT D1 Hwys</t>
        </is>
      </c>
      <c r="G179" t="inlineStr">
        <is>
          <t>Cook, Lake</t>
        </is>
      </c>
      <c r="H179" t="inlineStr">
        <is>
          <t>Chicago, Highland Park, Lincolnwood, Morton Grove, Northbrook, Northfield, Skokie, Wilmette</t>
        </is>
      </c>
      <c r="I179" t="inlineStr">
        <is>
          <t>BZF0469</t>
        </is>
      </c>
      <c r="J179" t="inlineStr">
        <is>
          <t>C-91-222-23</t>
        </is>
      </c>
      <c r="K179" t="inlineStr">
        <is>
          <t>YS30</t>
        </is>
      </c>
      <c r="L179" s="5" t="n">
        <v>9188952</v>
      </c>
      <c r="M179" t="inlineStr">
        <is>
          <t>No</t>
        </is>
      </c>
      <c r="N179" t="inlineStr">
        <is>
          <t>No</t>
        </is>
      </c>
      <c r="O179" t="inlineStr">
        <is>
          <t>Yes</t>
        </is>
      </c>
      <c r="P179" t="b">
        <v>1</v>
      </c>
      <c r="Q179" t="inlineStr">
        <is>
          <t>FFY2025</t>
        </is>
      </c>
      <c r="R179" t="inlineStr">
        <is>
          <t>FHWA Obligation</t>
        </is>
      </c>
    </row>
    <row r="180">
      <c r="A180" t="inlineStr">
        <is>
          <t>13-16-0005</t>
        </is>
      </c>
      <c r="B180" t="inlineStr">
        <is>
          <t>Barrington Rd from IL 62 to Central Rd</t>
        </is>
      </c>
      <c r="C180" t="inlineStr">
        <is>
          <t>Add lanes, Bike Path, Reconstruction, Culvert Replacement, Traffic Signal Modernization, Traffic Signal Replacement</t>
        </is>
      </c>
      <c r="D180" t="inlineStr">
        <is>
          <t>Road Expansion</t>
        </is>
      </c>
      <c r="E180" t="inlineStr">
        <is>
          <t>[E-BIKENEW] New Bicycle Facility, [H-AL] Highway/Road - Add Lanes, [H- CLVT] Highway/Road - Repair/Replace Culvert, [H-INTIMP] Highway/Road - Intersection Improvement, [H-RCNST] Highway/Road - Reconst with Change in Use or Width Of Lane, [S-MOD] Signals - Modernization</t>
        </is>
      </c>
      <c r="F180" t="inlineStr">
        <is>
          <t>IDOT D1 Hwys</t>
        </is>
      </c>
      <c r="G180" t="inlineStr">
        <is>
          <t>Cook</t>
        </is>
      </c>
      <c r="H180" t="inlineStr">
        <is>
          <t>South Barrington</t>
        </is>
      </c>
      <c r="I180" t="inlineStr">
        <is>
          <t>ZN4W267</t>
        </is>
      </c>
      <c r="J180" t="inlineStr">
        <is>
          <t>D-91-312-20</t>
        </is>
      </c>
      <c r="K180" t="inlineStr">
        <is>
          <t>Y001</t>
        </is>
      </c>
      <c r="L180" s="5" t="n">
        <v>428644</v>
      </c>
      <c r="M180" t="inlineStr">
        <is>
          <t>Yes</t>
        </is>
      </c>
      <c r="N180" t="inlineStr">
        <is>
          <t>No</t>
        </is>
      </c>
      <c r="O180" t="inlineStr">
        <is>
          <t>No</t>
        </is>
      </c>
      <c r="P180" t="b">
        <v>1</v>
      </c>
      <c r="Q180" t="inlineStr">
        <is>
          <t>FFY2025</t>
        </is>
      </c>
      <c r="R180" t="inlineStr">
        <is>
          <t>FHWA Obligation</t>
        </is>
      </c>
    </row>
    <row r="181">
      <c r="A181" t="inlineStr">
        <is>
          <t>13-19-0005</t>
        </is>
      </c>
      <c r="B181" t="inlineStr">
        <is>
          <t>Illinois Route 64 SMART Corridor (Smith/Kautz Road to Illinois Route 50 - Cicero Avenue)</t>
        </is>
      </c>
      <c r="C181"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1" t="inlineStr">
        <is>
          <t>Systems Improvements</t>
        </is>
      </c>
      <c r="E181" t="inlineStr">
        <is>
          <t>[E-ADAIMP] Improve ADA Infrastructure (Roadway), [E-PEDIMP] Improve Pedestrian Facility, [S-MOD] Signals - Modernization, [S-TIM] Signals - Interconnects And Timing, [T-IMPSVC] Bus Routes - Improve Service</t>
        </is>
      </c>
      <c r="F181" t="inlineStr">
        <is>
          <t>IDOT D1 Hwys</t>
        </is>
      </c>
      <c r="G181" t="inlineStr">
        <is>
          <t>Cook, DuPage</t>
        </is>
      </c>
      <c r="H181" t="inlineStr">
        <is>
          <t>Countywide</t>
        </is>
      </c>
      <c r="I181" t="inlineStr">
        <is>
          <t>1DXU858</t>
        </is>
      </c>
      <c r="J181" t="inlineStr">
        <is>
          <t>C-91-108-21</t>
        </is>
      </c>
      <c r="K181" t="inlineStr">
        <is>
          <t>Y400</t>
        </is>
      </c>
      <c r="L181" s="5" t="n">
        <v>9965116</v>
      </c>
      <c r="M181" t="inlineStr">
        <is>
          <t>Yes</t>
        </is>
      </c>
      <c r="N181" t="inlineStr">
        <is>
          <t>Yes</t>
        </is>
      </c>
      <c r="O181" t="inlineStr">
        <is>
          <t>No</t>
        </is>
      </c>
      <c r="P181" t="b">
        <v>1</v>
      </c>
      <c r="Q181" t="inlineStr">
        <is>
          <t>FFY2025</t>
        </is>
      </c>
      <c r="R181" t="inlineStr">
        <is>
          <t>FHWA Obligation</t>
        </is>
      </c>
    </row>
    <row r="182">
      <c r="A182" t="inlineStr">
        <is>
          <t>13-19-0005</t>
        </is>
      </c>
      <c r="B182" t="inlineStr">
        <is>
          <t>Illinois Route 64 SMART Corridor (Smith/Kautz Road to Illinois Route 50 - Cicero Avenue)</t>
        </is>
      </c>
      <c r="C182"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2" t="inlineStr">
        <is>
          <t>Systems Improvements</t>
        </is>
      </c>
      <c r="E182" t="inlineStr">
        <is>
          <t>[E-ADAIMP] Improve ADA Infrastructure (Roadway), [E-PEDIMP] Improve Pedestrian Facility, [S-MOD] Signals - Modernization, [S-TIM] Signals - Interconnects And Timing, [T-IMPSVC] Bus Routes - Improve Service</t>
        </is>
      </c>
      <c r="F182" t="inlineStr">
        <is>
          <t>IDOT D1 Hwys</t>
        </is>
      </c>
      <c r="G182" t="inlineStr">
        <is>
          <t>Cook, DuPage</t>
        </is>
      </c>
      <c r="H182" t="inlineStr">
        <is>
          <t>Countywide</t>
        </is>
      </c>
      <c r="I182" t="inlineStr">
        <is>
          <t>1DXU858</t>
        </is>
      </c>
      <c r="J182" t="inlineStr">
        <is>
          <t>C-91-108-21</t>
        </is>
      </c>
      <c r="K182" t="inlineStr">
        <is>
          <t>Y001</t>
        </is>
      </c>
      <c r="L182" s="5" t="n">
        <v>5469512</v>
      </c>
      <c r="M182" t="inlineStr">
        <is>
          <t>Yes</t>
        </is>
      </c>
      <c r="N182" t="inlineStr">
        <is>
          <t>Yes</t>
        </is>
      </c>
      <c r="O182" t="inlineStr">
        <is>
          <t>No</t>
        </is>
      </c>
      <c r="P182" t="b">
        <v>1</v>
      </c>
      <c r="Q182" t="inlineStr">
        <is>
          <t>FFY2025</t>
        </is>
      </c>
      <c r="R182" t="inlineStr">
        <is>
          <t>FHWA Obligation</t>
        </is>
      </c>
    </row>
    <row r="183">
      <c r="A183" t="inlineStr">
        <is>
          <t>13-19-0005</t>
        </is>
      </c>
      <c r="B183" t="inlineStr">
        <is>
          <t>Illinois Route 64 SMART Corridor (Smith/Kautz Road to Illinois Route 50 - Cicero Avenue)</t>
        </is>
      </c>
      <c r="C183"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3" t="inlineStr">
        <is>
          <t>Systems Improvements</t>
        </is>
      </c>
      <c r="E183" t="inlineStr">
        <is>
          <t>[E-ADAIMP] Improve ADA Infrastructure (Roadway), [E-PEDIMP] Improve Pedestrian Facility, [S-MOD] Signals - Modernization, [S-TIM] Signals - Interconnects And Timing, [T-IMPSVC] Bus Routes - Improve Service</t>
        </is>
      </c>
      <c r="F183" t="inlineStr">
        <is>
          <t>IDOT D1 Hwys</t>
        </is>
      </c>
      <c r="G183" t="inlineStr">
        <is>
          <t>Cook, DuPage</t>
        </is>
      </c>
      <c r="H183" t="inlineStr">
        <is>
          <t>Countywide</t>
        </is>
      </c>
      <c r="I183" t="inlineStr">
        <is>
          <t>2JSY870</t>
        </is>
      </c>
      <c r="J183" t="inlineStr">
        <is>
          <t>C-91-101-21</t>
        </is>
      </c>
      <c r="K183" t="inlineStr">
        <is>
          <t>Z400</t>
        </is>
      </c>
      <c r="L183" s="5" t="n">
        <v>584606</v>
      </c>
      <c r="M183" t="inlineStr">
        <is>
          <t>Yes</t>
        </is>
      </c>
      <c r="N183" t="inlineStr">
        <is>
          <t>Yes</t>
        </is>
      </c>
      <c r="O183" t="inlineStr">
        <is>
          <t>No</t>
        </is>
      </c>
      <c r="P183" t="b">
        <v>1</v>
      </c>
      <c r="Q183" t="inlineStr">
        <is>
          <t>FFY2025</t>
        </is>
      </c>
      <c r="R183" t="inlineStr">
        <is>
          <t>FHWA Obligation</t>
        </is>
      </c>
    </row>
    <row r="184">
      <c r="A184" t="inlineStr">
        <is>
          <t>13-19-0005</t>
        </is>
      </c>
      <c r="B184" t="inlineStr">
        <is>
          <t>Illinois Route 64 SMART Corridor (Smith/Kautz Road to Illinois Route 50 - Cicero Avenue)</t>
        </is>
      </c>
      <c r="C184"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4" t="inlineStr">
        <is>
          <t>Systems Improvements</t>
        </is>
      </c>
      <c r="E184" t="inlineStr">
        <is>
          <t>[E-ADAIMP] Improve ADA Infrastructure (Roadway), [E-PEDIMP] Improve Pedestrian Facility, [S-MOD] Signals - Modernization, [S-TIM] Signals - Interconnects And Timing, [T-IMPSVC] Bus Routes - Improve Service</t>
        </is>
      </c>
      <c r="F184" t="inlineStr">
        <is>
          <t>IDOT D1 Hwys</t>
        </is>
      </c>
      <c r="G184" t="inlineStr">
        <is>
          <t>Cook, DuPage</t>
        </is>
      </c>
      <c r="H184" t="inlineStr">
        <is>
          <t>Countywide</t>
        </is>
      </c>
      <c r="I184" t="inlineStr">
        <is>
          <t>2JSY870</t>
        </is>
      </c>
      <c r="J184" t="inlineStr">
        <is>
          <t>C-91-101-21</t>
        </is>
      </c>
      <c r="K184" t="inlineStr">
        <is>
          <t>Y400</t>
        </is>
      </c>
      <c r="L184" s="5" t="n">
        <v>420114</v>
      </c>
      <c r="M184" t="inlineStr">
        <is>
          <t>Yes</t>
        </is>
      </c>
      <c r="N184" t="inlineStr">
        <is>
          <t>Yes</t>
        </is>
      </c>
      <c r="O184" t="inlineStr">
        <is>
          <t>No</t>
        </is>
      </c>
      <c r="P184" t="b">
        <v>1</v>
      </c>
      <c r="Q184" t="inlineStr">
        <is>
          <t>FFY2025</t>
        </is>
      </c>
      <c r="R184" t="inlineStr">
        <is>
          <t>FHWA Obligation</t>
        </is>
      </c>
    </row>
    <row r="185">
      <c r="A185" t="inlineStr">
        <is>
          <t>13-19-0005</t>
        </is>
      </c>
      <c r="B185" t="inlineStr">
        <is>
          <t>Illinois Route 64 SMART Corridor (Smith/Kautz Road to Illinois Route 50 - Cicero Avenue)</t>
        </is>
      </c>
      <c r="C185"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5" t="inlineStr">
        <is>
          <t>Systems Improvements</t>
        </is>
      </c>
      <c r="E185" t="inlineStr">
        <is>
          <t>[E-ADAIMP] Improve ADA Infrastructure (Roadway), [E-PEDIMP] Improve Pedestrian Facility, [S-MOD] Signals - Modernization, [S-TIM] Signals - Interconnects And Timing, [T-IMPSVC] Bus Routes - Improve Service</t>
        </is>
      </c>
      <c r="F185" t="inlineStr">
        <is>
          <t>IDOT D1 Hwys</t>
        </is>
      </c>
      <c r="G185" t="inlineStr">
        <is>
          <t>Cook, DuPage</t>
        </is>
      </c>
      <c r="H185" t="inlineStr">
        <is>
          <t>Countywide</t>
        </is>
      </c>
      <c r="I185" t="inlineStr">
        <is>
          <t>2JSY870</t>
        </is>
      </c>
      <c r="J185" t="inlineStr">
        <is>
          <t>C-91-101-21</t>
        </is>
      </c>
      <c r="K185" t="inlineStr">
        <is>
          <t>Z40E</t>
        </is>
      </c>
      <c r="L185" s="5" t="n">
        <v>1423963</v>
      </c>
      <c r="M185" t="inlineStr">
        <is>
          <t>Yes</t>
        </is>
      </c>
      <c r="N185" t="inlineStr">
        <is>
          <t>Yes</t>
        </is>
      </c>
      <c r="O185" t="inlineStr">
        <is>
          <t>No</t>
        </is>
      </c>
      <c r="P185" t="b">
        <v>1</v>
      </c>
      <c r="Q185" t="inlineStr">
        <is>
          <t>FFY2025</t>
        </is>
      </c>
      <c r="R185" t="inlineStr">
        <is>
          <t>FHWA Obligation</t>
        </is>
      </c>
    </row>
    <row r="186">
      <c r="A186" t="inlineStr">
        <is>
          <t>13-19-0005</t>
        </is>
      </c>
      <c r="B186" t="inlineStr">
        <is>
          <t>Illinois Route 64 SMART Corridor (Smith/Kautz Road to Illinois Route 50 - Cicero Avenue)</t>
        </is>
      </c>
      <c r="C186"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6" t="inlineStr">
        <is>
          <t>Systems Improvements</t>
        </is>
      </c>
      <c r="E186" t="inlineStr">
        <is>
          <t>[E-ADAIMP] Improve ADA Infrastructure (Roadway), [E-PEDIMP] Improve Pedestrian Facility, [S-MOD] Signals - Modernization, [S-TIM] Signals - Interconnects And Timing, [T-IMPSVC] Bus Routes - Improve Service</t>
        </is>
      </c>
      <c r="F186" t="inlineStr">
        <is>
          <t>IDOT D1 Hwys</t>
        </is>
      </c>
      <c r="G186" t="inlineStr">
        <is>
          <t>Cook, DuPage</t>
        </is>
      </c>
      <c r="H186" t="inlineStr">
        <is>
          <t>Countywide</t>
        </is>
      </c>
      <c r="I186" t="inlineStr">
        <is>
          <t>2JSY870</t>
        </is>
      </c>
      <c r="J186" t="inlineStr">
        <is>
          <t>C-91-101-21</t>
        </is>
      </c>
      <c r="K186" t="inlineStr">
        <is>
          <t>M40E</t>
        </is>
      </c>
      <c r="L186" s="5" t="n">
        <v>121620</v>
      </c>
      <c r="M186" t="inlineStr">
        <is>
          <t>Yes</t>
        </is>
      </c>
      <c r="N186" t="inlineStr">
        <is>
          <t>Yes</t>
        </is>
      </c>
      <c r="O186" t="inlineStr">
        <is>
          <t>No</t>
        </is>
      </c>
      <c r="P186" t="b">
        <v>1</v>
      </c>
      <c r="Q186" t="inlineStr">
        <is>
          <t>FFY2025</t>
        </is>
      </c>
      <c r="R186" t="inlineStr">
        <is>
          <t>FHWA Obligation</t>
        </is>
      </c>
    </row>
    <row r="187">
      <c r="A187" t="inlineStr">
        <is>
          <t>13-19-0005</t>
        </is>
      </c>
      <c r="B187" t="inlineStr">
        <is>
          <t>Illinois Route 64 SMART Corridor (Smith/Kautz Road to Illinois Route 50 - Cicero Avenue)</t>
        </is>
      </c>
      <c r="C187"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87" t="inlineStr">
        <is>
          <t>Systems Improvements</t>
        </is>
      </c>
      <c r="E187" t="inlineStr">
        <is>
          <t>[E-ADAIMP] Improve ADA Infrastructure (Roadway), [E-PEDIMP] Improve Pedestrian Facility, [S-MOD] Signals - Modernization, [S-TIM] Signals - Interconnects And Timing, [T-IMPSVC] Bus Routes - Improve Service</t>
        </is>
      </c>
      <c r="F187" t="inlineStr">
        <is>
          <t>IDOT D1 Hwys</t>
        </is>
      </c>
      <c r="G187" t="inlineStr">
        <is>
          <t>Cook, DuPage</t>
        </is>
      </c>
      <c r="H187" t="inlineStr">
        <is>
          <t>Countywide</t>
        </is>
      </c>
      <c r="I187" t="inlineStr">
        <is>
          <t>G36K567</t>
        </is>
      </c>
      <c r="J187" t="inlineStr">
        <is>
          <t>D-91-081-21</t>
        </is>
      </c>
      <c r="K187" t="inlineStr">
        <is>
          <t>Y400</t>
        </is>
      </c>
      <c r="L187" s="5" t="n">
        <v>347196</v>
      </c>
      <c r="M187" t="inlineStr">
        <is>
          <t>Yes</t>
        </is>
      </c>
      <c r="N187" t="inlineStr">
        <is>
          <t>Yes</t>
        </is>
      </c>
      <c r="O187" t="inlineStr">
        <is>
          <t>No</t>
        </is>
      </c>
      <c r="P187" t="b">
        <v>1</v>
      </c>
      <c r="Q187" t="inlineStr">
        <is>
          <t>FFY2025</t>
        </is>
      </c>
      <c r="R187" t="inlineStr">
        <is>
          <t>FHWA Obligation</t>
        </is>
      </c>
    </row>
    <row r="188">
      <c r="A188" t="inlineStr">
        <is>
          <t>15-24-0002</t>
        </is>
      </c>
      <c r="B188" t="inlineStr">
        <is>
          <t>Ill 43 Harlem Ave at 143rd St</t>
        </is>
      </c>
      <c r="C188" t="inlineStr">
        <is>
          <t>Intersection Improvement</t>
        </is>
      </c>
      <c r="D188" t="inlineStr">
        <is>
          <t>Intersection/Interchange Improvements</t>
        </is>
      </c>
      <c r="E188" t="inlineStr">
        <is>
          <t>[H-INTIMP] Highway/Road - Intersection Improvement</t>
        </is>
      </c>
      <c r="F188" t="inlineStr">
        <is>
          <t>IDOT D1 Hwys</t>
        </is>
      </c>
      <c r="G188" t="inlineStr">
        <is>
          <t>Cook</t>
        </is>
      </c>
      <c r="H188" t="inlineStr">
        <is>
          <t>Unincorporated</t>
        </is>
      </c>
      <c r="I188" t="inlineStr">
        <is>
          <t>I8L4637</t>
        </is>
      </c>
      <c r="J188" t="inlineStr">
        <is>
          <t>C-91-235-24</t>
        </is>
      </c>
      <c r="K188" t="inlineStr">
        <is>
          <t>YS30</t>
        </is>
      </c>
      <c r="L188" s="5" t="n">
        <v>729944</v>
      </c>
      <c r="M188" t="inlineStr">
        <is>
          <t>No</t>
        </is>
      </c>
      <c r="N188" t="inlineStr">
        <is>
          <t>No</t>
        </is>
      </c>
      <c r="O188" t="inlineStr">
        <is>
          <t>No</t>
        </is>
      </c>
      <c r="P188" t="b">
        <v>1</v>
      </c>
      <c r="Q188" t="inlineStr">
        <is>
          <t>FFY2025</t>
        </is>
      </c>
      <c r="R188" t="inlineStr">
        <is>
          <t>FHWA Obligation</t>
        </is>
      </c>
    </row>
    <row r="189">
      <c r="A189" t="inlineStr">
        <is>
          <t>16-19-0039</t>
        </is>
      </c>
      <c r="B189" t="inlineStr">
        <is>
          <t>CTA Blue Line Forest Park Reconstruction, RSP -93</t>
        </is>
      </c>
      <c r="C189" t="inlineStr">
        <is>
          <t>Project will reconstruct and reconfigure the Forest Park Terminal and Yard. The CTAs Forest Park Blue Line Upgrades Project is the first of four phases of the Forest Park Branch. Phase I: new trackwork from Halsted to IMD, an accessible station at Racine, advanced utility work, and a new substation and traction power equipment upgrades at Hermitage.</t>
        </is>
      </c>
      <c r="D189" t="inlineStr">
        <is>
          <t>Guideway Improvements</t>
        </is>
      </c>
      <c r="E189" t="inlineStr">
        <is>
          <t>[R-IMP] Rail Line - Improve Line</t>
        </is>
      </c>
      <c r="F189" t="inlineStr">
        <is>
          <t>CTA</t>
        </is>
      </c>
      <c r="G189" t="inlineStr">
        <is>
          <t>Cook</t>
        </is>
      </c>
      <c r="H189" t="inlineStr">
        <is>
          <t>Chicago, Forest Park, Oak Park</t>
        </is>
      </c>
      <c r="I189" t="inlineStr">
        <is>
          <t>UYS6565</t>
        </is>
      </c>
      <c r="J189" t="inlineStr">
        <is>
          <t>N-91-002-26</t>
        </is>
      </c>
      <c r="K189" t="inlineStr">
        <is>
          <t>Y280</t>
        </is>
      </c>
      <c r="L189" s="5" t="n">
        <v>15805600</v>
      </c>
      <c r="M189" t="inlineStr">
        <is>
          <t>No</t>
        </is>
      </c>
      <c r="N189" t="inlineStr">
        <is>
          <t>No</t>
        </is>
      </c>
      <c r="O189" t="inlineStr">
        <is>
          <t>No</t>
        </is>
      </c>
      <c r="P189" t="b">
        <v>0</v>
      </c>
      <c r="Q189" t="inlineStr">
        <is>
          <t>FFY2025</t>
        </is>
      </c>
      <c r="R189" t="inlineStr">
        <is>
          <t>FHWA Obligation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Q121"/>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55" customWidth="1" min="3" max="3"/>
    <col width="39" customWidth="1" min="4" max="4"/>
    <col width="55" customWidth="1" min="5" max="5"/>
    <col width="23" customWidth="1" min="6" max="6"/>
    <col width="20" customWidth="1" min="7" max="7"/>
    <col width="55" customWidth="1" min="8" max="8"/>
    <col width="20" customWidth="1" min="9" max="9"/>
    <col width="27" customWidth="1" min="10" max="10"/>
    <col width="29" customWidth="1" min="11" max="11"/>
    <col width="28" customWidth="1" min="12" max="12"/>
    <col width="23" customWidth="1" min="13" max="13"/>
    <col width="26" customWidth="1" min="14" max="14"/>
    <col width="24" customWidth="1" min="15" max="15"/>
    <col width="13" customWidth="1" min="16" max="16"/>
    <col width="18" customWidth="1" min="17" max="17"/>
  </cols>
  <sheetData>
    <row r="1">
      <c r="A1" s="4" t="inlineStr">
        <is>
          <t>TIP ID</t>
        </is>
      </c>
      <c r="B1" s="4" t="inlineStr">
        <is>
          <t>Project Title</t>
        </is>
      </c>
      <c r="C1" s="4" t="inlineStr">
        <is>
          <t>Project Description</t>
        </is>
      </c>
      <c r="D1" s="4" t="inlineStr">
        <is>
          <t>Project Type</t>
        </is>
      </c>
      <c r="E1" s="4" t="inlineStr">
        <is>
          <t>Project Scope (Work Types)</t>
        </is>
      </c>
      <c r="F1" s="4" t="inlineStr">
        <is>
          <t>Programming Agency</t>
        </is>
      </c>
      <c r="G1" s="4" t="inlineStr">
        <is>
          <t>Location: County</t>
        </is>
      </c>
      <c r="H1" s="4" t="inlineStr">
        <is>
          <t>Location: Municipality</t>
        </is>
      </c>
      <c r="I1" s="4" t="inlineStr">
        <is>
          <t>Federal Project(s)</t>
        </is>
      </c>
      <c r="J1" s="4" t="inlineStr">
        <is>
          <t>Programmed Fund Source(s)</t>
        </is>
      </c>
      <c r="K1" s="4" t="inlineStr">
        <is>
          <t>AC Authorization Amount ($)</t>
        </is>
      </c>
      <c r="L1" s="4" t="inlineStr">
        <is>
          <t>Includes Bike/Ped Elements</t>
        </is>
      </c>
      <c r="M1" s="4" t="inlineStr">
        <is>
          <t>Includes ADA Elements</t>
        </is>
      </c>
      <c r="N1" s="4" t="inlineStr">
        <is>
          <t>Includes Safety Elements</t>
        </is>
      </c>
      <c r="O1" s="4" t="inlineStr">
        <is>
          <t>Street Design Relevant</t>
        </is>
      </c>
      <c r="P1" s="4" t="inlineStr">
        <is>
          <t>Fiscal Year</t>
        </is>
      </c>
      <c r="Q1" s="4" t="inlineStr">
        <is>
          <t>Table</t>
        </is>
      </c>
    </row>
    <row r="2">
      <c r="A2" t="inlineStr">
        <is>
          <t>01-05-0012</t>
        </is>
      </c>
      <c r="B2" t="inlineStr">
        <is>
          <t>CREATE East-West Corridor from Argo Interlocking to CP509</t>
        </is>
      </c>
      <c r="C2" t="inlineStr">
        <is>
          <t>CREATE East-West Corridor, EW-1, EW-2, EW-3, EW-4</t>
        </is>
      </c>
      <c r="D2" t="inlineStr">
        <is>
          <t>Freight Movement</t>
        </is>
      </c>
      <c r="E2" t="inlineStr">
        <is>
          <t>[A-LTS] Safety - Lighting, [E-ADAIMP] Improve ADA Infrastructure (Roadway), [H-C/G] Highway/Road - Curb And Gutter, [H-RS] Highway/Road - Resurface (with No Lane Widening), [H-STWTR] Highway/Road - Stormwater Infrastucture, [R-IMP] Rail Line - Improve Line, [S-MOD] Signals - Modernization, [Z-OTHEX] Miscellaneous - Exempt Projects</t>
        </is>
      </c>
      <c r="F2" t="inlineStr">
        <is>
          <t>IDOT OIPI</t>
        </is>
      </c>
      <c r="G2" t="inlineStr">
        <is>
          <t>Cook</t>
        </is>
      </c>
      <c r="H2" t="inlineStr">
        <is>
          <t>Bedford Park, Chicago, McCook, Summit</t>
        </is>
      </c>
      <c r="I2" t="inlineStr">
        <is>
          <t>91LD405</t>
        </is>
      </c>
      <c r="J2" t="inlineStr">
        <is>
          <t>Natl Hwy Freight Pgm</t>
        </is>
      </c>
      <c r="K2" s="5" t="n">
        <v>939469</v>
      </c>
      <c r="L2" t="inlineStr">
        <is>
          <t>Yes</t>
        </is>
      </c>
      <c r="M2" t="inlineStr">
        <is>
          <t>Yes</t>
        </is>
      </c>
      <c r="N2" t="inlineStr">
        <is>
          <t>Yes</t>
        </is>
      </c>
      <c r="O2" t="b">
        <v>1</v>
      </c>
      <c r="P2" t="inlineStr">
        <is>
          <t>FFY2025</t>
        </is>
      </c>
      <c r="Q2" t="inlineStr">
        <is>
          <t>AC Authorization</t>
        </is>
      </c>
    </row>
    <row r="3">
      <c r="A3" t="inlineStr">
        <is>
          <t>01-05-0012</t>
        </is>
      </c>
      <c r="B3" t="inlineStr">
        <is>
          <t>CREATE East-West Corridor from Argo Interlocking to CP509</t>
        </is>
      </c>
      <c r="C3" t="inlineStr">
        <is>
          <t>CREATE East-West Corridor, EW-1, EW-2, EW-3, EW-4</t>
        </is>
      </c>
      <c r="D3" t="inlineStr">
        <is>
          <t>Freight Movement</t>
        </is>
      </c>
      <c r="E3" t="inlineStr">
        <is>
          <t>[A-LTS] Safety - Lighting, [E-ADAIMP] Improve ADA Infrastructure (Roadway), [H-C/G] Highway/Road - Curb And Gutter, [H-RS] Highway/Road - Resurface (with No Lane Widening), [H-STWTR] Highway/Road - Stormwater Infrastucture, [R-IMP] Rail Line - Improve Line, [S-MOD] Signals - Modernization, [Z-OTHEX] Miscellaneous - Exempt Projects</t>
        </is>
      </c>
      <c r="F3" t="inlineStr">
        <is>
          <t>IDOT OIPI</t>
        </is>
      </c>
      <c r="G3" t="inlineStr">
        <is>
          <t>Cook</t>
        </is>
      </c>
      <c r="H3" t="inlineStr">
        <is>
          <t>Bedford Park, Chicago, McCook, Summit</t>
        </is>
      </c>
      <c r="I3" t="inlineStr">
        <is>
          <t>KMG3103</t>
        </is>
      </c>
      <c r="J3" t="inlineStr">
        <is>
          <t>Natl Hwy Freight Pgm</t>
        </is>
      </c>
      <c r="K3" s="5" t="n">
        <v>8841353</v>
      </c>
      <c r="L3" t="inlineStr">
        <is>
          <t>Yes</t>
        </is>
      </c>
      <c r="M3" t="inlineStr">
        <is>
          <t>Yes</t>
        </is>
      </c>
      <c r="N3" t="inlineStr">
        <is>
          <t>Yes</t>
        </is>
      </c>
      <c r="O3" t="b">
        <v>1</v>
      </c>
      <c r="P3" t="inlineStr">
        <is>
          <t>FFY2025</t>
        </is>
      </c>
      <c r="Q3" t="inlineStr">
        <is>
          <t>AC Authorization</t>
        </is>
      </c>
    </row>
    <row r="4">
      <c r="A4" t="inlineStr">
        <is>
          <t>01-05-0012</t>
        </is>
      </c>
      <c r="B4" t="inlineStr">
        <is>
          <t>CREATE East-West Corridor from Argo Interlocking to CP509</t>
        </is>
      </c>
      <c r="C4" t="inlineStr">
        <is>
          <t>CREATE East-West Corridor, EW-1, EW-2, EW-3, EW-4</t>
        </is>
      </c>
      <c r="D4" t="inlineStr">
        <is>
          <t>Freight Movement</t>
        </is>
      </c>
      <c r="E4" t="inlineStr">
        <is>
          <t>[A-LTS] Safety - Lighting, [E-ADAIMP] Improve ADA Infrastructure (Roadway), [H-C/G] Highway/Road - Curb And Gutter, [H-RS] Highway/Road - Resurface (with No Lane Widening), [H-STWTR] Highway/Road - Stormwater Infrastucture, [R-IMP] Rail Line - Improve Line, [S-MOD] Signals - Modernization, [Z-OTHEX] Miscellaneous - Exempt Projects</t>
        </is>
      </c>
      <c r="F4" t="inlineStr">
        <is>
          <t>IDOT OIPI</t>
        </is>
      </c>
      <c r="G4" t="inlineStr">
        <is>
          <t>Cook</t>
        </is>
      </c>
      <c r="H4" t="inlineStr">
        <is>
          <t>Bedford Park, Chicago, McCook, Summit</t>
        </is>
      </c>
      <c r="I4" t="inlineStr">
        <is>
          <t>B9V5881</t>
        </is>
      </c>
      <c r="J4" t="inlineStr">
        <is>
          <t>Natl Hwy Freight Pgm</t>
        </is>
      </c>
      <c r="K4" s="5" t="n">
        <v>439469</v>
      </c>
      <c r="L4" t="inlineStr">
        <is>
          <t>Yes</t>
        </is>
      </c>
      <c r="M4" t="inlineStr">
        <is>
          <t>Yes</t>
        </is>
      </c>
      <c r="N4" t="inlineStr">
        <is>
          <t>Yes</t>
        </is>
      </c>
      <c r="O4" t="b">
        <v>1</v>
      </c>
      <c r="P4" t="inlineStr">
        <is>
          <t>FFY2025</t>
        </is>
      </c>
      <c r="Q4" t="inlineStr">
        <is>
          <t>AC Authorization</t>
        </is>
      </c>
    </row>
    <row r="5">
      <c r="A5" t="inlineStr">
        <is>
          <t>01-06-0052</t>
        </is>
      </c>
      <c r="B5" t="inlineStr">
        <is>
          <t>IL 43 (Harlem Avenue) at 65th Street / BRC RR - RSP 109</t>
        </is>
      </c>
      <c r="C5" t="inlineStr">
        <is>
          <t>CREATE-GS1, 65th St, &amp; 63rd St @ BRC 59th St Line</t>
        </is>
      </c>
      <c r="D5" t="inlineStr">
        <is>
          <t>Rail-Highway Grade Separation</t>
        </is>
      </c>
      <c r="E5" t="inlineStr">
        <is>
          <t>[A-OTH] Safety - Other, [E-ADAMAINT] Maintain/Repair ADA Infrastructure (Roadway), [H-RRGS] Highway/Road - Railroad Grade Separation, [H-RS] Highway/Road - Resurface (with No Lane Widening), [H-STWTR] Highway/Road - Stormwater Infrastucture, [Z-OTHEX] Miscellaneous - Exempt Projects</t>
        </is>
      </c>
      <c r="F5" t="inlineStr">
        <is>
          <t>IDOT D1 Hwys</t>
        </is>
      </c>
      <c r="G5" t="inlineStr">
        <is>
          <t>Cook</t>
        </is>
      </c>
      <c r="H5" t="inlineStr">
        <is>
          <t>Chicago</t>
        </is>
      </c>
      <c r="I5" t="inlineStr">
        <is>
          <t>JEAG627</t>
        </is>
      </c>
      <c r="J5" t="inlineStr">
        <is>
          <t>NHPP</t>
        </is>
      </c>
      <c r="K5" s="5" t="n">
        <v>742000</v>
      </c>
      <c r="L5" t="inlineStr">
        <is>
          <t>Yes</t>
        </is>
      </c>
      <c r="M5" t="inlineStr">
        <is>
          <t>Yes</t>
        </is>
      </c>
      <c r="N5" t="inlineStr">
        <is>
          <t>Yes</t>
        </is>
      </c>
      <c r="O5" t="b">
        <v>1</v>
      </c>
      <c r="P5" t="inlineStr">
        <is>
          <t>FFY2025</t>
        </is>
      </c>
      <c r="Q5" t="inlineStr">
        <is>
          <t>AC Authorization</t>
        </is>
      </c>
    </row>
    <row r="6">
      <c r="A6" t="inlineStr">
        <is>
          <t>01-06-0055</t>
        </is>
      </c>
      <c r="B6" t="inlineStr">
        <is>
          <t>Columbus Av at BRC RR (GS-11)</t>
        </is>
      </c>
      <c r="C6" t="inlineStr">
        <is>
          <t>CREATE GS-11</t>
        </is>
      </c>
      <c r="D6" t="inlineStr">
        <is>
          <t>Rail-Highway Grade Separation</t>
        </is>
      </c>
      <c r="E6" t="inlineStr">
        <is>
          <t>[H-RRGS] Highway/Road - Railroad Grade Separation</t>
        </is>
      </c>
      <c r="F6" t="inlineStr">
        <is>
          <t>CDOT</t>
        </is>
      </c>
      <c r="G6" t="inlineStr">
        <is>
          <t>Cook</t>
        </is>
      </c>
      <c r="H6" t="inlineStr">
        <is>
          <t>Chicago</t>
        </is>
      </c>
      <c r="I6" t="inlineStr">
        <is>
          <t>J86L198</t>
        </is>
      </c>
      <c r="J6" t="inlineStr">
        <is>
          <t>STP - Locally Prgmd</t>
        </is>
      </c>
      <c r="K6" s="5" t="n">
        <v>10000000</v>
      </c>
      <c r="L6" t="inlineStr">
        <is>
          <t>No</t>
        </is>
      </c>
      <c r="M6" t="inlineStr">
        <is>
          <t>No</t>
        </is>
      </c>
      <c r="N6" t="inlineStr">
        <is>
          <t>No</t>
        </is>
      </c>
      <c r="O6" t="b">
        <v>1</v>
      </c>
      <c r="P6" t="inlineStr">
        <is>
          <t>FFY2025</t>
        </is>
      </c>
      <c r="Q6" t="inlineStr">
        <is>
          <t>AC Authorization</t>
        </is>
      </c>
    </row>
    <row r="7">
      <c r="A7" t="inlineStr">
        <is>
          <t>01-07-0001</t>
        </is>
      </c>
      <c r="B7" t="inlineStr">
        <is>
          <t>Southwest Service Improvements / 0186 Major - CREATE 75th Street Corridor Improvement Project - RSP 67</t>
        </is>
      </c>
      <c r="C7" t="inlineStr">
        <is>
          <t>CREATE PASSENGER CORRIDOR: P1-63rd &amp; State; P2-74th St; P3-75th St; P3-75th St+CMB; P4-Grand Crossing; P5-Brighton Park; P6 Canal in Summit; P7-Chicago Ridge. P1-P5 in Chicago. See also 18-09-2400 for EIS for P1-7.</t>
        </is>
      </c>
      <c r="D7" t="inlineStr">
        <is>
          <t>Freight Movement</t>
        </is>
      </c>
      <c r="E7" t="inlineStr">
        <is>
          <t>[A-LTS] Safety - Lighting, [E-ADAIMP] Improve ADA Infrastructure (Roadway), [E-LS] Enhancement - Landscaping, [E-PEDIMP] Improve Pedestrian Facility, [H-C/G] Highway/Road - Curb And Gutter, [H-RS] Highway/Road - Resurface (with No Lane Widening), [H-STWTR] Highway/Road - Stormwater Infrastucture, [R-IMP] Rail Line - Improve Line, [U-SIGS] CPS - Signals</t>
        </is>
      </c>
      <c r="F7" t="inlineStr">
        <is>
          <t>IDOT OIPI</t>
        </is>
      </c>
      <c r="G7" t="inlineStr">
        <is>
          <t>Cook</t>
        </is>
      </c>
      <c r="H7" t="inlineStr">
        <is>
          <t>Chicago, Chicago Ridge</t>
        </is>
      </c>
      <c r="I7" t="inlineStr">
        <is>
          <t>-</t>
        </is>
      </c>
      <c r="J7" t="inlineStr">
        <is>
          <t>Natl Hwy Freight Pgm</t>
        </is>
      </c>
      <c r="K7" s="5" t="n">
        <v>746066</v>
      </c>
      <c r="L7" t="inlineStr">
        <is>
          <t>Yes</t>
        </is>
      </c>
      <c r="M7" t="inlineStr">
        <is>
          <t>Yes</t>
        </is>
      </c>
      <c r="N7" t="inlineStr">
        <is>
          <t>Yes</t>
        </is>
      </c>
      <c r="O7" t="b">
        <v>1</v>
      </c>
      <c r="P7" t="inlineStr">
        <is>
          <t>FFY2025</t>
        </is>
      </c>
      <c r="Q7" t="inlineStr">
        <is>
          <t>AC Authorization</t>
        </is>
      </c>
    </row>
    <row r="8">
      <c r="A8" t="inlineStr">
        <is>
          <t>01-07-0001</t>
        </is>
      </c>
      <c r="B8" t="inlineStr">
        <is>
          <t>Southwest Service Improvements / 0186 Major - CREATE 75th Street Corridor Improvement Project - RSP 67</t>
        </is>
      </c>
      <c r="C8" t="inlineStr">
        <is>
          <t>CREATE PASSENGER CORRIDOR: P1-63rd &amp; State; P2-74th St; P3-75th St; P3-75th St+CMB; P4-Grand Crossing; P5-Brighton Park; P6 Canal in Summit; P7-Chicago Ridge. P1-P5 in Chicago. See also 18-09-2400 for EIS for P1-7.</t>
        </is>
      </c>
      <c r="D8" t="inlineStr">
        <is>
          <t>Freight Movement</t>
        </is>
      </c>
      <c r="E8" t="inlineStr">
        <is>
          <t>[A-LTS] Safety - Lighting, [E-ADAIMP] Improve ADA Infrastructure (Roadway), [E-LS] Enhancement - Landscaping, [E-PEDIMP] Improve Pedestrian Facility, [H-C/G] Highway/Road - Curb And Gutter, [H-RS] Highway/Road - Resurface (with No Lane Widening), [H-STWTR] Highway/Road - Stormwater Infrastucture, [R-IMP] Rail Line - Improve Line, [U-SIGS] CPS - Signals</t>
        </is>
      </c>
      <c r="F8" t="inlineStr">
        <is>
          <t>IDOT OIPI</t>
        </is>
      </c>
      <c r="G8" t="inlineStr">
        <is>
          <t>Cook</t>
        </is>
      </c>
      <c r="H8" t="inlineStr">
        <is>
          <t>Chicago, Chicago Ridge</t>
        </is>
      </c>
      <c r="I8" t="inlineStr">
        <is>
          <t>-</t>
        </is>
      </c>
      <c r="J8" t="inlineStr">
        <is>
          <t>Natl Hwy Freight Pgm</t>
        </is>
      </c>
      <c r="K8" s="5" t="n">
        <v>3033934</v>
      </c>
      <c r="L8" t="inlineStr">
        <is>
          <t>Yes</t>
        </is>
      </c>
      <c r="M8" t="inlineStr">
        <is>
          <t>Yes</t>
        </is>
      </c>
      <c r="N8" t="inlineStr">
        <is>
          <t>Yes</t>
        </is>
      </c>
      <c r="O8" t="b">
        <v>1</v>
      </c>
      <c r="P8" t="inlineStr">
        <is>
          <t>FFY2025</t>
        </is>
      </c>
      <c r="Q8" t="inlineStr">
        <is>
          <t>AC Authorization</t>
        </is>
      </c>
    </row>
    <row r="9">
      <c r="A9" t="inlineStr">
        <is>
          <t>01-09-0031</t>
        </is>
      </c>
      <c r="B9" t="inlineStr">
        <is>
          <t>I-94 I-90 Kennedy Expy from I-94 Edens Expy to Hubbard St</t>
        </is>
      </c>
      <c r="C9" t="inlineStr">
        <is>
          <t>Bridge Deck Overlay of thirty-eight structures, Bridge Joint Repair, Patching, Sign Maintenance, RR Flagger</t>
        </is>
      </c>
      <c r="D9" t="inlineStr">
        <is>
          <t>Bridge Repair, Rehab, or Replace</t>
        </is>
      </c>
      <c r="E9" t="inlineStr">
        <is>
          <t>[A-OTH] Safety - Other, [B-REPAIR] Bridge/Structure - Reconst/Rehab No Chng in #, Wdth, or Lane, [H-PATCH] Highway/Road - Pavement Patching, [Z-OTHEX] Miscellaneous - Exempt Projects</t>
        </is>
      </c>
      <c r="F9" t="inlineStr">
        <is>
          <t>IDOT D1 Hwys</t>
        </is>
      </c>
      <c r="G9" t="inlineStr">
        <is>
          <t>Cook</t>
        </is>
      </c>
      <c r="H9" t="inlineStr">
        <is>
          <t>Chicago</t>
        </is>
      </c>
      <c r="I9" t="inlineStr">
        <is>
          <t>UH3A902</t>
        </is>
      </c>
      <c r="J9" t="inlineStr">
        <is>
          <t>NHPP</t>
        </is>
      </c>
      <c r="K9" s="5" t="n">
        <v>456329</v>
      </c>
      <c r="L9" t="inlineStr">
        <is>
          <t>No</t>
        </is>
      </c>
      <c r="M9" t="inlineStr">
        <is>
          <t>No</t>
        </is>
      </c>
      <c r="N9" t="inlineStr">
        <is>
          <t>Yes</t>
        </is>
      </c>
      <c r="O9" t="b">
        <v>1</v>
      </c>
      <c r="P9" t="inlineStr">
        <is>
          <t>FFY2025</t>
        </is>
      </c>
      <c r="Q9" t="inlineStr">
        <is>
          <t>AC Authorization</t>
        </is>
      </c>
    </row>
    <row r="10">
      <c r="A10" t="inlineStr">
        <is>
          <t>01-18-0022</t>
        </is>
      </c>
      <c r="B10" t="inlineStr">
        <is>
          <t>I-94 Bishop Ford Expwy - W of Martin Luther King Dr to US 6 (159th St)</t>
        </is>
      </c>
      <c r="C10" t="inlineStr">
        <is>
          <t>Bridge Deck Overlay, Bridge Joint Replace/Repair, RR Flagger, Resurfacing (Int-2nd), Drainage, Culvert Repair, Bridge Superstructure Rehab, Patching, Lighting</t>
        </is>
      </c>
      <c r="D10" t="inlineStr">
        <is>
          <t>Bridge Routine Maintenance</t>
        </is>
      </c>
      <c r="E10" t="inlineStr">
        <is>
          <t>[A-LTS] Safety - Lighting, [A-OTH] Safety - Other, [B-DECK] Bridge Deck - Repair/Rehab, [B-OVR] Bridge Deck - Overlay, [B-SUP] Bridge Superstructure - Repair/Rehab, [H-CLVT] Highway/Road - Repair/Replace Culvert, [H-PATCH] Highway/Road - Pavement Patching, [H-RS] Highway/Road - Resurface (with No Lane Widening), [Z-OTHEX] Miscellaneous - Exempt Projects</t>
        </is>
      </c>
      <c r="F10" t="inlineStr">
        <is>
          <t>IDOT D1 Hwys</t>
        </is>
      </c>
      <c r="G10" t="inlineStr">
        <is>
          <t>Cook</t>
        </is>
      </c>
      <c r="H10" t="inlineStr">
        <is>
          <t>Calumet City, Chicago, Dolton, South Holland</t>
        </is>
      </c>
      <c r="I10" t="inlineStr">
        <is>
          <t>2B1H072</t>
        </is>
      </c>
      <c r="J10" t="inlineStr">
        <is>
          <t>NHPP</t>
        </is>
      </c>
      <c r="K10" s="5" t="n">
        <v>45000000</v>
      </c>
      <c r="L10" t="inlineStr">
        <is>
          <t>No</t>
        </is>
      </c>
      <c r="M10" t="inlineStr">
        <is>
          <t>No</t>
        </is>
      </c>
      <c r="N10" t="inlineStr">
        <is>
          <t>Yes</t>
        </is>
      </c>
      <c r="O10" t="b">
        <v>1</v>
      </c>
      <c r="P10" t="inlineStr">
        <is>
          <t>FFY2025</t>
        </is>
      </c>
      <c r="Q10" t="inlineStr">
        <is>
          <t>AC Authorization</t>
        </is>
      </c>
    </row>
    <row r="11">
      <c r="A11" t="inlineStr">
        <is>
          <t>01-18-0022</t>
        </is>
      </c>
      <c r="B11" t="inlineStr">
        <is>
          <t>I-94 Bishop Ford Expwy - W of Martin Luther King Dr to US 6 (159th St)</t>
        </is>
      </c>
      <c r="C11" t="inlineStr">
        <is>
          <t>Bridge Deck Overlay, Bridge Joint Replace/Repair, RR Flagger, Resurfacing (Int-2nd), Drainage, Culvert Repair, Bridge Superstructure Rehab, Patching, Lighting</t>
        </is>
      </c>
      <c r="D11" t="inlineStr">
        <is>
          <t>Bridge Routine Maintenance</t>
        </is>
      </c>
      <c r="E11" t="inlineStr">
        <is>
          <t>[A-LTS] Safety - Lighting, [A-OTH] Safety - Other, [B-DECK] Bridge Deck - Repair/Rehab, [B-OVR] Bridge Deck - Overlay, [B-SUP] Bridge Superstructure - Repair/Rehab, [H-CLVT] Highway/Road - Repair/Replace Culvert, [H-PATCH] Highway/Road - Pavement Patching, [H-RS] Highway/Road - Resurface (with No Lane Widening), [Z-OTHEX] Miscellaneous - Exempt Projects</t>
        </is>
      </c>
      <c r="F11" t="inlineStr">
        <is>
          <t>IDOT D1 Hwys</t>
        </is>
      </c>
      <c r="G11" t="inlineStr">
        <is>
          <t>Cook</t>
        </is>
      </c>
      <c r="H11" t="inlineStr">
        <is>
          <t>Calumet City, Chicago, Dolton, South Holland</t>
        </is>
      </c>
      <c r="I11" t="inlineStr">
        <is>
          <t>2B1H072</t>
        </is>
      </c>
      <c r="J11" t="inlineStr">
        <is>
          <t>NHPP</t>
        </is>
      </c>
      <c r="K11" s="5" t="n">
        <v>5850000</v>
      </c>
      <c r="L11" t="inlineStr">
        <is>
          <t>No</t>
        </is>
      </c>
      <c r="M11" t="inlineStr">
        <is>
          <t>No</t>
        </is>
      </c>
      <c r="N11" t="inlineStr">
        <is>
          <t>Yes</t>
        </is>
      </c>
      <c r="O11" t="b">
        <v>1</v>
      </c>
      <c r="P11" t="inlineStr">
        <is>
          <t>FFY2025</t>
        </is>
      </c>
      <c r="Q11" t="inlineStr">
        <is>
          <t>AC Authorization</t>
        </is>
      </c>
    </row>
    <row r="12">
      <c r="A12" t="inlineStr">
        <is>
          <t>01-20-0033</t>
        </is>
      </c>
      <c r="B12" t="inlineStr">
        <is>
          <t>Lincoln Ave - Indiana Ave to Ill 83 (Sibley Blvd)</t>
        </is>
      </c>
      <c r="C12" t="inlineStr">
        <is>
          <t>Standard Overlay, ADA Improvements</t>
        </is>
      </c>
      <c r="D12" t="inlineStr">
        <is>
          <t>Road Maintenance</t>
        </is>
      </c>
      <c r="E12" t="inlineStr">
        <is>
          <t>[E-ADAMAINT] Maintain/Repair ADA Infrastructure (Roadway), [H-RS] Highway/Road - Resurface (with No Lane Widening)</t>
        </is>
      </c>
      <c r="F12" t="inlineStr">
        <is>
          <t>IDOT D1 Hwys</t>
        </is>
      </c>
      <c r="G12" t="inlineStr">
        <is>
          <t>Cook</t>
        </is>
      </c>
      <c r="H12" t="inlineStr">
        <is>
          <t>Chicago, Dolton</t>
        </is>
      </c>
      <c r="I12" t="inlineStr">
        <is>
          <t>4MJ6604</t>
        </is>
      </c>
      <c r="J12" t="inlineStr">
        <is>
          <t>STP - State Prgmd Urban</t>
        </is>
      </c>
      <c r="K12" s="5" t="n">
        <v>2000000</v>
      </c>
      <c r="L12" t="inlineStr">
        <is>
          <t>Yes</t>
        </is>
      </c>
      <c r="M12" t="inlineStr">
        <is>
          <t>Yes</t>
        </is>
      </c>
      <c r="N12" t="inlineStr">
        <is>
          <t>No</t>
        </is>
      </c>
      <c r="O12" t="b">
        <v>1</v>
      </c>
      <c r="P12" t="inlineStr">
        <is>
          <t>FFY2025</t>
        </is>
      </c>
      <c r="Q12" t="inlineStr">
        <is>
          <t>AC Authorization</t>
        </is>
      </c>
    </row>
    <row r="13">
      <c r="A13" t="inlineStr">
        <is>
          <t>01-22-0005</t>
        </is>
      </c>
      <c r="B13" t="inlineStr">
        <is>
          <t>I-290 Eisenhower Expwy - At Keeler Ave</t>
        </is>
      </c>
      <c r="C13" t="inlineStr">
        <is>
          <t>Bridge Replacement, RR Flagger</t>
        </is>
      </c>
      <c r="D13" t="inlineStr">
        <is>
          <t>Bridge Repair, Rehab, or Replace</t>
        </is>
      </c>
      <c r="E13" t="inlineStr">
        <is>
          <t>[A-OTH] Safety - Other, [B-REPLACE] Bridge/Structure - Replace</t>
        </is>
      </c>
      <c r="F13" t="inlineStr">
        <is>
          <t>IDOT D1 Hwys</t>
        </is>
      </c>
      <c r="G13" t="inlineStr">
        <is>
          <t>Cook</t>
        </is>
      </c>
      <c r="H13" t="inlineStr">
        <is>
          <t>Chicago</t>
        </is>
      </c>
      <c r="I13" t="inlineStr">
        <is>
          <t>1XTC478</t>
        </is>
      </c>
      <c r="J13" t="inlineStr">
        <is>
          <t>NHPP</t>
        </is>
      </c>
      <c r="K13" s="5" t="n">
        <v>18000000</v>
      </c>
      <c r="L13" t="inlineStr">
        <is>
          <t>No</t>
        </is>
      </c>
      <c r="M13" t="inlineStr">
        <is>
          <t>No</t>
        </is>
      </c>
      <c r="N13" t="inlineStr">
        <is>
          <t>Yes</t>
        </is>
      </c>
      <c r="O13" t="b">
        <v>1</v>
      </c>
      <c r="P13" t="inlineStr">
        <is>
          <t>FFY2025</t>
        </is>
      </c>
      <c r="Q13" t="inlineStr">
        <is>
          <t>AC Authorization</t>
        </is>
      </c>
    </row>
    <row r="14">
      <c r="A14" t="inlineStr">
        <is>
          <t>01-22-0005</t>
        </is>
      </c>
      <c r="B14" t="inlineStr">
        <is>
          <t>I-290 Eisenhower Expwy - At Keeler Ave</t>
        </is>
      </c>
      <c r="C14" t="inlineStr">
        <is>
          <t>Bridge Replacement, RR Flagger</t>
        </is>
      </c>
      <c r="D14" t="inlineStr">
        <is>
          <t>Bridge Repair, Rehab, or Replace</t>
        </is>
      </c>
      <c r="E14" t="inlineStr">
        <is>
          <t>[A-OTH] Safety - Other, [B-REPLACE] Bridge/Structure - Replace</t>
        </is>
      </c>
      <c r="F14" t="inlineStr">
        <is>
          <t>IDOT D1 Hwys</t>
        </is>
      </c>
      <c r="G14" t="inlineStr">
        <is>
          <t>Cook</t>
        </is>
      </c>
      <c r="H14" t="inlineStr">
        <is>
          <t>Chicago</t>
        </is>
      </c>
      <c r="I14" t="inlineStr">
        <is>
          <t>1XTC478</t>
        </is>
      </c>
      <c r="J14" t="inlineStr">
        <is>
          <t>NHPP</t>
        </is>
      </c>
      <c r="K14" s="5" t="n">
        <v>2101000</v>
      </c>
      <c r="L14" t="inlineStr">
        <is>
          <t>No</t>
        </is>
      </c>
      <c r="M14" t="inlineStr">
        <is>
          <t>No</t>
        </is>
      </c>
      <c r="N14" t="inlineStr">
        <is>
          <t>Yes</t>
        </is>
      </c>
      <c r="O14" t="b">
        <v>1</v>
      </c>
      <c r="P14" t="inlineStr">
        <is>
          <t>FFY2025</t>
        </is>
      </c>
      <c r="Q14" t="inlineStr">
        <is>
          <t>AC Authorization</t>
        </is>
      </c>
    </row>
    <row r="15">
      <c r="A15" t="inlineStr">
        <is>
          <t>01-23-0027</t>
        </is>
      </c>
      <c r="B15" t="inlineStr">
        <is>
          <t>Ill 171 Archer Ave - S of Ogden Ave to W of Harlem Ave</t>
        </is>
      </c>
      <c r="C15" t="inlineStr">
        <is>
          <t>Smart Overlay</t>
        </is>
      </c>
      <c r="D15" t="inlineStr">
        <is>
          <t>Road Maintenance</t>
        </is>
      </c>
      <c r="E15" t="inlineStr">
        <is>
          <t>[H-RS] Highway/Road - Resurface (with No Lane Widening)</t>
        </is>
      </c>
      <c r="F15" t="inlineStr">
        <is>
          <t>IDOT D1 Hwys</t>
        </is>
      </c>
      <c r="G15" t="inlineStr">
        <is>
          <t>Cook</t>
        </is>
      </c>
      <c r="H15" t="inlineStr">
        <is>
          <t>Chicago, Lyons, McCook, Summit</t>
        </is>
      </c>
      <c r="I15" t="inlineStr">
        <is>
          <t>T687197</t>
        </is>
      </c>
      <c r="J15" t="inlineStr">
        <is>
          <t>NHPP</t>
        </is>
      </c>
      <c r="K15" s="5" t="n">
        <v>2361381</v>
      </c>
      <c r="L15" t="inlineStr">
        <is>
          <t>No</t>
        </is>
      </c>
      <c r="M15" t="inlineStr">
        <is>
          <t>No</t>
        </is>
      </c>
      <c r="N15" t="inlineStr">
        <is>
          <t>No</t>
        </is>
      </c>
      <c r="O15" t="b">
        <v>1</v>
      </c>
      <c r="P15" t="inlineStr">
        <is>
          <t>FFY2025</t>
        </is>
      </c>
      <c r="Q15" t="inlineStr">
        <is>
          <t>AC Authorization</t>
        </is>
      </c>
    </row>
    <row r="16">
      <c r="A16" t="inlineStr">
        <is>
          <t>01-24-0014</t>
        </is>
      </c>
      <c r="B16" t="inlineStr">
        <is>
          <t>Ill 1 Halsted St at Little Calumet River</t>
        </is>
      </c>
      <c r="C16" t="inlineStr">
        <is>
          <t>Bridge Repair, Drainage</t>
        </is>
      </c>
      <c r="D16" t="inlineStr">
        <is>
          <t>Bridge Repair, Rehab, or Replace</t>
        </is>
      </c>
      <c r="E16" t="inlineStr">
        <is>
          <t>[B-REPAIR] Bridge/Structure - Reconst/Rehab No Chng in #, Wdth, or Lane, [Z-OTHEX] Miscellaneous - Exempt Projects</t>
        </is>
      </c>
      <c r="F16" t="inlineStr">
        <is>
          <t>IDOT D1 Hwys</t>
        </is>
      </c>
      <c r="G16" t="inlineStr">
        <is>
          <t>Cook</t>
        </is>
      </c>
      <c r="H16" t="inlineStr">
        <is>
          <t>Chicago</t>
        </is>
      </c>
      <c r="I16" t="inlineStr">
        <is>
          <t>Y1E5528</t>
        </is>
      </c>
      <c r="J16" t="inlineStr">
        <is>
          <t>Bridge - State Prgmd</t>
        </is>
      </c>
      <c r="K16" s="5" t="n">
        <v>3600000</v>
      </c>
      <c r="L16" t="inlineStr">
        <is>
          <t>No</t>
        </is>
      </c>
      <c r="M16" t="inlineStr">
        <is>
          <t>No</t>
        </is>
      </c>
      <c r="N16" t="inlineStr">
        <is>
          <t>No</t>
        </is>
      </c>
      <c r="O16" t="b">
        <v>1</v>
      </c>
      <c r="P16" t="inlineStr">
        <is>
          <t>FFY2025</t>
        </is>
      </c>
      <c r="Q16" t="inlineStr">
        <is>
          <t>AC Authorization</t>
        </is>
      </c>
    </row>
    <row r="17">
      <c r="A17" t="inlineStr">
        <is>
          <t>01-24-0014</t>
        </is>
      </c>
      <c r="B17" t="inlineStr">
        <is>
          <t>Ill 1 Halsted St at Little Calumet River</t>
        </is>
      </c>
      <c r="C17" t="inlineStr">
        <is>
          <t>Bridge Repair, Drainage</t>
        </is>
      </c>
      <c r="D17" t="inlineStr">
        <is>
          <t>Bridge Repair, Rehab, or Replace</t>
        </is>
      </c>
      <c r="E17" t="inlineStr">
        <is>
          <t>[B-REPAIR] Bridge/Structure - Reconst/Rehab No Chng in #, Wdth, or Lane, [Z-OTHEX] Miscellaneous - Exempt Projects</t>
        </is>
      </c>
      <c r="F17" t="inlineStr">
        <is>
          <t>IDOT D1 Hwys</t>
        </is>
      </c>
      <c r="G17" t="inlineStr">
        <is>
          <t>Cook</t>
        </is>
      </c>
      <c r="H17" t="inlineStr">
        <is>
          <t>Chicago</t>
        </is>
      </c>
      <c r="I17" t="inlineStr">
        <is>
          <t>Y1E5528</t>
        </is>
      </c>
      <c r="J17" t="inlineStr">
        <is>
          <t>STP - State Prgmd Urban</t>
        </is>
      </c>
      <c r="K17" s="5" t="n">
        <v>400000</v>
      </c>
      <c r="L17" t="inlineStr">
        <is>
          <t>No</t>
        </is>
      </c>
      <c r="M17" t="inlineStr">
        <is>
          <t>No</t>
        </is>
      </c>
      <c r="N17" t="inlineStr">
        <is>
          <t>No</t>
        </is>
      </c>
      <c r="O17" t="b">
        <v>1</v>
      </c>
      <c r="P17" t="inlineStr">
        <is>
          <t>FFY2025</t>
        </is>
      </c>
      <c r="Q17" t="inlineStr">
        <is>
          <t>AC Authorization</t>
        </is>
      </c>
    </row>
    <row r="18">
      <c r="A18" t="inlineStr">
        <is>
          <t>01-25-0020</t>
        </is>
      </c>
      <c r="B18" t="inlineStr">
        <is>
          <t>Foster Ave - Over North Shore Chanel</t>
        </is>
      </c>
      <c r="C18" t="inlineStr">
        <is>
          <t>Bridge Deck Overlay, Bridge Joint Replace/Repair</t>
        </is>
      </c>
      <c r="D18" t="inlineStr">
        <is>
          <t>Bridge Routine Maintenance</t>
        </is>
      </c>
      <c r="E18" t="inlineStr">
        <is>
          <t>[B-DECK] Bridge Deck - Repair/Rehab, [B-OVR] Bridge Deck - Overlay</t>
        </is>
      </c>
      <c r="F18" t="inlineStr">
        <is>
          <t>IDOT D1 Hwys</t>
        </is>
      </c>
      <c r="G18" t="inlineStr">
        <is>
          <t>Cook</t>
        </is>
      </c>
      <c r="H18" t="inlineStr">
        <is>
          <t>Chicago</t>
        </is>
      </c>
      <c r="I18" t="inlineStr">
        <is>
          <t>8P9N708</t>
        </is>
      </c>
      <c r="J18" t="inlineStr">
        <is>
          <t>Bridge - State Prgmd</t>
        </is>
      </c>
      <c r="K18" s="5" t="n">
        <v>960000</v>
      </c>
      <c r="L18" t="inlineStr">
        <is>
          <t>No</t>
        </is>
      </c>
      <c r="M18" t="inlineStr">
        <is>
          <t>No</t>
        </is>
      </c>
      <c r="N18" t="inlineStr">
        <is>
          <t>No</t>
        </is>
      </c>
      <c r="O18" t="b">
        <v>1</v>
      </c>
      <c r="P18" t="inlineStr">
        <is>
          <t>FFY2025</t>
        </is>
      </c>
      <c r="Q18" t="inlineStr">
        <is>
          <t>AC Authorization</t>
        </is>
      </c>
    </row>
    <row r="19">
      <c r="A19" t="inlineStr">
        <is>
          <t>02-14-0003</t>
        </is>
      </c>
      <c r="B19" t="inlineStr">
        <is>
          <t>Church St. from Linder Av to Mccormick Blv</t>
        </is>
      </c>
      <c r="C19" t="inlineStr">
        <is>
          <t>Bike lanes</t>
        </is>
      </c>
      <c r="D19" t="inlineStr">
        <is>
          <t>Bicycle &amp; Pedestrian</t>
        </is>
      </c>
      <c r="E19" t="inlineStr">
        <is>
          <t>[A-PMRK] Safety - Pavement Marking, [E-BIKENEW] New Bicycle Facility, [E- PEDIMP] Improve Pedestrian Facility, [H-RL] Highway/Road - Remove Lanes, [S-MOD] Signals - Modernization</t>
        </is>
      </c>
      <c r="F19" t="inlineStr">
        <is>
          <t>North Shore Council</t>
        </is>
      </c>
      <c r="G19" t="inlineStr">
        <is>
          <t>Cook</t>
        </is>
      </c>
      <c r="H19" t="inlineStr">
        <is>
          <t>Skokie</t>
        </is>
      </c>
      <c r="I19" t="inlineStr">
        <is>
          <t>-</t>
        </is>
      </c>
      <c r="J19" t="inlineStr">
        <is>
          <t>TAP - Locally Prgmd</t>
        </is>
      </c>
      <c r="K19" s="5" t="n">
        <v>760000</v>
      </c>
      <c r="L19" t="inlineStr">
        <is>
          <t>Yes</t>
        </is>
      </c>
      <c r="M19" t="inlineStr">
        <is>
          <t>No</t>
        </is>
      </c>
      <c r="N19" t="inlineStr">
        <is>
          <t>Yes</t>
        </is>
      </c>
      <c r="O19" t="b">
        <v>1</v>
      </c>
      <c r="P19" t="inlineStr">
        <is>
          <t>FFY2025</t>
        </is>
      </c>
      <c r="Q19" t="inlineStr">
        <is>
          <t>AC Authorization</t>
        </is>
      </c>
    </row>
    <row r="20">
      <c r="A20" t="inlineStr">
        <is>
          <t>02-14-0003</t>
        </is>
      </c>
      <c r="B20" t="inlineStr">
        <is>
          <t>Church St. from Linder Av to Mccormick Blv</t>
        </is>
      </c>
      <c r="C20" t="inlineStr">
        <is>
          <t>Bike lanes</t>
        </is>
      </c>
      <c r="D20" t="inlineStr">
        <is>
          <t>Bicycle &amp; Pedestrian</t>
        </is>
      </c>
      <c r="E20" t="inlineStr">
        <is>
          <t>[A-PMRK] Safety - Pavement Marking, [E-BIKENEW] New Bicycle Facility, [E- PEDIMP] Improve Pedestrian Facility, [H-RL] Highway/Road - Remove Lanes, [S-MOD] Signals - Modernization</t>
        </is>
      </c>
      <c r="F20" t="inlineStr">
        <is>
          <t>North Shore Council</t>
        </is>
      </c>
      <c r="G20" t="inlineStr">
        <is>
          <t>Cook</t>
        </is>
      </c>
      <c r="H20" t="inlineStr">
        <is>
          <t>Skokie</t>
        </is>
      </c>
      <c r="I20" t="inlineStr">
        <is>
          <t>940K189</t>
        </is>
      </c>
      <c r="J20" t="inlineStr">
        <is>
          <t>TAP - Locally Prgmd</t>
        </is>
      </c>
      <c r="K20" s="5" t="n">
        <v>840000</v>
      </c>
      <c r="L20" t="inlineStr">
        <is>
          <t>Yes</t>
        </is>
      </c>
      <c r="M20" t="inlineStr">
        <is>
          <t>No</t>
        </is>
      </c>
      <c r="N20" t="inlineStr">
        <is>
          <t>Yes</t>
        </is>
      </c>
      <c r="O20" t="b">
        <v>1</v>
      </c>
      <c r="P20" t="inlineStr">
        <is>
          <t>FFY2025</t>
        </is>
      </c>
      <c r="Q20" t="inlineStr">
        <is>
          <t>AC Authorization</t>
        </is>
      </c>
    </row>
    <row r="21">
      <c r="A21" t="inlineStr">
        <is>
          <t>02-16-0004</t>
        </is>
      </c>
      <c r="B21" t="inlineStr">
        <is>
          <t>Devon Ave from Lincoln Ave to McCormick Blvd</t>
        </is>
      </c>
      <c r="C21" t="inlineStr">
        <is>
          <t>Road modernization with pedestrian improvements, including pedestrian refuge medians</t>
        </is>
      </c>
      <c r="D21" t="inlineStr">
        <is>
          <t>Road Modernization</t>
        </is>
      </c>
      <c r="E21" t="inlineStr">
        <is>
          <t>[A-LTS] Safety - Lighting, [A-MED] Safety - Median Projects, [A-PMRK] Safety - Pavement Marking, [E-ADAIMP] Improve ADA Infrastructure (Roadway), [E-LS] Enhancement - Landscaping, [E-PEDIMP] Improve Pedestrian Facility, [H-CLTL] Highway/Road - Continuous Bi-Directional Turn Lanes</t>
        </is>
      </c>
      <c r="F21" t="inlineStr">
        <is>
          <t>North Shore Council</t>
        </is>
      </c>
      <c r="G21" t="inlineStr">
        <is>
          <t>Cook</t>
        </is>
      </c>
      <c r="H21" t="inlineStr">
        <is>
          <t>Lincolnwood</t>
        </is>
      </c>
      <c r="I21" t="inlineStr">
        <is>
          <t>K3LS696</t>
        </is>
      </c>
      <c r="J21" t="inlineStr">
        <is>
          <t>STP - Locally Prgmd</t>
        </is>
      </c>
      <c r="K21" s="5" t="n">
        <v>3060000</v>
      </c>
      <c r="L21" t="inlineStr">
        <is>
          <t>Yes</t>
        </is>
      </c>
      <c r="M21" t="inlineStr">
        <is>
          <t>Yes</t>
        </is>
      </c>
      <c r="N21" t="inlineStr">
        <is>
          <t>Yes</t>
        </is>
      </c>
      <c r="O21" t="b">
        <v>1</v>
      </c>
      <c r="P21" t="inlineStr">
        <is>
          <t>FFY2025</t>
        </is>
      </c>
      <c r="Q21" t="inlineStr">
        <is>
          <t>AC Authorization</t>
        </is>
      </c>
    </row>
    <row r="22">
      <c r="A22" t="inlineStr">
        <is>
          <t>02-16-0004</t>
        </is>
      </c>
      <c r="B22" t="inlineStr">
        <is>
          <t>Devon Ave from Lincoln Ave to McCormick Blvd</t>
        </is>
      </c>
      <c r="C22" t="inlineStr">
        <is>
          <t>Road modernization with pedestrian improvements, including pedestrian refuge medians</t>
        </is>
      </c>
      <c r="D22" t="inlineStr">
        <is>
          <t>Road Modernization</t>
        </is>
      </c>
      <c r="E22" t="inlineStr">
        <is>
          <t>[A-LTS] Safety - Lighting, [A-MED] Safety - Median Projects, [A-PMRK] Safety - Pavement Marking, [E-ADAIMP] Improve ADA Infrastructure (Roadway), [E-LS] Enhancement - Landscaping, [E-PEDIMP] Improve Pedestrian Facility, [H-CLTL] Highway/Road - Continuous Bi-Directional Turn Lanes</t>
        </is>
      </c>
      <c r="F22" t="inlineStr">
        <is>
          <t>North Shore Council</t>
        </is>
      </c>
      <c r="G22" t="inlineStr">
        <is>
          <t>Cook</t>
        </is>
      </c>
      <c r="H22" t="inlineStr">
        <is>
          <t>Lincolnwood</t>
        </is>
      </c>
      <c r="I22" t="inlineStr">
        <is>
          <t>K3LS696</t>
        </is>
      </c>
      <c r="J22" t="inlineStr">
        <is>
          <t>STP - Locally Prgmd</t>
        </is>
      </c>
      <c r="K22" s="5" t="n">
        <v>1955879</v>
      </c>
      <c r="L22" t="inlineStr">
        <is>
          <t>Yes</t>
        </is>
      </c>
      <c r="M22" t="inlineStr">
        <is>
          <t>Yes</t>
        </is>
      </c>
      <c r="N22" t="inlineStr">
        <is>
          <t>Yes</t>
        </is>
      </c>
      <c r="O22" t="b">
        <v>1</v>
      </c>
      <c r="P22" t="inlineStr">
        <is>
          <t>FFY2025</t>
        </is>
      </c>
      <c r="Q22" t="inlineStr">
        <is>
          <t>AC Authorization</t>
        </is>
      </c>
    </row>
    <row r="23">
      <c r="A23" t="inlineStr">
        <is>
          <t>02-16-0005</t>
        </is>
      </c>
      <c r="B23" t="inlineStr">
        <is>
          <t>US 41 Skokie Blvd at Lake Ave</t>
        </is>
      </c>
      <c r="C23" t="inlineStr">
        <is>
          <t>Intersection Improvement</t>
        </is>
      </c>
      <c r="D23" t="inlineStr">
        <is>
          <t>Intersection/Interchange Improvements</t>
        </is>
      </c>
      <c r="E23" t="inlineStr">
        <is>
          <t>[E-PEDIMP] Improve Pedestrian Facility, [E-PEDNEW] New Pedestrian Facility, [H-INTIMP] Highway/Road - Intersection Improvement, [S-MOD] Signals - Modernization</t>
        </is>
      </c>
      <c r="F23" t="inlineStr">
        <is>
          <t>North Shore Council</t>
        </is>
      </c>
      <c r="G23" t="inlineStr">
        <is>
          <t>Cook</t>
        </is>
      </c>
      <c r="H23" t="inlineStr">
        <is>
          <t>Wilmette</t>
        </is>
      </c>
      <c r="I23" t="inlineStr">
        <is>
          <t>7H9P533</t>
        </is>
      </c>
      <c r="J23" t="inlineStr">
        <is>
          <t>TAP - State ITEP (Fed)</t>
        </is>
      </c>
      <c r="K23" s="5" t="n">
        <v>121600</v>
      </c>
      <c r="L23" t="inlineStr">
        <is>
          <t>Yes</t>
        </is>
      </c>
      <c r="M23" t="inlineStr">
        <is>
          <t>No</t>
        </is>
      </c>
      <c r="N23" t="inlineStr">
        <is>
          <t>No</t>
        </is>
      </c>
      <c r="O23" t="b">
        <v>1</v>
      </c>
      <c r="P23" t="inlineStr">
        <is>
          <t>FFY2025</t>
        </is>
      </c>
      <c r="Q23" t="inlineStr">
        <is>
          <t>AC Authorization</t>
        </is>
      </c>
    </row>
    <row r="24">
      <c r="A24" t="inlineStr">
        <is>
          <t>02-18-0003</t>
        </is>
      </c>
      <c r="B24" t="inlineStr">
        <is>
          <t>I-94 Edens Expwy at Devon Ave</t>
        </is>
      </c>
      <c r="C24" t="inlineStr">
        <is>
          <t>Bridge Replacement</t>
        </is>
      </c>
      <c r="D24" t="inlineStr">
        <is>
          <t>Bridge Repair, Rehab, or Replace</t>
        </is>
      </c>
      <c r="E24" t="inlineStr">
        <is>
          <t>[B-REPLACE] Bridge/Structure - Replace</t>
        </is>
      </c>
      <c r="F24" t="inlineStr">
        <is>
          <t>IDOT D1 Hwys</t>
        </is>
      </c>
      <c r="G24" t="inlineStr">
        <is>
          <t>Cook</t>
        </is>
      </c>
      <c r="H24" t="inlineStr">
        <is>
          <t>Chicago</t>
        </is>
      </c>
      <c r="I24" t="inlineStr">
        <is>
          <t>17VU753</t>
        </is>
      </c>
      <c r="J24" t="inlineStr">
        <is>
          <t>NHPP</t>
        </is>
      </c>
      <c r="K24" s="5" t="n">
        <v>14211000</v>
      </c>
      <c r="L24" t="inlineStr">
        <is>
          <t>No</t>
        </is>
      </c>
      <c r="M24" t="inlineStr">
        <is>
          <t>No</t>
        </is>
      </c>
      <c r="N24" t="inlineStr">
        <is>
          <t>No</t>
        </is>
      </c>
      <c r="O24" t="b">
        <v>1</v>
      </c>
      <c r="P24" t="inlineStr">
        <is>
          <t>FFY2025</t>
        </is>
      </c>
      <c r="Q24" t="inlineStr">
        <is>
          <t>AC Authorization</t>
        </is>
      </c>
    </row>
    <row r="25">
      <c r="A25" t="inlineStr">
        <is>
          <t>02-18-0003</t>
        </is>
      </c>
      <c r="B25" t="inlineStr">
        <is>
          <t>I-94 Edens Expwy at Devon Ave</t>
        </is>
      </c>
      <c r="C25" t="inlineStr">
        <is>
          <t>Bridge Replacement</t>
        </is>
      </c>
      <c r="D25" t="inlineStr">
        <is>
          <t>Bridge Repair, Rehab, or Replace</t>
        </is>
      </c>
      <c r="E25" t="inlineStr">
        <is>
          <t>[B-REPLACE] Bridge/Structure - Replace</t>
        </is>
      </c>
      <c r="F25" t="inlineStr">
        <is>
          <t>IDOT D1 Hwys</t>
        </is>
      </c>
      <c r="G25" t="inlineStr">
        <is>
          <t>Cook</t>
        </is>
      </c>
      <c r="H25" t="inlineStr">
        <is>
          <t>Chicago</t>
        </is>
      </c>
      <c r="I25" t="inlineStr">
        <is>
          <t>17VU753</t>
        </is>
      </c>
      <c r="J25" t="inlineStr">
        <is>
          <t>NHPP</t>
        </is>
      </c>
      <c r="K25" s="5" t="n">
        <v>2027000</v>
      </c>
      <c r="L25" t="inlineStr">
        <is>
          <t>No</t>
        </is>
      </c>
      <c r="M25" t="inlineStr">
        <is>
          <t>No</t>
        </is>
      </c>
      <c r="N25" t="inlineStr">
        <is>
          <t>No</t>
        </is>
      </c>
      <c r="O25" t="b">
        <v>1</v>
      </c>
      <c r="P25" t="inlineStr">
        <is>
          <t>FFY2025</t>
        </is>
      </c>
      <c r="Q25" t="inlineStr">
        <is>
          <t>AC Authorization</t>
        </is>
      </c>
    </row>
    <row r="26">
      <c r="A26" t="inlineStr">
        <is>
          <t>02-19-0016</t>
        </is>
      </c>
      <c r="B26" t="inlineStr">
        <is>
          <t>E. Lake Avenue / Waukegan Road Intersection Improvement</t>
        </is>
      </c>
      <c r="C26" t="inlineStr">
        <is>
          <t>Intersection widening to provide right turn lanes on all four approaches, traffic signal modernization, resurfacing, ADA improvements, update intersection lighting and transition lighting, add pedestrian signals. The existing lanes (through and left turn) will be changed from 12 width to through lanes (11), left turn lanes (10), new right turn lanes (10).</t>
        </is>
      </c>
      <c r="D26" t="inlineStr">
        <is>
          <t>Intersection/Interchange Improvements</t>
        </is>
      </c>
      <c r="E26" t="inlineStr">
        <is>
          <t>[A-LTS] Safety - Lighting, [E-ADAMAINT] Maintain/Repair ADA Infrastructure (Roadway), [E-PEDIMP] Improve Pedestrian Facility, [H-C/G] Highway/Road - Curb And Gutter, [H-INTIMP] Highway/Road - Intersection Improvement</t>
        </is>
      </c>
      <c r="F26" t="inlineStr">
        <is>
          <t>North Shore Council</t>
        </is>
      </c>
      <c r="G26" t="inlineStr">
        <is>
          <t>Cook</t>
        </is>
      </c>
      <c r="H26" t="inlineStr">
        <is>
          <t>Glenview</t>
        </is>
      </c>
      <c r="I26" t="inlineStr">
        <is>
          <t>SI5F661</t>
        </is>
      </c>
      <c r="J26" t="inlineStr">
        <is>
          <t>CMAQ</t>
        </is>
      </c>
      <c r="K26" s="5" t="n">
        <v>168000</v>
      </c>
      <c r="L26" t="inlineStr">
        <is>
          <t>Yes</t>
        </is>
      </c>
      <c r="M26" t="inlineStr">
        <is>
          <t>Yes</t>
        </is>
      </c>
      <c r="N26" t="inlineStr">
        <is>
          <t>Yes</t>
        </is>
      </c>
      <c r="O26" t="b">
        <v>1</v>
      </c>
      <c r="P26" t="inlineStr">
        <is>
          <t>FFY2025</t>
        </is>
      </c>
      <c r="Q26" t="inlineStr">
        <is>
          <t>AC Authorization</t>
        </is>
      </c>
    </row>
    <row r="27">
      <c r="A27" t="inlineStr">
        <is>
          <t>02-20-0005</t>
        </is>
      </c>
      <c r="B27" t="inlineStr">
        <is>
          <t>Green Bay Rd - S of Scott Ave to S of Kenilworth Ave</t>
        </is>
      </c>
      <c r="C27" t="inlineStr">
        <is>
          <t>Standard Overlay, ADA Improvements</t>
        </is>
      </c>
      <c r="D27" t="inlineStr">
        <is>
          <t>Road Maintenance</t>
        </is>
      </c>
      <c r="E27" t="inlineStr">
        <is>
          <t>[E-ADAMAINT] Maintain/Repair ADA Infrastructure (Roadway), [H-RS] Highway/Road - Resurface (with No Lane Widening)</t>
        </is>
      </c>
      <c r="F27" t="inlineStr">
        <is>
          <t>IDOT D1 Hwys</t>
        </is>
      </c>
      <c r="G27" t="inlineStr">
        <is>
          <t>Cook</t>
        </is>
      </c>
      <c r="H27" t="inlineStr">
        <is>
          <t>Glencoe, Kenilworth, Winnetka</t>
        </is>
      </c>
      <c r="I27" t="inlineStr">
        <is>
          <t>34NK011</t>
        </is>
      </c>
      <c r="J27" t="inlineStr">
        <is>
          <t>STP - State Prgmd Urban</t>
        </is>
      </c>
      <c r="K27" s="5" t="n">
        <v>4580000</v>
      </c>
      <c r="L27" t="inlineStr">
        <is>
          <t>Yes</t>
        </is>
      </c>
      <c r="M27" t="inlineStr">
        <is>
          <t>Yes</t>
        </is>
      </c>
      <c r="N27" t="inlineStr">
        <is>
          <t>No</t>
        </is>
      </c>
      <c r="O27" t="b">
        <v>1</v>
      </c>
      <c r="P27" t="inlineStr">
        <is>
          <t>FFY2025</t>
        </is>
      </c>
      <c r="Q27" t="inlineStr">
        <is>
          <t>AC Authorization</t>
        </is>
      </c>
    </row>
    <row r="28">
      <c r="A28" t="inlineStr">
        <is>
          <t>02-23-0015</t>
        </is>
      </c>
      <c r="B28" t="inlineStr">
        <is>
          <t>SRTS Sidewalk Improvements</t>
        </is>
      </c>
      <c r="C28" t="inlineStr">
        <is>
          <t>Due to the need to correct trip hazards, non-compliant ADA conditions, ponding and icing conditions on existing sidewalks, the purpose of the project is to replace those sidewalk slabs that are in poor condition or are in non-compliance with current ADA standards. The goal is to encourage and channel more students to walk to school along the walk routes and thereby reduce the number of vehicle drop-offs and pick-ups at schools.</t>
        </is>
      </c>
      <c r="D28" t="inlineStr">
        <is>
          <t>Safe Routes to Schools</t>
        </is>
      </c>
      <c r="E28" t="inlineStr">
        <is>
          <t>[E-ADAIMP] Improve ADA Infrastructure (Roadway), [E-PEDMAINT] Maintain Pedestrian Facility, [E-SRTS] Safe Routes to School</t>
        </is>
      </c>
      <c r="F28" t="inlineStr">
        <is>
          <t>North Shore Council</t>
        </is>
      </c>
      <c r="G28" t="inlineStr">
        <is>
          <t>Cook</t>
        </is>
      </c>
      <c r="H28" t="inlineStr">
        <is>
          <t>Evanston</t>
        </is>
      </c>
      <c r="I28" t="inlineStr">
        <is>
          <t>XF0D103</t>
        </is>
      </c>
      <c r="J28" t="inlineStr">
        <is>
          <t>Safe Routes to School</t>
        </is>
      </c>
      <c r="K28" s="5" t="n">
        <v>249951</v>
      </c>
      <c r="L28" t="inlineStr">
        <is>
          <t>Yes</t>
        </is>
      </c>
      <c r="M28" t="inlineStr">
        <is>
          <t>Yes</t>
        </is>
      </c>
      <c r="N28" t="inlineStr">
        <is>
          <t>Yes</t>
        </is>
      </c>
      <c r="O28" t="b">
        <v>1</v>
      </c>
      <c r="P28" t="inlineStr">
        <is>
          <t>FFY2025</t>
        </is>
      </c>
      <c r="Q28" t="inlineStr">
        <is>
          <t>AC Authorization</t>
        </is>
      </c>
    </row>
    <row r="29">
      <c r="A29" t="inlineStr">
        <is>
          <t>02-23-0016</t>
        </is>
      </c>
      <c r="B29" t="inlineStr">
        <is>
          <t>US 41 Skokie Blvd - S of Old Glenview Rd to N of Golf Rd</t>
        </is>
      </c>
      <c r="C29" t="inlineStr">
        <is>
          <t>Smart Overlay, ADA Improvements</t>
        </is>
      </c>
      <c r="D29" t="inlineStr">
        <is>
          <t>Road Maintenance</t>
        </is>
      </c>
      <c r="E29" t="inlineStr">
        <is>
          <t>[E-ADAMAINT] Maintain/Repair ADA Infrastructure (Roadway), [H-RS] Highway/Road - Resurface (with No Lane Widening)</t>
        </is>
      </c>
      <c r="F29" t="inlineStr">
        <is>
          <t>IDOT D1 Hwys</t>
        </is>
      </c>
      <c r="G29" t="inlineStr">
        <is>
          <t>Cook</t>
        </is>
      </c>
      <c r="H29" t="inlineStr">
        <is>
          <t>Skokie, Wilmette</t>
        </is>
      </c>
      <c r="I29" t="inlineStr">
        <is>
          <t>X3TL656</t>
        </is>
      </c>
      <c r="J29" t="inlineStr">
        <is>
          <t>NHPP</t>
        </is>
      </c>
      <c r="K29" s="5" t="n">
        <v>1040000</v>
      </c>
      <c r="L29" t="inlineStr">
        <is>
          <t>Yes</t>
        </is>
      </c>
      <c r="M29" t="inlineStr">
        <is>
          <t>Yes</t>
        </is>
      </c>
      <c r="N29" t="inlineStr">
        <is>
          <t>No</t>
        </is>
      </c>
      <c r="O29" t="b">
        <v>1</v>
      </c>
      <c r="P29" t="inlineStr">
        <is>
          <t>FFY2025</t>
        </is>
      </c>
      <c r="Q29" t="inlineStr">
        <is>
          <t>AC Authorization</t>
        </is>
      </c>
    </row>
    <row r="30">
      <c r="A30" t="inlineStr">
        <is>
          <t>02-24-0001</t>
        </is>
      </c>
      <c r="B30" t="inlineStr">
        <is>
          <t>Lincoln Street Bridge Replacement</t>
        </is>
      </c>
      <c r="C30" t="inlineStr">
        <is>
          <t>Replacement of the Lincoln Street Bridge over the North Shore Channel.</t>
        </is>
      </c>
      <c r="D30" t="inlineStr">
        <is>
          <t>Bridge Repair, Rehab, or Replace</t>
        </is>
      </c>
      <c r="E30" t="inlineStr">
        <is>
          <t>[B-REPLACE] Bridge/Structure - Replace</t>
        </is>
      </c>
      <c r="F30" t="inlineStr">
        <is>
          <t>North Shore Council</t>
        </is>
      </c>
      <c r="G30" t="inlineStr">
        <is>
          <t>Cook</t>
        </is>
      </c>
      <c r="H30" t="inlineStr">
        <is>
          <t>Evanston</t>
        </is>
      </c>
      <c r="I30" t="inlineStr">
        <is>
          <t>178G358</t>
        </is>
      </c>
      <c r="J30" t="inlineStr">
        <is>
          <t>Bridge - Local Prgmd</t>
        </is>
      </c>
      <c r="K30" s="5" t="n">
        <v>548972</v>
      </c>
      <c r="L30" t="inlineStr">
        <is>
          <t>No</t>
        </is>
      </c>
      <c r="M30" t="inlineStr">
        <is>
          <t>No</t>
        </is>
      </c>
      <c r="N30" t="inlineStr">
        <is>
          <t>No</t>
        </is>
      </c>
      <c r="O30" t="b">
        <v>1</v>
      </c>
      <c r="P30" t="inlineStr">
        <is>
          <t>FFY2025</t>
        </is>
      </c>
      <c r="Q30" t="inlineStr">
        <is>
          <t>AC Authorization</t>
        </is>
      </c>
    </row>
    <row r="31">
      <c r="A31" t="inlineStr">
        <is>
          <t>02-24-0003</t>
        </is>
      </c>
      <c r="B31" t="inlineStr">
        <is>
          <t>Shermer Road from East Lake Avenue to Golf Road</t>
        </is>
      </c>
      <c r="C31" t="inlineStr">
        <is>
          <t>Hot-mix asphalt surface removal and resurfacing of Shermer Road from East Lake Avenue to Golf Road. Curb and gutter removal and replacement and pavement patching as needed along the full length of the improvement. ADA improvements will be completed as needed. Existing bike lanes will be re-striped as part of the improvements.</t>
        </is>
      </c>
      <c r="D31" t="inlineStr">
        <is>
          <t>Road Maintenance</t>
        </is>
      </c>
      <c r="E31" t="inlineStr">
        <is>
          <t>[A-PMRK] Safety - Pavement Marking, [E-ADAIMP] Improve ADA Infrastructure (Roadway), [E-ADAMAINT] Maintain/Repair ADA Infrastructure (Roadway), [E-BIKEIMP] Improve Bicycle Facility, [E- BIKEMAINT] Maintain Bicycle Facility, [H-C/G] Highway/Road - Curb And Gutter, [H-PATCH] Highway/Road - Pavement Patching, [H-RS] Highway/Road - Resurface (with No Lane Widening)</t>
        </is>
      </c>
      <c r="F31" t="inlineStr">
        <is>
          <t>North Shore Council</t>
        </is>
      </c>
      <c r="G31" t="inlineStr">
        <is>
          <t>Cook</t>
        </is>
      </c>
      <c r="H31" t="inlineStr">
        <is>
          <t>Glenview</t>
        </is>
      </c>
      <c r="I31" t="inlineStr">
        <is>
          <t>DD5S371</t>
        </is>
      </c>
      <c r="J31" t="inlineStr">
        <is>
          <t>STP - Locally Prgmd</t>
        </is>
      </c>
      <c r="K31" s="5" t="n">
        <v>1408000</v>
      </c>
      <c r="L31" t="inlineStr">
        <is>
          <t>Yes</t>
        </is>
      </c>
      <c r="M31" t="inlineStr">
        <is>
          <t>Yes</t>
        </is>
      </c>
      <c r="N31" t="inlineStr">
        <is>
          <t>Yes</t>
        </is>
      </c>
      <c r="O31" t="b">
        <v>1</v>
      </c>
      <c r="P31" t="inlineStr">
        <is>
          <t>FFY2025</t>
        </is>
      </c>
      <c r="Q31" t="inlineStr">
        <is>
          <t>AC Authorization</t>
        </is>
      </c>
    </row>
    <row r="32">
      <c r="A32" t="inlineStr">
        <is>
          <t>02-24-0003</t>
        </is>
      </c>
      <c r="B32" t="inlineStr">
        <is>
          <t>Shermer Road from East Lake Avenue to Golf Road</t>
        </is>
      </c>
      <c r="C32" t="inlineStr">
        <is>
          <t>Hot-mix asphalt surface removal and resurfacing of Shermer Road from East Lake Avenue to Golf Road. Curb and gutter removal and replacement and pavement patching as needed along the full length of the improvement. ADA improvements will be completed as needed. Existing bike lanes will be re-striped as part of the improvements.</t>
        </is>
      </c>
      <c r="D32" t="inlineStr">
        <is>
          <t>Road Maintenance</t>
        </is>
      </c>
      <c r="E32" t="inlineStr">
        <is>
          <t>[A-PMRK] Safety - Pavement Marking, [E-ADAIMP] Improve ADA Infrastructure (Roadway), [E-ADAMAINT] Maintain/Repair ADA Infrastructure (Roadway), [E-BIKEIMP] Improve Bicycle Facility, [E- BIKEMAINT] Maintain Bicycle Facility, [H-C/G] Highway/Road - Curb And Gutter, [H-PATCH] Highway/Road - Pavement Patching, [H-RS] Highway/Road - Resurface (with No Lane Widening)</t>
        </is>
      </c>
      <c r="F32" t="inlineStr">
        <is>
          <t>North Shore Council</t>
        </is>
      </c>
      <c r="G32" t="inlineStr">
        <is>
          <t>Cook</t>
        </is>
      </c>
      <c r="H32" t="inlineStr">
        <is>
          <t>Glenview</t>
        </is>
      </c>
      <c r="I32" t="inlineStr">
        <is>
          <t>DD5S371</t>
        </is>
      </c>
      <c r="J32" t="inlineStr">
        <is>
          <t>STP - Locally Prgmd</t>
        </is>
      </c>
      <c r="K32" s="5" t="n">
        <v>932800</v>
      </c>
      <c r="L32" t="inlineStr">
        <is>
          <t>Yes</t>
        </is>
      </c>
      <c r="M32" t="inlineStr">
        <is>
          <t>Yes</t>
        </is>
      </c>
      <c r="N32" t="inlineStr">
        <is>
          <t>Yes</t>
        </is>
      </c>
      <c r="O32" t="b">
        <v>1</v>
      </c>
      <c r="P32" t="inlineStr">
        <is>
          <t>FFY2025</t>
        </is>
      </c>
      <c r="Q32" t="inlineStr">
        <is>
          <t>AC Authorization</t>
        </is>
      </c>
    </row>
    <row r="33">
      <c r="A33" t="inlineStr">
        <is>
          <t>02-24-0003</t>
        </is>
      </c>
      <c r="B33" t="inlineStr">
        <is>
          <t>Shermer Road from East Lake Avenue to Golf Road</t>
        </is>
      </c>
      <c r="C33" t="inlineStr">
        <is>
          <t>Hot-mix asphalt surface removal and resurfacing of Shermer Road from East Lake Avenue to Golf Road. Curb and gutter removal and replacement and pavement patching as needed along the full length of the improvement. ADA improvements will be completed as needed. Existing bike lanes will be re-striped as part of the improvements.</t>
        </is>
      </c>
      <c r="D33" t="inlineStr">
        <is>
          <t>Road Maintenance</t>
        </is>
      </c>
      <c r="E33" t="inlineStr">
        <is>
          <t>[A-PMRK] Safety - Pavement Marking, [E-ADAIMP] Improve ADA Infrastructure (Roadway), [E-ADAMAINT] Maintain/Repair ADA Infrastructure (Roadway), [E-BIKEIMP] Improve Bicycle Facility, [E- BIKEMAINT] Maintain Bicycle Facility, [H-C/G] Highway/Road - Curb And Gutter, [H-PATCH] Highway/Road - Pavement Patching, [H-RS] Highway/Road - Resurface (with No Lane Widening)</t>
        </is>
      </c>
      <c r="F33" t="inlineStr">
        <is>
          <t>North Shore Council</t>
        </is>
      </c>
      <c r="G33" t="inlineStr">
        <is>
          <t>Cook</t>
        </is>
      </c>
      <c r="H33" t="inlineStr">
        <is>
          <t>Glenview</t>
        </is>
      </c>
      <c r="I33" t="inlineStr">
        <is>
          <t>DD5S371</t>
        </is>
      </c>
      <c r="J33" t="inlineStr">
        <is>
          <t>STP - Locally Prgmd</t>
        </is>
      </c>
      <c r="K33" s="5" t="n">
        <v>233200</v>
      </c>
      <c r="L33" t="inlineStr">
        <is>
          <t>Yes</t>
        </is>
      </c>
      <c r="M33" t="inlineStr">
        <is>
          <t>Yes</t>
        </is>
      </c>
      <c r="N33" t="inlineStr">
        <is>
          <t>Yes</t>
        </is>
      </c>
      <c r="O33" t="b">
        <v>1</v>
      </c>
      <c r="P33" t="inlineStr">
        <is>
          <t>FFY2025</t>
        </is>
      </c>
      <c r="Q33" t="inlineStr">
        <is>
          <t>AC Authorization</t>
        </is>
      </c>
    </row>
    <row r="34">
      <c r="A34" t="inlineStr">
        <is>
          <t>02-24-0009</t>
        </is>
      </c>
      <c r="B34" t="inlineStr">
        <is>
          <t>Devon Ave - Kilpatrick Ave to US 41 (Lincoln Ave)</t>
        </is>
      </c>
      <c r="C34" t="inlineStr">
        <is>
          <t>Designed Overlay, ADA Improvements</t>
        </is>
      </c>
      <c r="D34" t="inlineStr">
        <is>
          <t>Road Maintenance</t>
        </is>
      </c>
      <c r="E34" t="inlineStr">
        <is>
          <t>[E-ADAMAINT] Maintain/Repair ADA Infrastructure (Roadway), [H-RS] Highway/Road - Resurface (with No Lane Widening)</t>
        </is>
      </c>
      <c r="F34" t="inlineStr">
        <is>
          <t>IDOT D1 Hwys</t>
        </is>
      </c>
      <c r="G34" t="inlineStr">
        <is>
          <t>Cook</t>
        </is>
      </c>
      <c r="H34" t="inlineStr">
        <is>
          <t>Lincolnwood</t>
        </is>
      </c>
      <c r="I34" t="inlineStr">
        <is>
          <t>AZ3V926</t>
        </is>
      </c>
      <c r="J34" t="inlineStr">
        <is>
          <t>STP - State Prgmd Urban</t>
        </is>
      </c>
      <c r="K34" s="5" t="n">
        <v>3040000</v>
      </c>
      <c r="L34" t="inlineStr">
        <is>
          <t>Yes</t>
        </is>
      </c>
      <c r="M34" t="inlineStr">
        <is>
          <t>Yes</t>
        </is>
      </c>
      <c r="N34" t="inlineStr">
        <is>
          <t>No</t>
        </is>
      </c>
      <c r="O34" t="b">
        <v>1</v>
      </c>
      <c r="P34" t="inlineStr">
        <is>
          <t>FFY2025</t>
        </is>
      </c>
      <c r="Q34" t="inlineStr">
        <is>
          <t>AC Authorization</t>
        </is>
      </c>
    </row>
    <row r="35">
      <c r="A35" t="inlineStr">
        <is>
          <t>02-25-0004</t>
        </is>
      </c>
      <c r="B35" t="inlineStr">
        <is>
          <t>Glenview Road Shermer to Milwaukee</t>
        </is>
      </c>
      <c r="C35" t="inlineStr">
        <is>
          <t>Pavement surface removal and HMA resurfacing with ADA improvements and curb and gutter spot repairs.</t>
        </is>
      </c>
      <c r="D35" t="inlineStr">
        <is>
          <t>Road Maintenance</t>
        </is>
      </c>
      <c r="E35" t="inlineStr">
        <is>
          <t>[A-PMRK] Safety - Pavement Marking, [E-ADAMAINT] Maintain/Repair ADA Infrastructure (Roadway), [H-C/G] Highway/Road - Curb And Gutter, [H- PATCH] Highway/Road - Pavement Patching, [H-RS] Highway/Road - Resurface (with No Lane Widening)</t>
        </is>
      </c>
      <c r="F35" t="inlineStr">
        <is>
          <t>North Shore Council</t>
        </is>
      </c>
      <c r="G35" t="inlineStr">
        <is>
          <t>Cook</t>
        </is>
      </c>
      <c r="H35" t="inlineStr">
        <is>
          <t>Glenview</t>
        </is>
      </c>
      <c r="I35" t="inlineStr">
        <is>
          <t>RS2J351</t>
        </is>
      </c>
      <c r="J35" t="inlineStr">
        <is>
          <t>STP - Locally Prgmd</t>
        </is>
      </c>
      <c r="K35" s="5" t="n">
        <v>2173600</v>
      </c>
      <c r="L35" t="inlineStr">
        <is>
          <t>Yes</t>
        </is>
      </c>
      <c r="M35" t="inlineStr">
        <is>
          <t>Yes</t>
        </is>
      </c>
      <c r="N35" t="inlineStr">
        <is>
          <t>Yes</t>
        </is>
      </c>
      <c r="O35" t="b">
        <v>1</v>
      </c>
      <c r="P35" t="inlineStr">
        <is>
          <t>FFY2025</t>
        </is>
      </c>
      <c r="Q35" t="inlineStr">
        <is>
          <t>AC Authorization</t>
        </is>
      </c>
    </row>
    <row r="36">
      <c r="A36" t="inlineStr">
        <is>
          <t>02-25-0005</t>
        </is>
      </c>
      <c r="B36" t="inlineStr">
        <is>
          <t>Beckwith Road from Shermer Road to Austin Avenue</t>
        </is>
      </c>
      <c r="C36" t="inlineStr">
        <is>
          <t>Mill and resurface 3-3/4 inches; repair curb and gutter; repair or adjust utility structures; hot-mix asphalt patching; install pavement marking; and incidental restoration.</t>
        </is>
      </c>
      <c r="D36" t="inlineStr">
        <is>
          <t>Road Maintenance</t>
        </is>
      </c>
      <c r="E36" t="inlineStr">
        <is>
          <t>[H-C/G] Highway/Road - Curb And Gutter, [H-PATCH] Highway/Road - Pavement Patching, [H-RS] Highway/Road - Resurface (with No Lane Widening)</t>
        </is>
      </c>
      <c r="F36" t="inlineStr">
        <is>
          <t>North Shore Council</t>
        </is>
      </c>
      <c r="G36" t="inlineStr">
        <is>
          <t>Cook</t>
        </is>
      </c>
      <c r="H36" t="inlineStr">
        <is>
          <t>Morton Grove</t>
        </is>
      </c>
      <c r="I36" t="inlineStr">
        <is>
          <t>-</t>
        </is>
      </c>
      <c r="J36" t="inlineStr">
        <is>
          <t>STP - Locally Prgmd</t>
        </is>
      </c>
      <c r="K36" s="5" t="n">
        <v>1755525</v>
      </c>
      <c r="L36" t="inlineStr">
        <is>
          <t>No</t>
        </is>
      </c>
      <c r="M36" t="inlineStr">
        <is>
          <t>No</t>
        </is>
      </c>
      <c r="N36" t="inlineStr">
        <is>
          <t>No</t>
        </is>
      </c>
      <c r="O36" t="b">
        <v>1</v>
      </c>
      <c r="P36" t="inlineStr">
        <is>
          <t>FFY2025</t>
        </is>
      </c>
      <c r="Q36" t="inlineStr">
        <is>
          <t>AC Authorization</t>
        </is>
      </c>
    </row>
    <row r="37">
      <c r="A37" t="inlineStr">
        <is>
          <t>02-25-0006</t>
        </is>
      </c>
      <c r="B37" t="inlineStr">
        <is>
          <t>Gross Point Road from Oakton Street to Main Street</t>
        </is>
      </c>
      <c r="C37" t="inlineStr">
        <is>
          <t>Mill and resurface 3-3/4 inches; repair curb and gutter; repair or adjust utility structures; patch hot-mix asphalt base; install pavement marking; and incidental restoration.</t>
        </is>
      </c>
      <c r="D37" t="inlineStr">
        <is>
          <t>Road Maintenance</t>
        </is>
      </c>
      <c r="E37" t="inlineStr">
        <is>
          <t>[H-C/G] Highway/Road - Curb And Gutter, [H-PATCH] Highway/Road - Pavement Patching, [H-RS] Highway/Road - Resurface (with No Lane Widening)</t>
        </is>
      </c>
      <c r="F37" t="inlineStr">
        <is>
          <t>North Shore Council</t>
        </is>
      </c>
      <c r="G37" t="inlineStr">
        <is>
          <t>Cook</t>
        </is>
      </c>
      <c r="H37" t="inlineStr">
        <is>
          <t>Morton Grove</t>
        </is>
      </c>
      <c r="I37" t="inlineStr">
        <is>
          <t>NHVQ365</t>
        </is>
      </c>
      <c r="J37" t="inlineStr">
        <is>
          <t>STP - Locally Prgmd</t>
        </is>
      </c>
      <c r="K37" s="5" t="n">
        <v>906558</v>
      </c>
      <c r="L37" t="inlineStr">
        <is>
          <t>No</t>
        </is>
      </c>
      <c r="M37" t="inlineStr">
        <is>
          <t>No</t>
        </is>
      </c>
      <c r="N37" t="inlineStr">
        <is>
          <t>No</t>
        </is>
      </c>
      <c r="O37" t="b">
        <v>1</v>
      </c>
      <c r="P37" t="inlineStr">
        <is>
          <t>FFY2025</t>
        </is>
      </c>
      <c r="Q37" t="inlineStr">
        <is>
          <t>AC Authorization</t>
        </is>
      </c>
    </row>
    <row r="38">
      <c r="A38" t="inlineStr">
        <is>
          <t>02-25-0007</t>
        </is>
      </c>
      <c r="B38" t="inlineStr">
        <is>
          <t>Central Avenue from Dempster Street to Golf Road</t>
        </is>
      </c>
      <c r="C38" t="inlineStr">
        <is>
          <t>The proposed scope of work is to be completed from Greenwood Avenue to Golf Road. Mill and resurface 3 inches; repair curb and gutter; repair or adjust utility structures; patch hot-mix asphalt base; install pavement marking; and incidental restoration.</t>
        </is>
      </c>
      <c r="D38" t="inlineStr">
        <is>
          <t>Road Maintenance</t>
        </is>
      </c>
      <c r="E38" t="inlineStr">
        <is>
          <t>[H-C/G] Highway/Road - Curb And Gutter, [H-PATCH] Highway/Road - Pavement Patching, [H-RS] Highway/Road - Resurface (with No Lane Widening)</t>
        </is>
      </c>
      <c r="F38" t="inlineStr">
        <is>
          <t>North Shore Council</t>
        </is>
      </c>
      <c r="G38" t="inlineStr">
        <is>
          <t>Cook</t>
        </is>
      </c>
      <c r="H38" t="inlineStr">
        <is>
          <t>Morton Grove</t>
        </is>
      </c>
      <c r="I38" t="inlineStr">
        <is>
          <t>83E5067</t>
        </is>
      </c>
      <c r="J38" t="inlineStr">
        <is>
          <t>STP - Locally Prgmd</t>
        </is>
      </c>
      <c r="K38" s="5" t="n">
        <v>498556</v>
      </c>
      <c r="L38" t="inlineStr">
        <is>
          <t>No</t>
        </is>
      </c>
      <c r="M38" t="inlineStr">
        <is>
          <t>No</t>
        </is>
      </c>
      <c r="N38" t="inlineStr">
        <is>
          <t>No</t>
        </is>
      </c>
      <c r="O38" t="b">
        <v>1</v>
      </c>
      <c r="P38" t="inlineStr">
        <is>
          <t>FFY2025</t>
        </is>
      </c>
      <c r="Q38" t="inlineStr">
        <is>
          <t>AC Authorization</t>
        </is>
      </c>
    </row>
    <row r="39">
      <c r="A39" t="inlineStr">
        <is>
          <t>02-25-0007</t>
        </is>
      </c>
      <c r="B39" t="inlineStr">
        <is>
          <t>Central Avenue from Dempster Street to Golf Road</t>
        </is>
      </c>
      <c r="C39" t="inlineStr">
        <is>
          <t>The proposed scope of work is to be completed from Greenwood Avenue to Golf Road. Mill and resurface 3 inches; repair curb and gutter; repair or adjust utility structures; patch hot-mix asphalt base; install pavement marking; and incidental restoration.</t>
        </is>
      </c>
      <c r="D39" t="inlineStr">
        <is>
          <t>Road Maintenance</t>
        </is>
      </c>
      <c r="E39" t="inlineStr">
        <is>
          <t>[H-C/G] Highway/Road - Curb And Gutter, [H-PATCH] Highway/Road - Pavement Patching, [H-RS] Highway/Road - Resurface (with No Lane Widening)</t>
        </is>
      </c>
      <c r="F39" t="inlineStr">
        <is>
          <t>North Shore Council</t>
        </is>
      </c>
      <c r="G39" t="inlineStr">
        <is>
          <t>Cook</t>
        </is>
      </c>
      <c r="H39" t="inlineStr">
        <is>
          <t>Morton Grove</t>
        </is>
      </c>
      <c r="I39" t="inlineStr">
        <is>
          <t>83E5067</t>
        </is>
      </c>
      <c r="J39" t="inlineStr">
        <is>
          <t>STP - Locally Prgmd</t>
        </is>
      </c>
      <c r="K39" s="5" t="n">
        <v>725444</v>
      </c>
      <c r="L39" t="inlineStr">
        <is>
          <t>No</t>
        </is>
      </c>
      <c r="M39" t="inlineStr">
        <is>
          <t>No</t>
        </is>
      </c>
      <c r="N39" t="inlineStr">
        <is>
          <t>No</t>
        </is>
      </c>
      <c r="O39" t="b">
        <v>1</v>
      </c>
      <c r="P39" t="inlineStr">
        <is>
          <t>FFY2025</t>
        </is>
      </c>
      <c r="Q39" t="inlineStr">
        <is>
          <t>AC Authorization</t>
        </is>
      </c>
    </row>
    <row r="40">
      <c r="A40" t="inlineStr">
        <is>
          <t>02-25-0008</t>
        </is>
      </c>
      <c r="B40" t="inlineStr">
        <is>
          <t>Shermer Road from Harlem Avenue to Golf Road</t>
        </is>
      </c>
      <c r="C40" t="inlineStr">
        <is>
          <t>Crash analysis at major intersections; evaluate intersection of Beckwith Road for need for a variety of safety countermeasures; construct intersection improvements as needed; mill and resurface 3 inches; repair curb and gutter; repair or adjust utility structures; patch hot-mix asphalt base; install pavement marking; and incidental restoration.</t>
        </is>
      </c>
      <c r="D40" t="inlineStr">
        <is>
          <t>Road Maintenance</t>
        </is>
      </c>
      <c r="E40" t="inlineStr">
        <is>
          <t>[A-PMRK] Safety - Pavement Marking, [H-C/G] Highway/Road - Curb And Gutter, [H-INTIMP] Highway/Road - Intersection Improvement, [H-PATCH] Highway/Road - Pavement Patching, [H-RS] Highway/Road - Resurface (with No Lane Widening)</t>
        </is>
      </c>
      <c r="F40" t="inlineStr">
        <is>
          <t>North Shore Council</t>
        </is>
      </c>
      <c r="G40" t="inlineStr">
        <is>
          <t>Cook</t>
        </is>
      </c>
      <c r="H40" t="inlineStr">
        <is>
          <t>Morton Grove</t>
        </is>
      </c>
      <c r="I40" t="inlineStr">
        <is>
          <t>-</t>
        </is>
      </c>
      <c r="J40" t="inlineStr">
        <is>
          <t>STP - Locally Prgmd</t>
        </is>
      </c>
      <c r="K40" s="5" t="n">
        <v>908838</v>
      </c>
      <c r="L40" t="inlineStr">
        <is>
          <t>No</t>
        </is>
      </c>
      <c r="M40" t="inlineStr">
        <is>
          <t>No</t>
        </is>
      </c>
      <c r="N40" t="inlineStr">
        <is>
          <t>Yes</t>
        </is>
      </c>
      <c r="O40" t="b">
        <v>1</v>
      </c>
      <c r="P40" t="inlineStr">
        <is>
          <t>FFY2025</t>
        </is>
      </c>
      <c r="Q40" t="inlineStr">
        <is>
          <t>AC Authorization</t>
        </is>
      </c>
    </row>
    <row r="41">
      <c r="A41" t="inlineStr">
        <is>
          <t>02-97-0006</t>
        </is>
      </c>
      <c r="B41" t="inlineStr">
        <is>
          <t>Old Orchard Rd from Woods Drive to Skokie Blvd (HPP1809)</t>
        </is>
      </c>
      <c r="C41" t="inlineStr">
        <is>
          <t>Old Orchard Rd from Woods Drive to Skokie Blvd (HPP1809)</t>
        </is>
      </c>
      <c r="D41" t="inlineStr">
        <is>
          <t>Road Modernization</t>
        </is>
      </c>
      <c r="E41" t="inlineStr">
        <is>
          <t>[H-INTIMP] Highway/Road - Intersection Improvement, [H-RCNST] Highway/Road - Reconst with Change in Use or Width Of Lane, [S-TIM] Signals - Interconnects And Timing</t>
        </is>
      </c>
      <c r="F41" t="inlineStr">
        <is>
          <t>Cook Co DOTH</t>
        </is>
      </c>
      <c r="G41" t="inlineStr">
        <is>
          <t>Cook</t>
        </is>
      </c>
      <c r="H41" t="inlineStr">
        <is>
          <t>Skokie</t>
        </is>
      </c>
      <c r="I41" t="inlineStr">
        <is>
          <t>HTBZ252</t>
        </is>
      </c>
      <c r="J41" t="inlineStr">
        <is>
          <t>CMAQ</t>
        </is>
      </c>
      <c r="K41" s="5" t="n">
        <v>2624606</v>
      </c>
      <c r="L41" t="inlineStr">
        <is>
          <t>No</t>
        </is>
      </c>
      <c r="M41" t="inlineStr">
        <is>
          <t>No</t>
        </is>
      </c>
      <c r="N41" t="inlineStr">
        <is>
          <t>No</t>
        </is>
      </c>
      <c r="O41" t="b">
        <v>1</v>
      </c>
      <c r="P41" t="inlineStr">
        <is>
          <t>FFY2025</t>
        </is>
      </c>
      <c r="Q41" t="inlineStr">
        <is>
          <t>AC Authorization</t>
        </is>
      </c>
    </row>
    <row r="42">
      <c r="A42" t="inlineStr">
        <is>
          <t>02-97-0006</t>
        </is>
      </c>
      <c r="B42" t="inlineStr">
        <is>
          <t>Old Orchard Rd from Woods Drive to Skokie Blvd (HPP1809)</t>
        </is>
      </c>
      <c r="C42" t="inlineStr">
        <is>
          <t>Old Orchard Rd from Woods Drive to Skokie Blvd (HPP1809)</t>
        </is>
      </c>
      <c r="D42" t="inlineStr">
        <is>
          <t>Road Modernization</t>
        </is>
      </c>
      <c r="E42" t="inlineStr">
        <is>
          <t>[H-INTIMP] Highway/Road - Intersection Improvement, [H-RCNST] Highway/Road - Reconst with Change in Use or Width Of Lane, [S-TIM] Signals - Interconnects And Timing</t>
        </is>
      </c>
      <c r="F42" t="inlineStr">
        <is>
          <t>Cook Co DOTH</t>
        </is>
      </c>
      <c r="G42" t="inlineStr">
        <is>
          <t>Cook</t>
        </is>
      </c>
      <c r="H42" t="inlineStr">
        <is>
          <t>Skokie</t>
        </is>
      </c>
      <c r="I42" t="inlineStr">
        <is>
          <t>HTBZ252</t>
        </is>
      </c>
      <c r="J42" t="inlineStr">
        <is>
          <t>PROTECT (Discretionary)</t>
        </is>
      </c>
      <c r="K42" s="5" t="n">
        <v>2797889</v>
      </c>
      <c r="L42" t="inlineStr">
        <is>
          <t>No</t>
        </is>
      </c>
      <c r="M42" t="inlineStr">
        <is>
          <t>No</t>
        </is>
      </c>
      <c r="N42" t="inlineStr">
        <is>
          <t>No</t>
        </is>
      </c>
      <c r="O42" t="b">
        <v>1</v>
      </c>
      <c r="P42" t="inlineStr">
        <is>
          <t>FFY2025</t>
        </is>
      </c>
      <c r="Q42" t="inlineStr">
        <is>
          <t>AC Authorization</t>
        </is>
      </c>
    </row>
    <row r="43">
      <c r="A43" t="inlineStr">
        <is>
          <t>03-06-0006</t>
        </is>
      </c>
      <c r="B43" t="inlineStr">
        <is>
          <t>IL 62 Algonquin Rd at New Wilke Rd</t>
        </is>
      </c>
      <c r="C43" t="inlineStr">
        <is>
          <t>Reconstruction of IL 62 @ New Wilke intersection, lengthening of left turn storage bays, addition of westbound right turn lane, possible addition of eastbound left turn lane, traffic signal modernization including pedestrian countdown timers, addition of shared use path on east side of New Wilke.</t>
        </is>
      </c>
      <c r="D43" t="inlineStr">
        <is>
          <t>Intersection/Interchange Improvements</t>
        </is>
      </c>
      <c r="E43" t="inlineStr">
        <is>
          <t>[E-ADAIMP] Improve ADA Infrastructure (Roadway), [E-PEDIMP] Improve Pedestrian Facility, [E-SharedNew] New Shared Use Path, [H-INTIMP] Highway/Road - Intersection Improvement, [H-INTRC] Highway/Road - Intersection Reconstruction, [S-MOD] Signals - Modernization, [S-TIM] Signals - Interconnects And Timing</t>
        </is>
      </c>
      <c r="F43" t="inlineStr">
        <is>
          <t>Northwest Council</t>
        </is>
      </c>
      <c r="G43" t="inlineStr">
        <is>
          <t>Cook</t>
        </is>
      </c>
      <c r="H43" t="inlineStr">
        <is>
          <t>Arlington Heights, Rolling Meadows</t>
        </is>
      </c>
      <c r="I43" t="inlineStr">
        <is>
          <t>PD79015</t>
        </is>
      </c>
      <c r="J43" t="inlineStr">
        <is>
          <t>STP - Locally Prgmd</t>
        </is>
      </c>
      <c r="K43" s="5" t="n">
        <v>2956000</v>
      </c>
      <c r="L43" t="inlineStr">
        <is>
          <t>Yes</t>
        </is>
      </c>
      <c r="M43" t="inlineStr">
        <is>
          <t>Yes</t>
        </is>
      </c>
      <c r="N43" t="inlineStr">
        <is>
          <t>No</t>
        </is>
      </c>
      <c r="O43" t="b">
        <v>1</v>
      </c>
      <c r="P43" t="inlineStr">
        <is>
          <t>FFY2025</t>
        </is>
      </c>
      <c r="Q43" t="inlineStr">
        <is>
          <t>AC Authorization</t>
        </is>
      </c>
    </row>
    <row r="44">
      <c r="A44" t="inlineStr">
        <is>
          <t>03-19-0002</t>
        </is>
      </c>
      <c r="B44" t="inlineStr">
        <is>
          <t>Ill 53 - Lake-Cook Rd to Ill 62 (Algonquin Rd) and S of US 12 (Rand Rd) to Ill 72 (Higgins Rd), At I-90 (Jane Addams Memorial Tollway), Ill 58 (Golf Rd) &amp; Woodfield Rd</t>
        </is>
      </c>
      <c r="C44" t="inlineStr">
        <is>
          <t>Bridge New Deck, Bridge Superstructure Replace, Retaining Wall, Shoulder Reconstruction, Miscellaneous, Bridge Superstructure Rehab, Bridge Repair, Bridge Replacement, Standard Overlay, Traffic Signal Modernization, Lighting, Bridge Joint Replace/Repair, Bridge Deck Overlay, Smart Overlay</t>
        </is>
      </c>
      <c r="D44" t="inlineStr">
        <is>
          <t>Bridge Repair, Rehab, or Replace</t>
        </is>
      </c>
      <c r="E44" t="inlineStr">
        <is>
          <t>[A-BAR] Safety - Barriers, [A-LTS] Safety - Lighting, [A-SHDR] Safety - Shoulder Improvements, [B-OVR] Bridge Deck - Overlay, [B-PNT] Bridge/Structure - Paint, [B-REPAIR] Bridge/Structure - Reconst/Rehab No Chng in #, Wdth, or Lane, [B-REPLACE] Bridge/Structure - Replace, [B-SUP] Bridge Superstructure - Repair/Rehab, [E-ADAMAINT] Maintain/Repair ADA Infrastructure (Roadway), [H-RS] Highway/Road - Resurface (with No Lane Widening), [S-MOD] Signals - Modernization, [Z-OTHEX] Miscellaneous - Exempt Projects</t>
        </is>
      </c>
      <c r="F44" t="inlineStr">
        <is>
          <t>IDOT D1 Hwys</t>
        </is>
      </c>
      <c r="G44" t="inlineStr">
        <is>
          <t>Cook</t>
        </is>
      </c>
      <c r="H44" t="inlineStr">
        <is>
          <t>Arlington Heights, Palatine, Rolling Meadows</t>
        </is>
      </c>
      <c r="I44" t="inlineStr">
        <is>
          <t>Z450650</t>
        </is>
      </c>
      <c r="J44" t="inlineStr">
        <is>
          <t>Hwy Safety Improve Pgm</t>
        </is>
      </c>
      <c r="K44" s="5" t="n">
        <v>6875000</v>
      </c>
      <c r="L44" t="inlineStr">
        <is>
          <t>Yes</t>
        </is>
      </c>
      <c r="M44" t="inlineStr">
        <is>
          <t>Yes</t>
        </is>
      </c>
      <c r="N44" t="inlineStr">
        <is>
          <t>Yes</t>
        </is>
      </c>
      <c r="O44" t="b">
        <v>1</v>
      </c>
      <c r="P44" t="inlineStr">
        <is>
          <t>FFY2025</t>
        </is>
      </c>
      <c r="Q44" t="inlineStr">
        <is>
          <t>AC Authorization</t>
        </is>
      </c>
    </row>
    <row r="45">
      <c r="A45" t="inlineStr">
        <is>
          <t>03-19-0022</t>
        </is>
      </c>
      <c r="B45" t="inlineStr">
        <is>
          <t>Golf Road and Meacham Road Multiuse Path</t>
        </is>
      </c>
      <c r="C45" t="inlineStr">
        <is>
          <t>New multiuse path along Golf Road and Meacham Road, ADA improvements, pedestrian signal improvements.</t>
        </is>
      </c>
      <c r="D45" t="inlineStr">
        <is>
          <t>Bicycle &amp; Pedestrian</t>
        </is>
      </c>
      <c r="E45" t="inlineStr">
        <is>
          <t>[E-ADAIMP] Improve ADA Infrastructure (Roadway), [E-SharedNew] New Shared Use Path, [S-MOD] Signals - Modernization</t>
        </is>
      </c>
      <c r="F45" t="inlineStr">
        <is>
          <t>Northwest Council</t>
        </is>
      </c>
      <c r="G45" t="inlineStr">
        <is>
          <t>Cook</t>
        </is>
      </c>
      <c r="H45" t="inlineStr">
        <is>
          <t>Schaumburg</t>
        </is>
      </c>
      <c r="I45" t="inlineStr">
        <is>
          <t>VBND841</t>
        </is>
      </c>
      <c r="J45" t="inlineStr">
        <is>
          <t>TAP - Locally Prgmd</t>
        </is>
      </c>
      <c r="K45" s="5" t="n">
        <v>1120000</v>
      </c>
      <c r="L45" t="inlineStr">
        <is>
          <t>Yes</t>
        </is>
      </c>
      <c r="M45" t="inlineStr">
        <is>
          <t>Yes</t>
        </is>
      </c>
      <c r="N45" t="inlineStr">
        <is>
          <t>No</t>
        </is>
      </c>
      <c r="O45" t="b">
        <v>1</v>
      </c>
      <c r="P45" t="inlineStr">
        <is>
          <t>FFY2025</t>
        </is>
      </c>
      <c r="Q45" t="inlineStr">
        <is>
          <t>AC Authorization</t>
        </is>
      </c>
    </row>
    <row r="46">
      <c r="A46" t="inlineStr">
        <is>
          <t>03-20-0037</t>
        </is>
      </c>
      <c r="B46" t="inlineStr">
        <is>
          <t>Busse Rd-Landmeier Rd Intersection Resurfacing</t>
        </is>
      </c>
      <c r="C46" t="inlineStr">
        <is>
          <t>Resurfacing and restriping of the Busse Rd (IL 83) @ Landmeier Rd intersection from 420 ft west of Busse Rd to 500 ft east of Busse Rd. Resurfacing omission for the intersection of Busse RdFull depth patching and concrete curb and gutter repairs where necessary, ADA improvements and accessible push button signals. New sidewalk segment on south side of Landmeier.</t>
        </is>
      </c>
      <c r="D46" t="inlineStr">
        <is>
          <t>Road Maintenance</t>
        </is>
      </c>
      <c r="E46" t="inlineStr">
        <is>
          <t>[A-PMRK] Safety - Pavement Marking, [E-ADAIMP] Improve ADA Infrastructure (Roadway), [E-PEDNEW] New Pedestrian Facility, [H-C/G] Highway/Road - Curb And Gutter, [H-RS] Highway/Road - Resurface (with No Lane Widening)</t>
        </is>
      </c>
      <c r="F46" t="inlineStr">
        <is>
          <t>Northwest Council</t>
        </is>
      </c>
      <c r="G46" t="inlineStr">
        <is>
          <t>Cook</t>
        </is>
      </c>
      <c r="H46" t="inlineStr">
        <is>
          <t>Elk Grove Village</t>
        </is>
      </c>
      <c r="I46" t="inlineStr">
        <is>
          <t>RTQ0408</t>
        </is>
      </c>
      <c r="J46" t="inlineStr">
        <is>
          <t>STP - Locally Prgmd</t>
        </is>
      </c>
      <c r="K46" s="5" t="n">
        <v>1124831</v>
      </c>
      <c r="L46" t="inlineStr">
        <is>
          <t>Yes</t>
        </is>
      </c>
      <c r="M46" t="inlineStr">
        <is>
          <t>Yes</t>
        </is>
      </c>
      <c r="N46" t="inlineStr">
        <is>
          <t>Yes</t>
        </is>
      </c>
      <c r="O46" t="b">
        <v>1</v>
      </c>
      <c r="P46" t="inlineStr">
        <is>
          <t>FFY2025</t>
        </is>
      </c>
      <c r="Q46" t="inlineStr">
        <is>
          <t>AC Authorization</t>
        </is>
      </c>
    </row>
    <row r="47">
      <c r="A47" t="inlineStr">
        <is>
          <t>03-20-0040</t>
        </is>
      </c>
      <c r="B47" t="inlineStr">
        <is>
          <t>Tonne Rd from Elk Grove Blvd to Landmeier Rd</t>
        </is>
      </c>
      <c r="C47" t="inlineStr">
        <is>
          <t>Reconstruction of Tonne Rd from Elk Grove Blvd/Touhy Ave to Landmeier Rd, re-evaluation of access between northbound and southbound lanes, construction of a roundabout at Elk Grove Blvd, realignment of receiving lanes for southbound traffic at Landmeier intersection, signal modernization, construction of a shared use path on the west side of the segment, replacement of all existing culverts, clearing of ditch, ADA improvements, replacement of existing sidewalk</t>
        </is>
      </c>
      <c r="D47" t="inlineStr">
        <is>
          <t>Road Modernization</t>
        </is>
      </c>
      <c r="E47" t="inlineStr">
        <is>
          <t>[A-PMRK] Safety - Pavement Marking, [E-ADAIMP] Improve ADA Infrastructure (Roadway), [E-ADANEW] New ADA Infrastructure (Roadway), [E-PEDIMP] Improve Pedestrian Facility, [E-SharedNew] New Shared Use Path, [H-C/G] Highway/Road - Curb And Gutter, [H-CLVT] Highway/Road - Repair/Replace Culvert, [H-INTIMP] Highway/Road - Intersection Improvement, [H-RAB] Highway/Road - Roundabout, [H- RCINKND] Highway/Road - Reconstruct in Kind, [S-MOD] Signals - Modernization</t>
        </is>
      </c>
      <c r="F47" t="inlineStr">
        <is>
          <t>Northwest Council</t>
        </is>
      </c>
      <c r="G47" t="inlineStr">
        <is>
          <t>Cook</t>
        </is>
      </c>
      <c r="H47" t="inlineStr">
        <is>
          <t>Elk Grove Village</t>
        </is>
      </c>
      <c r="I47" t="inlineStr">
        <is>
          <t>3IJV695</t>
        </is>
      </c>
      <c r="J47" t="inlineStr">
        <is>
          <t>Community Project Funding</t>
        </is>
      </c>
      <c r="K47" s="5" t="n">
        <v>500000</v>
      </c>
      <c r="L47" t="inlineStr">
        <is>
          <t>Yes</t>
        </is>
      </c>
      <c r="M47" t="inlineStr">
        <is>
          <t>Yes</t>
        </is>
      </c>
      <c r="N47" t="inlineStr">
        <is>
          <t>Yes</t>
        </is>
      </c>
      <c r="O47" t="b">
        <v>1</v>
      </c>
      <c r="P47" t="inlineStr">
        <is>
          <t>FFY2025</t>
        </is>
      </c>
      <c r="Q47" t="inlineStr">
        <is>
          <t>AC Authorization</t>
        </is>
      </c>
    </row>
    <row r="48">
      <c r="A48" t="inlineStr">
        <is>
          <t>03-20-0040</t>
        </is>
      </c>
      <c r="B48" t="inlineStr">
        <is>
          <t>Tonne Rd from Elk Grove Blvd to Landmeier Rd</t>
        </is>
      </c>
      <c r="C48" t="inlineStr">
        <is>
          <t>Reconstruction of Tonne Rd from Elk Grove Blvd/Touhy Ave to Landmeier Rd, re-evaluation of access between northbound and southbound lanes, construction of a roundabout at Elk Grove Blvd, realignment of receiving lanes for southbound traffic at Landmeier intersection, signal modernization, construction of a shared use path on the west side of the segment, replacement of all existing culverts, clearing of ditch, ADA improvements, replacement of existing sidewalk</t>
        </is>
      </c>
      <c r="D48" t="inlineStr">
        <is>
          <t>Road Modernization</t>
        </is>
      </c>
      <c r="E48" t="inlineStr">
        <is>
          <t>[A-PMRK] Safety - Pavement Marking, [E-ADAIMP] Improve ADA Infrastructure (Roadway), [E-ADANEW] New ADA Infrastructure (Roadway), [E-PEDIMP] Improve Pedestrian Facility, [E-SharedNew] New Shared Use Path, [H-C/G] Highway/Road - Curb And Gutter, [H-CLVT] Highway/Road - Repair/Replace Culvert, [H-INTIMP] Highway/Road - Intersection Improvement, [H-RAB] Highway/Road - Roundabout, [H- RCINKND] Highway/Road - Reconstruct in Kind, [S-MOD] Signals - Modernization</t>
        </is>
      </c>
      <c r="F48" t="inlineStr">
        <is>
          <t>Northwest Council</t>
        </is>
      </c>
      <c r="G48" t="inlineStr">
        <is>
          <t>Cook</t>
        </is>
      </c>
      <c r="H48" t="inlineStr">
        <is>
          <t>Elk Grove Village</t>
        </is>
      </c>
      <c r="I48" t="inlineStr">
        <is>
          <t>JR0B740</t>
        </is>
      </c>
      <c r="J48" t="inlineStr">
        <is>
          <t>STP - Locally Prgmd</t>
        </is>
      </c>
      <c r="K48" s="5" t="n">
        <v>700671</v>
      </c>
      <c r="L48" t="inlineStr">
        <is>
          <t>Yes</t>
        </is>
      </c>
      <c r="M48" t="inlineStr">
        <is>
          <t>Yes</t>
        </is>
      </c>
      <c r="N48" t="inlineStr">
        <is>
          <t>Yes</t>
        </is>
      </c>
      <c r="O48" t="b">
        <v>1</v>
      </c>
      <c r="P48" t="inlineStr">
        <is>
          <t>FFY2025</t>
        </is>
      </c>
      <c r="Q48" t="inlineStr">
        <is>
          <t>AC Authorization</t>
        </is>
      </c>
    </row>
    <row r="49">
      <c r="A49" t="inlineStr">
        <is>
          <t>03-20-0040</t>
        </is>
      </c>
      <c r="B49" t="inlineStr">
        <is>
          <t>Tonne Rd from Elk Grove Blvd to Landmeier Rd</t>
        </is>
      </c>
      <c r="C49" t="inlineStr">
        <is>
          <t>Reconstruction of Tonne Rd from Elk Grove Blvd/Touhy Ave to Landmeier Rd, re-evaluation of access between northbound and southbound lanes, construction of a roundabout at Elk Grove Blvd, realignment of receiving lanes for southbound traffic at Landmeier intersection, signal modernization, construction of a shared use path on the west side of the segment, replacement of all existing culverts, clearing of ditch, ADA improvements, replacement of existing sidewalk</t>
        </is>
      </c>
      <c r="D49" t="inlineStr">
        <is>
          <t>Road Modernization</t>
        </is>
      </c>
      <c r="E49" t="inlineStr">
        <is>
          <t>[A-PMRK] Safety - Pavement Marking, [E-ADAIMP] Improve ADA Infrastructure (Roadway), [E-ADANEW] New ADA Infrastructure (Roadway), [E-PEDIMP] Improve Pedestrian Facility, [E-SharedNew] New Shared Use Path, [H-C/G] Highway/Road - Curb And Gutter, [H-CLVT] Highway/Road - Repair/Replace Culvert, [H-INTIMP] Highway/Road - Intersection Improvement, [H-RAB] Highway/Road - Roundabout, [H- RCINKND] Highway/Road - Reconstruct in Kind, [S-MOD] Signals - Modernization</t>
        </is>
      </c>
      <c r="F49" t="inlineStr">
        <is>
          <t>Northwest Council</t>
        </is>
      </c>
      <c r="G49" t="inlineStr">
        <is>
          <t>Cook</t>
        </is>
      </c>
      <c r="H49" t="inlineStr">
        <is>
          <t>Elk Grove Village</t>
        </is>
      </c>
      <c r="I49" t="inlineStr">
        <is>
          <t>JR0B740</t>
        </is>
      </c>
      <c r="J49" t="inlineStr">
        <is>
          <t>STP - Locally Prgmd</t>
        </is>
      </c>
      <c r="K49" s="5" t="n">
        <v>2799329</v>
      </c>
      <c r="L49" t="inlineStr">
        <is>
          <t>Yes</t>
        </is>
      </c>
      <c r="M49" t="inlineStr">
        <is>
          <t>Yes</t>
        </is>
      </c>
      <c r="N49" t="inlineStr">
        <is>
          <t>Yes</t>
        </is>
      </c>
      <c r="O49" t="b">
        <v>1</v>
      </c>
      <c r="P49" t="inlineStr">
        <is>
          <t>FFY2025</t>
        </is>
      </c>
      <c r="Q49" t="inlineStr">
        <is>
          <t>AC Authorization</t>
        </is>
      </c>
    </row>
    <row r="50">
      <c r="A50" t="inlineStr">
        <is>
          <t>03-20-0040</t>
        </is>
      </c>
      <c r="B50" t="inlineStr">
        <is>
          <t>Tonne Rd from Elk Grove Blvd to Landmeier Rd</t>
        </is>
      </c>
      <c r="C50" t="inlineStr">
        <is>
          <t>Reconstruction of Tonne Rd from Elk Grove Blvd/Touhy Ave to Landmeier Rd, re-evaluation of access between northbound and southbound lanes, construction of a roundabout at Elk Grove Blvd, realignment of receiving lanes for southbound traffic at Landmeier intersection, signal modernization, construction of a shared use path on the west side of the segment, replacement of all existing culverts, clearing of ditch, ADA improvements, replacement of existing sidewalk</t>
        </is>
      </c>
      <c r="D50" t="inlineStr">
        <is>
          <t>Road Modernization</t>
        </is>
      </c>
      <c r="E50" t="inlineStr">
        <is>
          <t>[A-PMRK] Safety - Pavement Marking, [E-ADAIMP] Improve ADA Infrastructure (Roadway), [E-ADANEW] New ADA Infrastructure (Roadway), [E-PEDIMP] Improve Pedestrian Facility, [E-SharedNew] New Shared Use Path, [H-C/G] Highway/Road - Curb And Gutter, [H-CLVT] Highway/Road - Repair/Replace Culvert, [H-INTIMP] Highway/Road - Intersection Improvement, [H-RAB] Highway/Road - Roundabout, [H- RCINKND] Highway/Road - Reconstruct in Kind, [S-MOD] Signals - Modernization</t>
        </is>
      </c>
      <c r="F50" t="inlineStr">
        <is>
          <t>Northwest Council</t>
        </is>
      </c>
      <c r="G50" t="inlineStr">
        <is>
          <t>Cook</t>
        </is>
      </c>
      <c r="H50" t="inlineStr">
        <is>
          <t>Elk Grove Village</t>
        </is>
      </c>
      <c r="I50" t="inlineStr">
        <is>
          <t>JR0B740</t>
        </is>
      </c>
      <c r="J50" t="inlineStr">
        <is>
          <t>STP - Locally Prgmd</t>
        </is>
      </c>
      <c r="K50" s="5" t="n">
        <v>1500000</v>
      </c>
      <c r="L50" t="inlineStr">
        <is>
          <t>Yes</t>
        </is>
      </c>
      <c r="M50" t="inlineStr">
        <is>
          <t>Yes</t>
        </is>
      </c>
      <c r="N50" t="inlineStr">
        <is>
          <t>Yes</t>
        </is>
      </c>
      <c r="O50" t="b">
        <v>1</v>
      </c>
      <c r="P50" t="inlineStr">
        <is>
          <t>FFY2025</t>
        </is>
      </c>
      <c r="Q50" t="inlineStr">
        <is>
          <t>AC Authorization</t>
        </is>
      </c>
    </row>
    <row r="51">
      <c r="A51" t="inlineStr">
        <is>
          <t>03-20-0040</t>
        </is>
      </c>
      <c r="B51" t="inlineStr">
        <is>
          <t>Tonne Rd from Elk Grove Blvd to Landmeier Rd</t>
        </is>
      </c>
      <c r="C51" t="inlineStr">
        <is>
          <t>Reconstruction of Tonne Rd from Elk Grove Blvd/Touhy Ave to Landmeier Rd, re-evaluation of access between northbound and southbound lanes, construction of a roundabout at Elk Grove Blvd, realignment of receiving lanes for southbound traffic at Landmeier intersection, signal modernization, construction of a shared use path on the west side of the segment, replacement of all existing culverts, clearing of ditch, ADA improvements, replacement of existing sidewalk</t>
        </is>
      </c>
      <c r="D51" t="inlineStr">
        <is>
          <t>Road Modernization</t>
        </is>
      </c>
      <c r="E51" t="inlineStr">
        <is>
          <t>[A-PMRK] Safety - Pavement Marking, [E-ADAIMP] Improve ADA Infrastructure (Roadway), [E-ADANEW] New ADA Infrastructure (Roadway), [E-PEDIMP] Improve Pedestrian Facility, [E-SharedNew] New Shared Use Path, [H-C/G] Highway/Road - Curb And Gutter, [H-CLVT] Highway/Road - Repair/Replace Culvert, [H-INTIMP] Highway/Road - Intersection Improvement, [H-RAB] Highway/Road - Roundabout, [H- RCINKND] Highway/Road - Reconstruct in Kind, [S-MOD] Signals - Modernization</t>
        </is>
      </c>
      <c r="F51" t="inlineStr">
        <is>
          <t>Northwest Council</t>
        </is>
      </c>
      <c r="G51" t="inlineStr">
        <is>
          <t>Cook</t>
        </is>
      </c>
      <c r="H51" t="inlineStr">
        <is>
          <t>Elk Grove Village</t>
        </is>
      </c>
      <c r="I51" t="inlineStr">
        <is>
          <t>JR0B740</t>
        </is>
      </c>
      <c r="J51" t="inlineStr">
        <is>
          <t>Hwy Safety Improve Pgm</t>
        </is>
      </c>
      <c r="K51" s="5" t="n">
        <v>1853184</v>
      </c>
      <c r="L51" t="inlineStr">
        <is>
          <t>Yes</t>
        </is>
      </c>
      <c r="M51" t="inlineStr">
        <is>
          <t>Yes</t>
        </is>
      </c>
      <c r="N51" t="inlineStr">
        <is>
          <t>Yes</t>
        </is>
      </c>
      <c r="O51" t="b">
        <v>1</v>
      </c>
      <c r="P51" t="inlineStr">
        <is>
          <t>FFY2025</t>
        </is>
      </c>
      <c r="Q51" t="inlineStr">
        <is>
          <t>AC Authorization</t>
        </is>
      </c>
    </row>
    <row r="52">
      <c r="A52" t="inlineStr">
        <is>
          <t>03-20-0041</t>
        </is>
      </c>
      <c r="B52" t="inlineStr">
        <is>
          <t>Woodfield Rd from Plum Grove Rd to Meacham Rd</t>
        </is>
      </c>
      <c r="C52" t="inlineStr">
        <is>
          <t>Roadway rehabilitation and drainage improvements, bicycle and pedestrian and ADA improvements. Intersection improvements will evaluate the needs for increased turn lane storage, modernized traffic signal equipment such as pedestrian countdowns and roadway lighting.</t>
        </is>
      </c>
      <c r="D52" t="inlineStr">
        <is>
          <t>Road Modernization</t>
        </is>
      </c>
      <c r="E52" t="inlineStr">
        <is>
          <t>[A-LTS] Safety - Lighting, [E-ADAIMP] Improve ADA Infrastructure (Roadway), [E-BIKEIMP] Improve Bicycle Facility, [E-PEDIMP] Improve Pedestrian Facility, [E-SharedMaint] Maintain Shared Path Facility, [E- SharedModern] Improve Shared Path Facility, [H-C/G] Highway/Road - Curb And Gutter, [H-INTIMP] Highway/Road - Intersection Improvement, [H-RS] Highway/Road - Resurface (with No Lane Widening), [S-MOD] Signals - Modernization</t>
        </is>
      </c>
      <c r="F52" t="inlineStr">
        <is>
          <t>Northwest Council</t>
        </is>
      </c>
      <c r="G52" t="inlineStr">
        <is>
          <t>Cook</t>
        </is>
      </c>
      <c r="H52" t="inlineStr">
        <is>
          <t>Schaumburg</t>
        </is>
      </c>
      <c r="I52" t="inlineStr">
        <is>
          <t>2AKS214</t>
        </is>
      </c>
      <c r="J52" t="inlineStr">
        <is>
          <t>STP - Locally Prgmd</t>
        </is>
      </c>
      <c r="K52" s="5" t="n">
        <v>2947707</v>
      </c>
      <c r="L52" t="inlineStr">
        <is>
          <t>Yes</t>
        </is>
      </c>
      <c r="M52" t="inlineStr">
        <is>
          <t>Yes</t>
        </is>
      </c>
      <c r="N52" t="inlineStr">
        <is>
          <t>Yes</t>
        </is>
      </c>
      <c r="O52" t="b">
        <v>1</v>
      </c>
      <c r="P52" t="inlineStr">
        <is>
          <t>FFY2025</t>
        </is>
      </c>
      <c r="Q52" t="inlineStr">
        <is>
          <t>AC Authorization</t>
        </is>
      </c>
    </row>
    <row r="53">
      <c r="A53" t="inlineStr">
        <is>
          <t>03-20-0050</t>
        </is>
      </c>
      <c r="B53" t="inlineStr">
        <is>
          <t>Rand Rd-IL 83-Kensington Rd Intersection Improvements</t>
        </is>
      </c>
      <c r="C53" t="inlineStr">
        <is>
          <t>Add, extend, reconfigure turn lanes, replace sidewalk with multi-use path along Rand Rd within project limits, optimize traffic signal timing, install sidewalk along south side of Kensington Rd east of Rand Rd, consolidate access within project limits. Project limits are Rand Road (Business Center Drive to Wedgewood Lane); IL 83 (Highland Street to Euclid Avenue); Kensington Road (Elmhurst Avenue to N. Wheeling Road)</t>
        </is>
      </c>
      <c r="D53" t="inlineStr">
        <is>
          <t>Intersection/Interchange Improvements</t>
        </is>
      </c>
      <c r="E53" t="inlineStr">
        <is>
          <t>[A-PMRK] Safety - Pavement Marking, [E-ADAIMP] Improve ADA Infrastructure (Roadway), [E-PEDIMP] Improve Pedestrian Facility, [E- SharedNew] New Shared Use Path, [H-INTIMP] Highway/Road - Intersection Improvement, [H-INTRC] Highway/Road - Intersection Reconstruction, [S-MOD] Signals - Modernization</t>
        </is>
      </c>
      <c r="F53" t="inlineStr">
        <is>
          <t>Northwest Council</t>
        </is>
      </c>
      <c r="G53" t="inlineStr">
        <is>
          <t>Cook</t>
        </is>
      </c>
      <c r="H53" t="inlineStr">
        <is>
          <t>Mount Prospect</t>
        </is>
      </c>
      <c r="I53" t="inlineStr">
        <is>
          <t>0KLG967</t>
        </is>
      </c>
      <c r="J53" t="inlineStr">
        <is>
          <t>Community Project Funding</t>
        </is>
      </c>
      <c r="K53" s="5" t="n">
        <v>1685060</v>
      </c>
      <c r="L53" t="inlineStr">
        <is>
          <t>Yes</t>
        </is>
      </c>
      <c r="M53" t="inlineStr">
        <is>
          <t>Yes</t>
        </is>
      </c>
      <c r="N53" t="inlineStr">
        <is>
          <t>Yes</t>
        </is>
      </c>
      <c r="O53" t="b">
        <v>1</v>
      </c>
      <c r="P53" t="inlineStr">
        <is>
          <t>FFY2025</t>
        </is>
      </c>
      <c r="Q53" t="inlineStr">
        <is>
          <t>AC Authorization</t>
        </is>
      </c>
    </row>
    <row r="54">
      <c r="A54" t="inlineStr">
        <is>
          <t>03-20-0050</t>
        </is>
      </c>
      <c r="B54" t="inlineStr">
        <is>
          <t>Rand Rd-IL 83-Kensington Rd Intersection Improvements</t>
        </is>
      </c>
      <c r="C54" t="inlineStr">
        <is>
          <t>Add, extend, reconfigure turn lanes, replace sidewalk with multi-use path along Rand Rd within project limits, optimize traffic signal timing, install sidewalk along south side of Kensington Rd east of Rand Rd, consolidate access within project limits. Project limits are Rand Road (Business Center Drive to Wedgewood Lane); IL 83 (Highland Street to Euclid Avenue); Kensington Road (Elmhurst Avenue to N. Wheeling Road)</t>
        </is>
      </c>
      <c r="D54" t="inlineStr">
        <is>
          <t>Intersection/Interchange Improvements</t>
        </is>
      </c>
      <c r="E54" t="inlineStr">
        <is>
          <t>[A-PMRK] Safety - Pavement Marking, [E-ADAIMP] Improve ADA Infrastructure (Roadway), [E-PEDIMP] Improve Pedestrian Facility, [E- SharedNew] New Shared Use Path, [H-INTIMP] Highway/Road - Intersection Improvement, [H-INTRC] Highway/Road - Intersection Reconstruction, [S-MOD] Signals - Modernization</t>
        </is>
      </c>
      <c r="F54" t="inlineStr">
        <is>
          <t>Northwest Council</t>
        </is>
      </c>
      <c r="G54" t="inlineStr">
        <is>
          <t>Cook</t>
        </is>
      </c>
      <c r="H54" t="inlineStr">
        <is>
          <t>Mount Prospect</t>
        </is>
      </c>
      <c r="I54" t="inlineStr">
        <is>
          <t>0KLG967</t>
        </is>
      </c>
      <c r="J54" t="inlineStr">
        <is>
          <t>STP - Locally Prgmd</t>
        </is>
      </c>
      <c r="K54" s="5" t="n">
        <v>114940</v>
      </c>
      <c r="L54" t="inlineStr">
        <is>
          <t>Yes</t>
        </is>
      </c>
      <c r="M54" t="inlineStr">
        <is>
          <t>Yes</t>
        </is>
      </c>
      <c r="N54" t="inlineStr">
        <is>
          <t>Yes</t>
        </is>
      </c>
      <c r="O54" t="b">
        <v>1</v>
      </c>
      <c r="P54" t="inlineStr">
        <is>
          <t>FFY2025</t>
        </is>
      </c>
      <c r="Q54" t="inlineStr">
        <is>
          <t>AC Authorization</t>
        </is>
      </c>
    </row>
    <row r="55">
      <c r="A55" t="inlineStr">
        <is>
          <t>03-21-0007</t>
        </is>
      </c>
      <c r="B55" t="inlineStr">
        <is>
          <t>Algonquin Road Bike Path from Dearborn Ct to Elmhurst Rd</t>
        </is>
      </c>
      <c r="C55" t="inlineStr">
        <is>
          <t>New sidewalk on the south side of Algonquin Road and provide an off-road bike path on the north side of Algonquin Road. Add pedestrian and bicycle crossings of Algonquin Road at signalized intersections, including the addition of pedestrian signals. Existing roadway lighting will be upgraded and new roadway lighting will be installed on the eastern portion.</t>
        </is>
      </c>
      <c r="D55" t="inlineStr">
        <is>
          <t>Bicycle &amp; Pedestrian</t>
        </is>
      </c>
      <c r="E55" t="inlineStr">
        <is>
          <t>[A-LTS] Safety - Lighting, [E-PEDIMP] Improve Pedestrian Facility, [E- PEDNEW] New Pedestrian Facility, [E-SharedNew] New Shared Use Path</t>
        </is>
      </c>
      <c r="F55" t="inlineStr">
        <is>
          <t>Northwest Council</t>
        </is>
      </c>
      <c r="G55" t="inlineStr">
        <is>
          <t>Cook</t>
        </is>
      </c>
      <c r="H55" t="inlineStr">
        <is>
          <t>Mount Prospect</t>
        </is>
      </c>
      <c r="I55" t="inlineStr">
        <is>
          <t>-</t>
        </is>
      </c>
      <c r="J55" t="inlineStr">
        <is>
          <t>CMAQ</t>
        </is>
      </c>
      <c r="K55" s="5" t="n">
        <v>196470</v>
      </c>
      <c r="L55" t="inlineStr">
        <is>
          <t>Yes</t>
        </is>
      </c>
      <c r="M55" t="inlineStr">
        <is>
          <t>No</t>
        </is>
      </c>
      <c r="N55" t="inlineStr">
        <is>
          <t>Yes</t>
        </is>
      </c>
      <c r="O55" t="b">
        <v>1</v>
      </c>
      <c r="P55" t="inlineStr">
        <is>
          <t>FFY2025</t>
        </is>
      </c>
      <c r="Q55" t="inlineStr">
        <is>
          <t>AC Authorization</t>
        </is>
      </c>
    </row>
    <row r="56">
      <c r="A56" t="inlineStr">
        <is>
          <t>03-22-0023</t>
        </is>
      </c>
      <c r="B56" t="inlineStr">
        <is>
          <t>North Ave from Oak Ave to Lake St</t>
        </is>
      </c>
      <c r="C56" t="inlineStr">
        <is>
          <t>HMA resurfacing, full depth pavement patching, spot aggregate base repair, combination concrete curb and gutter replacement, spot sidewalk removal and replacement, detectable warnings, pavement markings and reflective pavement markers. A wider shared use path will be constructed along the south side of the roadway, replacing the existing sidewalk.</t>
        </is>
      </c>
      <c r="D56" t="inlineStr">
        <is>
          <t>Road Maintenance</t>
        </is>
      </c>
      <c r="E56" t="inlineStr">
        <is>
          <t>[A-PMRK] Safety - Pavement Marking, [E-ADAIMP] Improve ADA Infrastructure (Roadway), [E-ADAMAINT] Maintain/Repair ADA Infrastructure (Roadway), [E-SharedNew] New Shared Use Path, [H-C/G] Highway/Road - Curb And Gutter, [H-PATCH] Highway/Road - Pavement Patching, [H-RS] Highway/Road - Resurface (with No Lane Widening)</t>
        </is>
      </c>
      <c r="F56" t="inlineStr">
        <is>
          <t>Northwest Council</t>
        </is>
      </c>
      <c r="G56" t="inlineStr">
        <is>
          <t>Cook</t>
        </is>
      </c>
      <c r="H56" t="inlineStr">
        <is>
          <t>Bartlett</t>
        </is>
      </c>
      <c r="I56" t="inlineStr">
        <is>
          <t>IJ41587</t>
        </is>
      </c>
      <c r="J56" t="inlineStr">
        <is>
          <t>STP - Locally Prgmd</t>
        </is>
      </c>
      <c r="K56" s="5" t="n">
        <v>930600</v>
      </c>
      <c r="L56" t="inlineStr">
        <is>
          <t>Yes</t>
        </is>
      </c>
      <c r="M56" t="inlineStr">
        <is>
          <t>Yes</t>
        </is>
      </c>
      <c r="N56" t="inlineStr">
        <is>
          <t>Yes</t>
        </is>
      </c>
      <c r="O56" t="b">
        <v>1</v>
      </c>
      <c r="P56" t="inlineStr">
        <is>
          <t>FFY2025</t>
        </is>
      </c>
      <c r="Q56" t="inlineStr">
        <is>
          <t>AC Authorization</t>
        </is>
      </c>
    </row>
    <row r="57">
      <c r="A57" t="inlineStr">
        <is>
          <t>03-22-0028</t>
        </is>
      </c>
      <c r="B57" t="inlineStr">
        <is>
          <t>Schoenbeck Rd from Camp McDonald Rd to US 12 Rand Rd</t>
        </is>
      </c>
      <c r="C57" t="inlineStr">
        <is>
          <t>Roadway resurfacing, replace concrete curb and gutter, install new 5' wide concrete sidewalk on west side of roadway for the entire limits, install pavement markings and raised pavement markers</t>
        </is>
      </c>
      <c r="D57" t="inlineStr">
        <is>
          <t>Road Maintenance</t>
        </is>
      </c>
      <c r="E57" t="inlineStr">
        <is>
          <t>[A-PMRK] Safety - Pavement Marking, [E-PEDNEW] New Pedestrian Facility, [H-C/G] Highway/Road - Curb And Gutter, [H-RS] Highway/Road - Resurface (with No Lane Widening)</t>
        </is>
      </c>
      <c r="F57" t="inlineStr">
        <is>
          <t>Northwest Council</t>
        </is>
      </c>
      <c r="G57" t="inlineStr">
        <is>
          <t>Cook</t>
        </is>
      </c>
      <c r="H57" t="inlineStr">
        <is>
          <t>Mount Prospect</t>
        </is>
      </c>
      <c r="I57" t="inlineStr">
        <is>
          <t>P688375</t>
        </is>
      </c>
      <c r="J57" t="inlineStr">
        <is>
          <t>STP - Locally Prgmd</t>
        </is>
      </c>
      <c r="K57" s="5" t="n">
        <v>1478400</v>
      </c>
      <c r="L57" t="inlineStr">
        <is>
          <t>Yes</t>
        </is>
      </c>
      <c r="M57" t="inlineStr">
        <is>
          <t>No</t>
        </is>
      </c>
      <c r="N57" t="inlineStr">
        <is>
          <t>Yes</t>
        </is>
      </c>
      <c r="O57" t="b">
        <v>1</v>
      </c>
      <c r="P57" t="inlineStr">
        <is>
          <t>FFY2025</t>
        </is>
      </c>
      <c r="Q57" t="inlineStr">
        <is>
          <t>AC Authorization</t>
        </is>
      </c>
    </row>
    <row r="58">
      <c r="A58" t="inlineStr">
        <is>
          <t>03-23-0036</t>
        </is>
      </c>
      <c r="B58" t="inlineStr">
        <is>
          <t>Melas-Meadows Pedestrian Bridge</t>
        </is>
      </c>
      <c r="C58" t="inlineStr">
        <is>
          <t>Bicycle and Pedestrian bridge consisting of a shared use bridge structure, ramps and sidewalk. The project will connect to the Mount Prospect bike route system within and south of Melas Park, and continue over Northwest Highway (US 14) and the Union Pacific Railroad (UPPR) tracks connecting to the Northwest Corridor bikeway and Mount Prospect bike route system at Meadows Park.</t>
        </is>
      </c>
      <c r="D58" t="inlineStr">
        <is>
          <t>Bicycle &amp; Pedestrian</t>
        </is>
      </c>
      <c r="E58" t="inlineStr">
        <is>
          <t>[A-LTS] Safety - Lighting, [E-ADANEW] New ADA Infrastructure (Roadway), [E-BIKENEW] New Bicycle Facility, [E-PEDNEW] New Pedestrian Facility, [E- SharedNew] New Shared Use Path</t>
        </is>
      </c>
      <c r="F58" t="inlineStr">
        <is>
          <t>Northwest Council</t>
        </is>
      </c>
      <c r="G58" t="inlineStr">
        <is>
          <t>Cook</t>
        </is>
      </c>
      <c r="H58" t="inlineStr">
        <is>
          <t>Mount Prospect</t>
        </is>
      </c>
      <c r="I58" t="inlineStr">
        <is>
          <t>KTTL227</t>
        </is>
      </c>
      <c r="J58" t="inlineStr">
        <is>
          <t>Community Project Funding</t>
        </is>
      </c>
      <c r="K58" s="5" t="n">
        <v>517400</v>
      </c>
      <c r="L58" t="inlineStr">
        <is>
          <t>Yes</t>
        </is>
      </c>
      <c r="M58" t="inlineStr">
        <is>
          <t>Yes</t>
        </is>
      </c>
      <c r="N58" t="inlineStr">
        <is>
          <t>Yes</t>
        </is>
      </c>
      <c r="O58" t="b">
        <v>1</v>
      </c>
      <c r="P58" t="inlineStr">
        <is>
          <t>FFY2025</t>
        </is>
      </c>
      <c r="Q58" t="inlineStr">
        <is>
          <t>AC Authorization</t>
        </is>
      </c>
    </row>
    <row r="59">
      <c r="A59" t="inlineStr">
        <is>
          <t>03-24-0004</t>
        </is>
      </c>
      <c r="B59" t="inlineStr">
        <is>
          <t>Various Routes at Various Locations</t>
        </is>
      </c>
      <c r="C59" t="inlineStr">
        <is>
          <t>Intersection Improvement, Traffic Signal Modernization</t>
        </is>
      </c>
      <c r="D59" t="inlineStr">
        <is>
          <t>Intersection/Interchange Improvements</t>
        </is>
      </c>
      <c r="E59" t="inlineStr">
        <is>
          <t>[H-INTIMP] Highway/Road - Intersection Improvement, [S-MOD] Signals - Modernization</t>
        </is>
      </c>
      <c r="F59" t="inlineStr">
        <is>
          <t>IDOT D1 Hwys</t>
        </is>
      </c>
      <c r="G59" t="inlineStr">
        <is>
          <t>Cook</t>
        </is>
      </c>
      <c r="H59" t="inlineStr">
        <is>
          <t>Arlington Heights, Des Plaines, Evanston, Wilmette</t>
        </is>
      </c>
      <c r="I59" t="inlineStr">
        <is>
          <t>WGJJ923</t>
        </is>
      </c>
      <c r="J59" t="inlineStr">
        <is>
          <t>Hwy Safety Improve Pgm</t>
        </is>
      </c>
      <c r="K59" s="5" t="n">
        <v>2475000</v>
      </c>
      <c r="L59" t="inlineStr">
        <is>
          <t>No</t>
        </is>
      </c>
      <c r="M59" t="inlineStr">
        <is>
          <t>No</t>
        </is>
      </c>
      <c r="N59" t="inlineStr">
        <is>
          <t>No</t>
        </is>
      </c>
      <c r="O59" t="b">
        <v>1</v>
      </c>
      <c r="P59" t="inlineStr">
        <is>
          <t>FFY2025</t>
        </is>
      </c>
      <c r="Q59" t="inlineStr">
        <is>
          <t>AC Authorization</t>
        </is>
      </c>
    </row>
    <row r="60">
      <c r="A60" t="inlineStr">
        <is>
          <t>03-24-0007</t>
        </is>
      </c>
      <c r="B60" t="inlineStr">
        <is>
          <t>Ill 72/83 Higgins Rd - I-290 (Eisenhower Expwy) Ramps (NB) to NW of Landmeier Rd</t>
        </is>
      </c>
      <c r="C60" t="inlineStr">
        <is>
          <t>Smart Overlay</t>
        </is>
      </c>
      <c r="D60" t="inlineStr">
        <is>
          <t>Road Maintenance</t>
        </is>
      </c>
      <c r="E60" t="inlineStr">
        <is>
          <t>[H-RS] Highway/Road - Resurface (with No Lane Widening)</t>
        </is>
      </c>
      <c r="F60" t="inlineStr">
        <is>
          <t>IDOT D1 Hwys</t>
        </is>
      </c>
      <c r="G60" t="inlineStr">
        <is>
          <t>Cook</t>
        </is>
      </c>
      <c r="H60" t="inlineStr">
        <is>
          <t>Des Plaines, Elk Grove Village, Schaumburg</t>
        </is>
      </c>
      <c r="I60" t="inlineStr">
        <is>
          <t>8SP4014</t>
        </is>
      </c>
      <c r="J60" t="inlineStr">
        <is>
          <t>NHPP</t>
        </is>
      </c>
      <c r="K60" s="5" t="n">
        <v>6560000</v>
      </c>
      <c r="L60" t="inlineStr">
        <is>
          <t>No</t>
        </is>
      </c>
      <c r="M60" t="inlineStr">
        <is>
          <t>No</t>
        </is>
      </c>
      <c r="N60" t="inlineStr">
        <is>
          <t>No</t>
        </is>
      </c>
      <c r="O60" t="b">
        <v>1</v>
      </c>
      <c r="P60" t="inlineStr">
        <is>
          <t>FFY2025</t>
        </is>
      </c>
      <c r="Q60" t="inlineStr">
        <is>
          <t>AC Authorization</t>
        </is>
      </c>
    </row>
    <row r="61">
      <c r="A61" t="inlineStr">
        <is>
          <t>03-24-0007</t>
        </is>
      </c>
      <c r="B61" t="inlineStr">
        <is>
          <t>Ill 72/83 Higgins Rd - I-290 (Eisenhower Expwy) Ramps (NB) to NW of Landmeier Rd</t>
        </is>
      </c>
      <c r="C61" t="inlineStr">
        <is>
          <t>Smart Overlay</t>
        </is>
      </c>
      <c r="D61" t="inlineStr">
        <is>
          <t>Road Maintenance</t>
        </is>
      </c>
      <c r="E61" t="inlineStr">
        <is>
          <t>[H-RS] Highway/Road - Resurface (with No Lane Widening)</t>
        </is>
      </c>
      <c r="F61" t="inlineStr">
        <is>
          <t>IDOT D1 Hwys</t>
        </is>
      </c>
      <c r="G61" t="inlineStr">
        <is>
          <t>Cook</t>
        </is>
      </c>
      <c r="H61" t="inlineStr">
        <is>
          <t>Des Plaines, Elk Grove Village, Schaumburg</t>
        </is>
      </c>
      <c r="I61" t="inlineStr">
        <is>
          <t>8SP4014</t>
        </is>
      </c>
      <c r="J61" t="inlineStr">
        <is>
          <t>NHPP</t>
        </is>
      </c>
      <c r="K61" s="5" t="n">
        <v>1040000</v>
      </c>
      <c r="L61" t="inlineStr">
        <is>
          <t>No</t>
        </is>
      </c>
      <c r="M61" t="inlineStr">
        <is>
          <t>No</t>
        </is>
      </c>
      <c r="N61" t="inlineStr">
        <is>
          <t>No</t>
        </is>
      </c>
      <c r="O61" t="b">
        <v>1</v>
      </c>
      <c r="P61" t="inlineStr">
        <is>
          <t>FFY2025</t>
        </is>
      </c>
      <c r="Q61" t="inlineStr">
        <is>
          <t>AC Authorization</t>
        </is>
      </c>
    </row>
    <row r="62">
      <c r="A62" t="inlineStr">
        <is>
          <t>03-24-0008</t>
        </is>
      </c>
      <c r="B62" t="inlineStr">
        <is>
          <t>Ill 72 Higgins Rd - Audubon St to Lexington Dr</t>
        </is>
      </c>
      <c r="C62" t="inlineStr">
        <is>
          <t>Smart Overlay, ADA Im;provements</t>
        </is>
      </c>
      <c r="D62" t="inlineStr">
        <is>
          <t>Road Maintenance</t>
        </is>
      </c>
      <c r="E62" t="inlineStr">
        <is>
          <t>[E-ADAMAINT] Maintain/Repair ADA Infrastructure (Roadway), [H-RS] Highway/Road - Resurface (with No Lane Widening)</t>
        </is>
      </c>
      <c r="F62" t="inlineStr">
        <is>
          <t>IDOT D1 Hwys</t>
        </is>
      </c>
      <c r="G62" t="inlineStr">
        <is>
          <t>Cook</t>
        </is>
      </c>
      <c r="H62" t="inlineStr">
        <is>
          <t>Hoffman Estates, Schaumburg</t>
        </is>
      </c>
      <c r="I62" t="inlineStr">
        <is>
          <t>HGI5827</t>
        </is>
      </c>
      <c r="J62" t="inlineStr">
        <is>
          <t>NHPP</t>
        </is>
      </c>
      <c r="K62" s="5" t="n">
        <v>2448000</v>
      </c>
      <c r="L62" t="inlineStr">
        <is>
          <t>Yes</t>
        </is>
      </c>
      <c r="M62" t="inlineStr">
        <is>
          <t>Yes</t>
        </is>
      </c>
      <c r="N62" t="inlineStr">
        <is>
          <t>No</t>
        </is>
      </c>
      <c r="O62" t="b">
        <v>1</v>
      </c>
      <c r="P62" t="inlineStr">
        <is>
          <t>FFY2025</t>
        </is>
      </c>
      <c r="Q62" t="inlineStr">
        <is>
          <t>AC Authorization</t>
        </is>
      </c>
    </row>
    <row r="63">
      <c r="A63" t="inlineStr">
        <is>
          <t>03-24-0009</t>
        </is>
      </c>
      <c r="B63" t="inlineStr">
        <is>
          <t>Dee Road Resurfacing</t>
        </is>
      </c>
      <c r="C63" t="inlineStr">
        <is>
          <t>Improvements include milling and resurfacing of the existing HMA pavement, removing and replacing portions of the curb and gutter, sidewalk removal and replacement. There will be a replacement of pavement markings for the entirety of the project.</t>
        </is>
      </c>
      <c r="D63" t="inlineStr">
        <is>
          <t>Road Maintenance</t>
        </is>
      </c>
      <c r="E63" t="inlineStr">
        <is>
          <t>[A-PMRK] Safety - Pavement Marking, [E-ADANEW] New ADA Infrastructure (Roadway), [H-C/G] Highway/Road - Curb And Gutter, [H-RS] Highway/Road - Resurface (with No Lane Widening)</t>
        </is>
      </c>
      <c r="F63" t="inlineStr">
        <is>
          <t>Northwest Council</t>
        </is>
      </c>
      <c r="G63" t="inlineStr">
        <is>
          <t>Cook</t>
        </is>
      </c>
      <c r="H63" t="inlineStr">
        <is>
          <t>Park Ridge</t>
        </is>
      </c>
      <c r="I63" t="inlineStr">
        <is>
          <t>-</t>
        </is>
      </c>
      <c r="J63" t="inlineStr">
        <is>
          <t>STP - Shared Fund</t>
        </is>
      </c>
      <c r="K63" s="5" t="n">
        <v>2752076</v>
      </c>
      <c r="L63" t="inlineStr">
        <is>
          <t>Yes</t>
        </is>
      </c>
      <c r="M63" t="inlineStr">
        <is>
          <t>Yes</t>
        </is>
      </c>
      <c r="N63" t="inlineStr">
        <is>
          <t>Yes</t>
        </is>
      </c>
      <c r="O63" t="b">
        <v>1</v>
      </c>
      <c r="P63" t="inlineStr">
        <is>
          <t>FFY2025</t>
        </is>
      </c>
      <c r="Q63" t="inlineStr">
        <is>
          <t>AC Authorization</t>
        </is>
      </c>
    </row>
    <row r="64">
      <c r="A64" t="inlineStr">
        <is>
          <t>03-25-0002</t>
        </is>
      </c>
      <c r="B64" t="inlineStr">
        <is>
          <t>McConnor Parkway Reconstruction from Meacham Rd to Roosevelt Blvd</t>
        </is>
      </c>
      <c r="C64" t="inlineStr">
        <is>
          <t>Reconstruction of McConnor Pkwy from Meacham Rd to Roosevelt Blvd. The existing HMA roadway will be reconstructed in place with new full depth HMA pavement and new curb and gutter, increased median left turn lane storage and tapers, replacement of sidewalk on north side of road, replacement of multi-use on south side of road, replace existing storm sewer. Traffic signal modernization at Roosevelt Blvd. Project will also include corridor lighting replacement.</t>
        </is>
      </c>
      <c r="D64" t="inlineStr">
        <is>
          <t>Road Modernization</t>
        </is>
      </c>
      <c r="E64" t="inlineStr">
        <is>
          <t>[A-LTS] Safety - Lighting, [A-MED] Safety - Median Projects, [A-PMRK] Safety - Pavement Marking, [E-ADAIMP] Improve ADA Infrastructure (Roadway), [E-BIKEIMP] Improve Bicycle Facility, [E-SharedModern] Improve Shared Path Facility, [H-C/G] Highway/Road - Curb And Gutter, [H- INTIMP] Highway/Road - Intersection Improvement, [H-INTRC] Highway/Road - Intersection Reconstruction, [H-RCINKND] Highway/Road - Reconstruct in Kind, [S-MOD] Signals - Modernization</t>
        </is>
      </c>
      <c r="F64" t="inlineStr">
        <is>
          <t>Northwest Council</t>
        </is>
      </c>
      <c r="G64" t="inlineStr">
        <is>
          <t>Cook</t>
        </is>
      </c>
      <c r="H64" t="inlineStr">
        <is>
          <t>Schaumburg</t>
        </is>
      </c>
      <c r="I64" t="inlineStr">
        <is>
          <t>6PF3524</t>
        </is>
      </c>
      <c r="J64" t="inlineStr">
        <is>
          <t>STP - Locally Prgmd</t>
        </is>
      </c>
      <c r="K64" s="5" t="n">
        <v>4526999</v>
      </c>
      <c r="L64" t="inlineStr">
        <is>
          <t>Yes</t>
        </is>
      </c>
      <c r="M64" t="inlineStr">
        <is>
          <t>Yes</t>
        </is>
      </c>
      <c r="N64" t="inlineStr">
        <is>
          <t>Yes</t>
        </is>
      </c>
      <c r="O64" t="b">
        <v>1</v>
      </c>
      <c r="P64" t="inlineStr">
        <is>
          <t>FFY2025</t>
        </is>
      </c>
      <c r="Q64" t="inlineStr">
        <is>
          <t>AC Authorization</t>
        </is>
      </c>
    </row>
    <row r="65">
      <c r="A65" t="inlineStr">
        <is>
          <t>03-25-0002</t>
        </is>
      </c>
      <c r="B65" t="inlineStr">
        <is>
          <t>McConnor Parkway Reconstruction from Meacham Rd to Roosevelt Blvd</t>
        </is>
      </c>
      <c r="C65" t="inlineStr">
        <is>
          <t>Reconstruction of McConnor Pkwy from Meacham Rd to Roosevelt Blvd. The existing HMA roadway will be reconstructed in place with new full depth HMA pavement and new curb and gutter, increased median left turn lane storage and tapers, replacement of sidewalk on north side of road, replacement of multi-use on south side of road, replace existing storm sewer. Traffic signal modernization at Roosevelt Blvd. Project will also include corridor lighting replacement.</t>
        </is>
      </c>
      <c r="D65" t="inlineStr">
        <is>
          <t>Road Modernization</t>
        </is>
      </c>
      <c r="E65" t="inlineStr">
        <is>
          <t>[A-LTS] Safety - Lighting, [A-MED] Safety - Median Projects, [A-PMRK] Safety - Pavement Marking, [E-ADAIMP] Improve ADA Infrastructure (Roadway), [E-BIKEIMP] Improve Bicycle Facility, [E-SharedModern] Improve Shared Path Facility, [H-C/G] Highway/Road - Curb And Gutter, [H- INTIMP] Highway/Road - Intersection Improvement, [H-INTRC] Highway/Road - Intersection Reconstruction, [H-RCINKND] Highway/Road - Reconstruct in Kind, [S-MOD] Signals - Modernization</t>
        </is>
      </c>
      <c r="F65" t="inlineStr">
        <is>
          <t>Northwest Council</t>
        </is>
      </c>
      <c r="G65" t="inlineStr">
        <is>
          <t>Cook</t>
        </is>
      </c>
      <c r="H65" t="inlineStr">
        <is>
          <t>Schaumburg</t>
        </is>
      </c>
      <c r="I65" t="inlineStr">
        <is>
          <t>6PF3524</t>
        </is>
      </c>
      <c r="J65" t="inlineStr">
        <is>
          <t>STP - Locally Prgmd</t>
        </is>
      </c>
      <c r="K65" s="5" t="n">
        <v>473001</v>
      </c>
      <c r="L65" t="inlineStr">
        <is>
          <t>Yes</t>
        </is>
      </c>
      <c r="M65" t="inlineStr">
        <is>
          <t>Yes</t>
        </is>
      </c>
      <c r="N65" t="inlineStr">
        <is>
          <t>Yes</t>
        </is>
      </c>
      <c r="O65" t="b">
        <v>1</v>
      </c>
      <c r="P65" t="inlineStr">
        <is>
          <t>FFY2025</t>
        </is>
      </c>
      <c r="Q65" t="inlineStr">
        <is>
          <t>AC Authorization</t>
        </is>
      </c>
    </row>
    <row r="66">
      <c r="A66" t="inlineStr">
        <is>
          <t>03-25-0003</t>
        </is>
      </c>
      <c r="B66" t="inlineStr">
        <is>
          <t>McConnor Parkway Reconstruction Roosevelt to Golf</t>
        </is>
      </c>
      <c r="C66" t="inlineStr">
        <is>
          <t>Reconstruction of McConnor Pkwy from Roosevelt Blvd to Golf Rd. The existing HMA roadway will be reconstructed in place with new full depth HMA pavement and new curb and gutter, increased median left turn lane storage and tapers, replacement of sidewalk on north side of road, replacement of multi-use on south side of road, replace existing storm sewer. Traffic signal modernization at Golf Rd and the addition of east bound dual left turn lanes on Golf Rd at McConnor Pkwy.</t>
        </is>
      </c>
      <c r="D66" t="inlineStr">
        <is>
          <t>Road Modernization</t>
        </is>
      </c>
      <c r="E66" t="inlineStr">
        <is>
          <t>[A-MED] Safety - Median Projects, [A-PMRK] Safety - Pavement Marking, [E ADAIMP] Improve ADA Infrastructure (Roadway), [E-PEDIMP] Improve Pedestrian Facility, [E-SharedModern] Improve Shared Path Facility, [H- C/G] Highway/Road - Curb And Gutter, [H-INTIMP] Highway/Road - Intersection Improvement, [H-RCINKND] Highway/Road - Reconstruct in Kind, [S-MOD] Signals - Modernization</t>
        </is>
      </c>
      <c r="F66" t="inlineStr">
        <is>
          <t>-Northwest Council</t>
        </is>
      </c>
      <c r="G66" t="inlineStr">
        <is>
          <t>Cook</t>
        </is>
      </c>
      <c r="H66" t="inlineStr">
        <is>
          <t>Schaumburg</t>
        </is>
      </c>
      <c r="I66" t="inlineStr">
        <is>
          <t>-</t>
        </is>
      </c>
      <c r="J66" t="inlineStr">
        <is>
          <t>STP - Locally Prgmd</t>
        </is>
      </c>
      <c r="K66" s="5" t="n">
        <v>5000000</v>
      </c>
      <c r="L66" t="inlineStr">
        <is>
          <t>Yes</t>
        </is>
      </c>
      <c r="M66" t="inlineStr">
        <is>
          <t>Yes</t>
        </is>
      </c>
      <c r="N66" t="inlineStr">
        <is>
          <t>Yes</t>
        </is>
      </c>
      <c r="O66" t="b">
        <v>1</v>
      </c>
      <c r="P66" t="inlineStr">
        <is>
          <t>FFY2025</t>
        </is>
      </c>
      <c r="Q66" t="inlineStr">
        <is>
          <t>AC Authorization</t>
        </is>
      </c>
    </row>
    <row r="67">
      <c r="A67" t="inlineStr">
        <is>
          <t>03-25-0005</t>
        </is>
      </c>
      <c r="B67" t="inlineStr">
        <is>
          <t>Arlington Heights ComEd RIght-of-Way Multi- Use Trail</t>
        </is>
      </c>
      <c r="C67" t="inlineStr">
        <is>
          <t>A proposed 3.4 mile, 10 wide, east-west shared-use path throughout the northern Arlington Heights area, connecting the Palatine Trail to the Prospect Heights Bike Path. Grading and drainage improvements will be designed as required, in addition to signage along the corridors. The project will include an overhead or underground accommodation connecting the Palatine Trail on the west side of IL Route 53 to the ComEd Multi-Use trail on the east side of IL Route 53.</t>
        </is>
      </c>
      <c r="D67" t="inlineStr">
        <is>
          <t>Bicycle &amp; Pedestrian</t>
        </is>
      </c>
      <c r="E67" t="inlineStr">
        <is>
          <t>[E-ADANEW] New ADA Infrastructure (Roadway), [E-BIKENEW] New Bicycle Facility, [E-SharedNew] New Shared Use Path</t>
        </is>
      </c>
      <c r="F67" t="inlineStr">
        <is>
          <t>Northwest Council</t>
        </is>
      </c>
      <c r="G67" t="inlineStr">
        <is>
          <t>Cook</t>
        </is>
      </c>
      <c r="H67" t="inlineStr">
        <is>
          <t>Arlington Heights</t>
        </is>
      </c>
      <c r="I67" t="inlineStr">
        <is>
          <t>-</t>
        </is>
      </c>
      <c r="J67" t="inlineStr">
        <is>
          <t>Community Project Funding</t>
        </is>
      </c>
      <c r="K67" s="5" t="n">
        <v>480000</v>
      </c>
      <c r="L67" t="inlineStr">
        <is>
          <t>Yes</t>
        </is>
      </c>
      <c r="M67" t="inlineStr">
        <is>
          <t>Yes</t>
        </is>
      </c>
      <c r="N67" t="inlineStr">
        <is>
          <t>No</t>
        </is>
      </c>
      <c r="O67" t="b">
        <v>1</v>
      </c>
      <c r="P67" t="inlineStr">
        <is>
          <t>FFY2025</t>
        </is>
      </c>
      <c r="Q67" t="inlineStr">
        <is>
          <t>AC Authorization</t>
        </is>
      </c>
    </row>
    <row r="68">
      <c r="A68" t="inlineStr">
        <is>
          <t>03-25-0017</t>
        </is>
      </c>
      <c r="B68" t="inlineStr">
        <is>
          <t>Pedestrian Grade Separation at Main Street</t>
        </is>
      </c>
      <c r="C68" t="inlineStr">
        <is>
          <t>New pedestrian/bicyclist grade separation along Main St at the CN Railway</t>
        </is>
      </c>
      <c r="D68" t="inlineStr">
        <is>
          <t>Rail-Highway Grade Separation</t>
        </is>
      </c>
      <c r="E68" t="inlineStr">
        <is>
          <t>[A-BAR] Safety - Barriers, [A-OPT] Safety - Opticom Equipment, [E- ADAMAINT] Maintain/Repair ADA Infrastructure (Roadway), [E-PEDIMP] Improve Pedestrian Facility, [S-TIM] Signals - Interconnects And Timing</t>
        </is>
      </c>
      <c r="F68" t="inlineStr">
        <is>
          <t>Northwest Council</t>
        </is>
      </c>
      <c r="G68" t="inlineStr">
        <is>
          <t>Cook</t>
        </is>
      </c>
      <c r="H68" t="inlineStr">
        <is>
          <t>Barrington</t>
        </is>
      </c>
      <c r="I68" t="inlineStr">
        <is>
          <t>-</t>
        </is>
      </c>
      <c r="J68" t="inlineStr">
        <is>
          <t>Community Project Funding</t>
        </is>
      </c>
      <c r="K68" s="5" t="n">
        <v>500000</v>
      </c>
      <c r="L68" t="inlineStr">
        <is>
          <t>Yes</t>
        </is>
      </c>
      <c r="M68" t="inlineStr">
        <is>
          <t>Yes</t>
        </is>
      </c>
      <c r="N68" t="inlineStr">
        <is>
          <t>Yes</t>
        </is>
      </c>
      <c r="O68" t="b">
        <v>1</v>
      </c>
      <c r="P68" t="inlineStr">
        <is>
          <t>FFY2025</t>
        </is>
      </c>
      <c r="Q68" t="inlineStr">
        <is>
          <t>AC Authorization</t>
        </is>
      </c>
    </row>
    <row r="69">
      <c r="A69" t="inlineStr">
        <is>
          <t>03-25-0018</t>
        </is>
      </c>
      <c r="B69" t="inlineStr">
        <is>
          <t>Ill 68 Dundee Rd - E of Kennicott Ave to Northgate Pkwy</t>
        </is>
      </c>
      <c r="C69" t="inlineStr">
        <is>
          <t>Designed Overlay, ADA Improvements, RR Flagger</t>
        </is>
      </c>
      <c r="D69" t="inlineStr">
        <is>
          <t>Road Maintenance</t>
        </is>
      </c>
      <c r="E69" t="inlineStr">
        <is>
          <t>[A-OTH] Safety - Other, [E-ADAMAINT] Maintain/Repair ADA Infrastructure (Roadway), [H-RS] Highway/Road - Resurface (with No Lane Widening)</t>
        </is>
      </c>
      <c r="F69" t="inlineStr">
        <is>
          <t>IDOT D1 Hwys</t>
        </is>
      </c>
      <c r="G69" t="inlineStr">
        <is>
          <t>Cook</t>
        </is>
      </c>
      <c r="H69" t="inlineStr">
        <is>
          <t>Arlington Heights, Buffalo Grove, Wheeling</t>
        </is>
      </c>
      <c r="I69" t="inlineStr">
        <is>
          <t>NQHR926</t>
        </is>
      </c>
      <c r="J69" t="inlineStr">
        <is>
          <t>NHPP</t>
        </is>
      </c>
      <c r="K69" s="5" t="n">
        <v>4800000</v>
      </c>
      <c r="L69" t="inlineStr">
        <is>
          <t>Yes</t>
        </is>
      </c>
      <c r="M69" t="inlineStr">
        <is>
          <t>Yes</t>
        </is>
      </c>
      <c r="N69" t="inlineStr">
        <is>
          <t>Yes</t>
        </is>
      </c>
      <c r="O69" t="b">
        <v>1</v>
      </c>
      <c r="P69" t="inlineStr">
        <is>
          <t>FFY2025</t>
        </is>
      </c>
      <c r="Q69" t="inlineStr">
        <is>
          <t>AC Authorization</t>
        </is>
      </c>
    </row>
    <row r="70">
      <c r="A70" t="inlineStr">
        <is>
          <t>03-25-0020</t>
        </is>
      </c>
      <c r="B70" t="inlineStr">
        <is>
          <t>South Street &amp; Prairie Avenue SRTS</t>
        </is>
      </c>
      <c r="C70" t="inlineStr">
        <is>
          <t>The SRTS sidewalk improvement includes adding sidewalks on both sides of Prairie Ave from South St to about 300 feet south of Hillside Ave and on the north side of South St between Summit St and Prairie Ave. On Prairie Ave, sidewalks will be placed in the parkway on both sides with a crossing at South St. On South St, the sidewalk will run along the north side against the back of the curb, with crossings at Summit St and Division St.</t>
        </is>
      </c>
      <c r="D70" t="inlineStr">
        <is>
          <t>Safe Routes to Schools</t>
        </is>
      </c>
      <c r="E70" t="inlineStr">
        <is>
          <t>[E-ADAIMP] Improve ADA Infrastructure (Roadway), [E-ADANEW] New ADA Infrastructure (Roadway), [E-PEDNEW] New Pedestrian Facility, [E- SRTS] Safe Routes to School</t>
        </is>
      </c>
      <c r="F70" t="inlineStr">
        <is>
          <t>Northwest Council</t>
        </is>
      </c>
      <c r="G70" t="inlineStr">
        <is>
          <t>Cook</t>
        </is>
      </c>
      <c r="H70" t="inlineStr">
        <is>
          <t>Barrington</t>
        </is>
      </c>
      <c r="I70" t="inlineStr">
        <is>
          <t>5CN6267</t>
        </is>
      </c>
      <c r="J70" t="inlineStr">
        <is>
          <t>Safe Routes to School</t>
        </is>
      </c>
      <c r="K70" s="5" t="n">
        <v>250000</v>
      </c>
      <c r="L70" t="inlineStr">
        <is>
          <t>Yes</t>
        </is>
      </c>
      <c r="M70" t="inlineStr">
        <is>
          <t>Yes</t>
        </is>
      </c>
      <c r="N70" t="inlineStr">
        <is>
          <t>Yes</t>
        </is>
      </c>
      <c r="O70" t="b">
        <v>1</v>
      </c>
      <c r="P70" t="inlineStr">
        <is>
          <t>FFY2025</t>
        </is>
      </c>
      <c r="Q70" t="inlineStr">
        <is>
          <t>AC Authorization</t>
        </is>
      </c>
    </row>
    <row r="71">
      <c r="A71" t="inlineStr">
        <is>
          <t>03-96-0021</t>
        </is>
      </c>
      <c r="B71" t="inlineStr">
        <is>
          <t>Elgin-O'Hare East Extension from Gary Road to O'Hare West Bypass Elgin O'Hare Western Access (Elgin-O'Hare East Extension &amp; Add Lanes, Western O'Hare Bypass) - RSP 20</t>
        </is>
      </c>
      <c r="C71" t="inlineStr">
        <is>
          <t>Limited Access Freeway. West O'Hare Bypass from I-90 to I-294 plus east segment of extension (from Bypass to I-290) and Add Lanes from I-290 to Gary. Includes demolition.</t>
        </is>
      </c>
      <c r="D71" t="inlineStr">
        <is>
          <t>Road Expansion</t>
        </is>
      </c>
      <c r="E71" t="inlineStr">
        <is>
          <t>[A-OTH] Safety - Other, [H-AL] Highway/Road - Add Lanes, [H-COR] Highway/Road - Corridor Improvement, [H-EXT] Highway/Road - Extend Road, [H-INTIMP] Highway/Road - Intersection Improvement, [H-INTRC] Highway/Road - Intersection Reconstruction, [H-NEW] Highway/Road - New Road, [H-RRGS] Highway/Road - Railroad Grade Separation, [H-RS] Highway/Road - Resurface (with No Lane Widening), [I-EXP] Interchange - Expand (New Movements Added to Interchange), [I-NEW] Interchange - New, [S-ASNG] Signals - Add Signals At Single Intersection, [S-MOD] Signals - Modernization</t>
        </is>
      </c>
      <c r="F71" t="inlineStr">
        <is>
          <t>IL Tollway</t>
        </is>
      </c>
      <c r="G71" t="inlineStr">
        <is>
          <t>Cook, DuPage</t>
        </is>
      </c>
      <c r="H71" t="inlineStr">
        <is>
          <t>Countywide</t>
        </is>
      </c>
      <c r="I71" t="inlineStr">
        <is>
          <t>6CYP041</t>
        </is>
      </c>
      <c r="J71" t="inlineStr">
        <is>
          <t>CMAQ</t>
        </is>
      </c>
      <c r="K71" s="5" t="n">
        <v>11450000</v>
      </c>
      <c r="L71" t="inlineStr">
        <is>
          <t>No</t>
        </is>
      </c>
      <c r="M71" t="inlineStr">
        <is>
          <t>No</t>
        </is>
      </c>
      <c r="N71" t="inlineStr">
        <is>
          <t>Yes</t>
        </is>
      </c>
      <c r="O71" t="b">
        <v>1</v>
      </c>
      <c r="P71" t="inlineStr">
        <is>
          <t>FFY2025</t>
        </is>
      </c>
      <c r="Q71" t="inlineStr">
        <is>
          <t>AC Authorization</t>
        </is>
      </c>
    </row>
    <row r="72">
      <c r="A72" t="inlineStr">
        <is>
          <t>03-96-0021</t>
        </is>
      </c>
      <c r="B72" t="inlineStr">
        <is>
          <t>Elgin-O'Hare East Extension from Gary Road to O'Hare West Bypass Elgin O'Hare Western Access (Elgin-O'Hare East Extension &amp; Add Lanes, Western O'Hare Bypass) - RSP 20</t>
        </is>
      </c>
      <c r="C72" t="inlineStr">
        <is>
          <t>Limited Access Freeway. West O'Hare Bypass from I-90 to I-294 plus east segment of extension (from Bypass to I-290) and Add Lanes from I-290 to Gary. Includes demolition.</t>
        </is>
      </c>
      <c r="D72" t="inlineStr">
        <is>
          <t>Road Expansion</t>
        </is>
      </c>
      <c r="E72" t="inlineStr">
        <is>
          <t>[A-OTH] Safety - Other, [H-AL] Highway/Road - Add Lanes, [H-COR] Highway/Road - Corridor Improvement, [H-EXT] Highway/Road - Extend Road, [H-INTIMP] Highway/Road - Intersection Improvement, [H-INTRC] Highway/Road - Intersection Reconstruction, [H-NEW] Highway/Road - New Road, [H-RRGS] Highway/Road - Railroad Grade Separation, [H-RS] Highway/Road - Resurface (with No Lane Widening), [I-EXP] Interchange - Expand (New Movements Added to Interchange), [I-NEW] Interchange - New, [S-ASNG] Signals - Add Signals At Single Intersection, [S-MOD] Signals - Modernization</t>
        </is>
      </c>
      <c r="F72" t="inlineStr">
        <is>
          <t>IL Tollway</t>
        </is>
      </c>
      <c r="G72" t="inlineStr">
        <is>
          <t>Cook, DuPage</t>
        </is>
      </c>
      <c r="H72" t="inlineStr">
        <is>
          <t>Countywide</t>
        </is>
      </c>
      <c r="I72" t="inlineStr">
        <is>
          <t>6CYP041</t>
        </is>
      </c>
      <c r="J72" t="inlineStr">
        <is>
          <t>CMAQ</t>
        </is>
      </c>
      <c r="K72" s="5" t="n">
        <v>23289000</v>
      </c>
      <c r="L72" t="inlineStr">
        <is>
          <t>No</t>
        </is>
      </c>
      <c r="M72" t="inlineStr">
        <is>
          <t>No</t>
        </is>
      </c>
      <c r="N72" t="inlineStr">
        <is>
          <t>Yes</t>
        </is>
      </c>
      <c r="O72" t="b">
        <v>1</v>
      </c>
      <c r="P72" t="inlineStr">
        <is>
          <t>FFY2025</t>
        </is>
      </c>
      <c r="Q72" t="inlineStr">
        <is>
          <t>AC Authorization</t>
        </is>
      </c>
    </row>
    <row r="73">
      <c r="A73" t="inlineStr">
        <is>
          <t>04-19-0001</t>
        </is>
      </c>
      <c r="B73" t="inlineStr">
        <is>
          <t>Rosemont Traffic Signals and Pedestrian Improvements</t>
        </is>
      </c>
      <c r="C73" t="inlineStr">
        <is>
          <t>Modernization of 14 existing traffic signals, pedestrian accommodations, pavement marking and signing</t>
        </is>
      </c>
      <c r="D73" t="inlineStr">
        <is>
          <t>Road Modernization</t>
        </is>
      </c>
      <c r="E73" t="inlineStr">
        <is>
          <t>[A-PMRK] Safety - Pavement Marking, [E-PEDIMP] Improve Pedestrian Facility, [E-PEDMAINT] Maintain Pedestrian Facility, [E-PEDNEW] New Pedestrian Facility, [E-PED] Pedestrian Facility, [H-INTIMP] Highway/Road - Intersection Improvement, [Z-OTH] Miscellaneous - Project Types Not Listed</t>
        </is>
      </c>
      <c r="F73" t="inlineStr">
        <is>
          <t>North Central Council</t>
        </is>
      </c>
      <c r="G73" t="inlineStr">
        <is>
          <t>Cook</t>
        </is>
      </c>
      <c r="H73" t="inlineStr">
        <is>
          <t>Rosemont</t>
        </is>
      </c>
      <c r="I73" t="inlineStr">
        <is>
          <t>DLYC077</t>
        </is>
      </c>
      <c r="J73" t="inlineStr">
        <is>
          <t>Hwy Safety Improve Pgm</t>
        </is>
      </c>
      <c r="K73" s="5" t="n">
        <v>3784050</v>
      </c>
      <c r="L73" t="inlineStr">
        <is>
          <t>Yes</t>
        </is>
      </c>
      <c r="M73" t="inlineStr">
        <is>
          <t>No</t>
        </is>
      </c>
      <c r="N73" t="inlineStr">
        <is>
          <t>Yes</t>
        </is>
      </c>
      <c r="O73" t="b">
        <v>1</v>
      </c>
      <c r="P73" t="inlineStr">
        <is>
          <t>FFY2025</t>
        </is>
      </c>
      <c r="Q73" t="inlineStr">
        <is>
          <t>AC Authorization</t>
        </is>
      </c>
    </row>
    <row r="74">
      <c r="A74" t="inlineStr">
        <is>
          <t>04-19-0014</t>
        </is>
      </c>
      <c r="B74" t="inlineStr">
        <is>
          <t>1) Ill 64 North Ave - I-294 (Tri-State Tollway) DuPage Co Line, 2) Ill 64 N Frontage Rd - 7th Ave (Hospital Entrance) to 5th Ave, 3) Ill 64 North Ave - 25th Ave to 5th Ave; 4) 5th Ave - N River Rd to Ill 64 (North Ave)</t>
        </is>
      </c>
      <c r="C74" t="inlineStr">
        <is>
          <t>Designed Overlay, Smart Overlay, ADA Improvements, Drainage</t>
        </is>
      </c>
      <c r="D74" t="inlineStr">
        <is>
          <t>Road Maintenance</t>
        </is>
      </c>
      <c r="E74" t="inlineStr">
        <is>
          <t>[E-ADAMAINT] Maintain/Repair ADA Infrastructure (Roadway), [H-RS] Highway/Road - Resurface (with No Lane Widening), [Z-OTHEX] Miscellaneous - Exempt Projects</t>
        </is>
      </c>
      <c r="F74" t="inlineStr">
        <is>
          <t>IDOT D1 Hwys</t>
        </is>
      </c>
      <c r="G74" t="inlineStr">
        <is>
          <t>Cook</t>
        </is>
      </c>
      <c r="H74" t="inlineStr">
        <is>
          <t>Elmwood Park, Melrose Park, Northlake, River Forest, River Grove</t>
        </is>
      </c>
      <c r="I74" t="inlineStr">
        <is>
          <t>4NTV036</t>
        </is>
      </c>
      <c r="J74" t="inlineStr">
        <is>
          <t>NHPP</t>
        </is>
      </c>
      <c r="K74" s="5" t="n">
        <v>10842000</v>
      </c>
      <c r="L74" t="inlineStr">
        <is>
          <t>Yes</t>
        </is>
      </c>
      <c r="M74" t="inlineStr">
        <is>
          <t>Yes</t>
        </is>
      </c>
      <c r="N74" t="inlineStr">
        <is>
          <t>No</t>
        </is>
      </c>
      <c r="O74" t="b">
        <v>1</v>
      </c>
      <c r="P74" t="inlineStr">
        <is>
          <t>FFY2025</t>
        </is>
      </c>
      <c r="Q74" t="inlineStr">
        <is>
          <t>AC Authorization</t>
        </is>
      </c>
    </row>
    <row r="75">
      <c r="A75" t="inlineStr">
        <is>
          <t>04-19-0014</t>
        </is>
      </c>
      <c r="B75" t="inlineStr">
        <is>
          <t>1) Ill 64 North Ave - I-294 (Tri-State Tollway) DuPage Co Line, 2) Ill 64 N Frontage Rd - 7th Ave (Hospital Entrance) to 5th Ave, 3) Ill 64 North Ave - 25th Ave to 5th Ave; 4) 5th Ave - N River Rd to Ill 64 (North Ave)</t>
        </is>
      </c>
      <c r="C75" t="inlineStr">
        <is>
          <t>Designed Overlay, Smart Overlay, ADA Improvements, Drainage</t>
        </is>
      </c>
      <c r="D75" t="inlineStr">
        <is>
          <t>Road Maintenance</t>
        </is>
      </c>
      <c r="E75" t="inlineStr">
        <is>
          <t>[E-ADAMAINT] Maintain/Repair ADA Infrastructure (Roadway), [H-RS] Highway/Road - Resurface (with No Lane Widening), [Z-OTHEX] Miscellaneous - Exempt Projects</t>
        </is>
      </c>
      <c r="F75" t="inlineStr">
        <is>
          <t>IDOT D1 Hwys</t>
        </is>
      </c>
      <c r="G75" t="inlineStr">
        <is>
          <t>Cook</t>
        </is>
      </c>
      <c r="H75" t="inlineStr">
        <is>
          <t>Elmwood Park, Melrose Park, Northlake, River Forest, River Grove</t>
        </is>
      </c>
      <c r="I75" t="inlineStr">
        <is>
          <t>4NTV036</t>
        </is>
      </c>
      <c r="J75" t="inlineStr">
        <is>
          <t>NHPP</t>
        </is>
      </c>
      <c r="K75" s="5" t="n">
        <v>960000</v>
      </c>
      <c r="L75" t="inlineStr">
        <is>
          <t>Yes</t>
        </is>
      </c>
      <c r="M75" t="inlineStr">
        <is>
          <t>Yes</t>
        </is>
      </c>
      <c r="N75" t="inlineStr">
        <is>
          <t>No</t>
        </is>
      </c>
      <c r="O75" t="b">
        <v>1</v>
      </c>
      <c r="P75" t="inlineStr">
        <is>
          <t>FFY2025</t>
        </is>
      </c>
      <c r="Q75" t="inlineStr">
        <is>
          <t>AC Authorization</t>
        </is>
      </c>
    </row>
    <row r="76">
      <c r="A76" t="inlineStr">
        <is>
          <t>04-19-0014</t>
        </is>
      </c>
      <c r="B76" t="inlineStr">
        <is>
          <t>1) Ill 64 North Ave - I-294 (Tri-State Tollway) DuPage Co Line, 2) Ill 64 N Frontage Rd - 7th Ave (Hospital Entrance) to 5th Ave, 3) Ill 64 North Ave - 25th Ave to 5th Ave; 4) 5th Ave - N River Rd to Ill 64 (North Ave)</t>
        </is>
      </c>
      <c r="C76" t="inlineStr">
        <is>
          <t>Designed Overlay, Smart Overlay, ADA Improvements, Drainage</t>
        </is>
      </c>
      <c r="D76" t="inlineStr">
        <is>
          <t>Road Maintenance</t>
        </is>
      </c>
      <c r="E76" t="inlineStr">
        <is>
          <t>[E-ADAMAINT] Maintain/Repair ADA Infrastructure (Roadway), [H-RS] Highway/Road - Resurface (with No Lane Widening), [Z-OTHEX] Miscellaneous - Exempt Projects</t>
        </is>
      </c>
      <c r="F76" t="inlineStr">
        <is>
          <t>IDOT D1 Hwys</t>
        </is>
      </c>
      <c r="G76" t="inlineStr">
        <is>
          <t>Cook</t>
        </is>
      </c>
      <c r="H76" t="inlineStr">
        <is>
          <t>Elmwood Park, Melrose Park, Northlake, River Forest, River Grove</t>
        </is>
      </c>
      <c r="I76" t="inlineStr">
        <is>
          <t>4NTV036</t>
        </is>
      </c>
      <c r="J76" t="inlineStr">
        <is>
          <t>NHPP</t>
        </is>
      </c>
      <c r="K76" s="5" t="n">
        <v>4000000</v>
      </c>
      <c r="L76" t="inlineStr">
        <is>
          <t>Yes</t>
        </is>
      </c>
      <c r="M76" t="inlineStr">
        <is>
          <t>Yes</t>
        </is>
      </c>
      <c r="N76" t="inlineStr">
        <is>
          <t>No</t>
        </is>
      </c>
      <c r="O76" t="b">
        <v>1</v>
      </c>
      <c r="P76" t="inlineStr">
        <is>
          <t>FFY2025</t>
        </is>
      </c>
      <c r="Q76" t="inlineStr">
        <is>
          <t>AC Authorization</t>
        </is>
      </c>
    </row>
    <row r="77">
      <c r="A77" t="inlineStr">
        <is>
          <t>04-20-0019</t>
        </is>
      </c>
      <c r="B77" t="inlineStr">
        <is>
          <t>Traffic Signal Modernization at Wolf Road and Palmer Avenue</t>
        </is>
      </c>
      <c r="C77" t="inlineStr">
        <is>
          <t>Modernization of the existing traffic signal.</t>
        </is>
      </c>
      <c r="D77" t="inlineStr">
        <is>
          <t>Signal Systems</t>
        </is>
      </c>
      <c r="E77" t="inlineStr">
        <is>
          <t>[A-OPT] Safety - Opticom Equipment, [A-PMRK] Safety - Pavement Marking, [S-MOD] Signals - Modernization</t>
        </is>
      </c>
      <c r="F77" t="inlineStr">
        <is>
          <t>North Central Council</t>
        </is>
      </c>
      <c r="G77" t="inlineStr">
        <is>
          <t>Cook</t>
        </is>
      </c>
      <c r="H77" t="inlineStr">
        <is>
          <t>Northlake</t>
        </is>
      </c>
      <c r="I77" t="inlineStr">
        <is>
          <t>-</t>
        </is>
      </c>
      <c r="J77" t="inlineStr">
        <is>
          <t>STP - Locally Prgmd</t>
        </is>
      </c>
      <c r="K77" s="5" t="n">
        <v>198300</v>
      </c>
      <c r="L77" t="inlineStr">
        <is>
          <t>No</t>
        </is>
      </c>
      <c r="M77" t="inlineStr">
        <is>
          <t>No</t>
        </is>
      </c>
      <c r="N77" t="inlineStr">
        <is>
          <t>Yes</t>
        </is>
      </c>
      <c r="O77" t="b">
        <v>1</v>
      </c>
      <c r="P77" t="inlineStr">
        <is>
          <t>FFY2025</t>
        </is>
      </c>
      <c r="Q77" t="inlineStr">
        <is>
          <t>AC Authorization</t>
        </is>
      </c>
    </row>
    <row r="78">
      <c r="A78" t="inlineStr">
        <is>
          <t>04-21-0016</t>
        </is>
      </c>
      <c r="B78" t="inlineStr">
        <is>
          <t>Westchester Wedgwood Avenue Bridge</t>
        </is>
      </c>
      <c r="C78" t="inlineStr">
        <is>
          <t>This project consists of the complete replacement of Structure Number 016-3231, Wedgwood Drive over Addison Creek, and installation of concrete approach slabs and sidewalks. Scour countermeasures will be included in the proposed design. The existing structure consists of a three- span concrete slab deck on concrete stub abutments with concrete slope walls and concrete piers.</t>
        </is>
      </c>
      <c r="D78" t="inlineStr">
        <is>
          <t>Bridge Repair, Rehab, or Replace</t>
        </is>
      </c>
      <c r="E78" t="inlineStr">
        <is>
          <t>[B-SUP] Bridge Superstructure - Repair/Rehab</t>
        </is>
      </c>
      <c r="F78" t="inlineStr">
        <is>
          <t>North Central Council</t>
        </is>
      </c>
      <c r="G78" t="inlineStr">
        <is>
          <t>Cook</t>
        </is>
      </c>
      <c r="H78" t="inlineStr">
        <is>
          <t>Westchester</t>
        </is>
      </c>
      <c r="I78" t="inlineStr">
        <is>
          <t>RMON321</t>
        </is>
      </c>
      <c r="J78" t="inlineStr">
        <is>
          <t>Bridge - Local Prgmd</t>
        </is>
      </c>
      <c r="K78" s="5" t="n">
        <v>124000</v>
      </c>
      <c r="L78" t="inlineStr">
        <is>
          <t>No</t>
        </is>
      </c>
      <c r="M78" t="inlineStr">
        <is>
          <t>No</t>
        </is>
      </c>
      <c r="N78" t="inlineStr">
        <is>
          <t>No</t>
        </is>
      </c>
      <c r="O78" t="b">
        <v>1</v>
      </c>
      <c r="P78" t="inlineStr">
        <is>
          <t>FFY2025</t>
        </is>
      </c>
      <c r="Q78" t="inlineStr">
        <is>
          <t>AC Authorization</t>
        </is>
      </c>
    </row>
    <row r="79">
      <c r="A79" t="inlineStr">
        <is>
          <t>04-22-0038</t>
        </is>
      </c>
      <c r="B79" t="inlineStr">
        <is>
          <t>21st Street Bridge at Addison Creek Replacement</t>
        </is>
      </c>
      <c r="C79" t="inlineStr">
        <is>
          <t>Bridge replacement and associated roadway improvements with bridge replacement. Lighting improvements as impacted by the bridge replacement. EII shown in IDOT MYP in 2025 (24-28)</t>
        </is>
      </c>
      <c r="D79" t="inlineStr">
        <is>
          <t>Bridge Repair, Rehab, or Replace</t>
        </is>
      </c>
      <c r="E79" t="inlineStr">
        <is>
          <t>[B-DECK] Bridge Deck - Repair/Rehab, [B-REPLACE] Bridge/Structure - Replace</t>
        </is>
      </c>
      <c r="F79" t="inlineStr">
        <is>
          <t>North Central Council</t>
        </is>
      </c>
      <c r="G79" t="inlineStr">
        <is>
          <t>Cook</t>
        </is>
      </c>
      <c r="H79" t="inlineStr">
        <is>
          <t>Broadview</t>
        </is>
      </c>
      <c r="I79" t="inlineStr">
        <is>
          <t>S3ID047</t>
        </is>
      </c>
      <c r="J79" t="inlineStr">
        <is>
          <t>Bridge - Local Prgmd</t>
        </is>
      </c>
      <c r="K79" s="5" t="n">
        <v>1555000</v>
      </c>
      <c r="L79" t="inlineStr">
        <is>
          <t>No</t>
        </is>
      </c>
      <c r="M79" t="inlineStr">
        <is>
          <t>No</t>
        </is>
      </c>
      <c r="N79" t="inlineStr">
        <is>
          <t>No</t>
        </is>
      </c>
      <c r="O79" t="b">
        <v>1</v>
      </c>
      <c r="P79" t="inlineStr">
        <is>
          <t>FFY2025</t>
        </is>
      </c>
      <c r="Q79" t="inlineStr">
        <is>
          <t>AC Authorization</t>
        </is>
      </c>
    </row>
    <row r="80">
      <c r="A80" t="inlineStr">
        <is>
          <t>04-22-0038</t>
        </is>
      </c>
      <c r="B80" t="inlineStr">
        <is>
          <t>21st Street Bridge at Addison Creek Replacement</t>
        </is>
      </c>
      <c r="C80" t="inlineStr">
        <is>
          <t>Bridge replacement and associated roadway improvements with bridge replacement. Lighting improvements as impacted by the bridge replacement. EII shown in IDOT MYP in 2025 (24-28)</t>
        </is>
      </c>
      <c r="D80" t="inlineStr">
        <is>
          <t>Bridge Repair, Rehab, or Replace</t>
        </is>
      </c>
      <c r="E80" t="inlineStr">
        <is>
          <t>[B-DECK] Bridge Deck - Repair/Rehab, [B-REPLACE] Bridge/Structure - Replace</t>
        </is>
      </c>
      <c r="F80" t="inlineStr">
        <is>
          <t>North Central Council</t>
        </is>
      </c>
      <c r="G80" t="inlineStr">
        <is>
          <t>Cook</t>
        </is>
      </c>
      <c r="H80" t="inlineStr">
        <is>
          <t>Broadview</t>
        </is>
      </c>
      <c r="I80" t="inlineStr">
        <is>
          <t>S3ID047</t>
        </is>
      </c>
      <c r="J80" t="inlineStr">
        <is>
          <t>Bridge - Local Prgmd</t>
        </is>
      </c>
      <c r="K80" s="5" t="n">
        <v>1456200</v>
      </c>
      <c r="L80" t="inlineStr">
        <is>
          <t>No</t>
        </is>
      </c>
      <c r="M80" t="inlineStr">
        <is>
          <t>No</t>
        </is>
      </c>
      <c r="N80" t="inlineStr">
        <is>
          <t>No</t>
        </is>
      </c>
      <c r="O80" t="b">
        <v>1</v>
      </c>
      <c r="P80" t="inlineStr">
        <is>
          <t>FFY2025</t>
        </is>
      </c>
      <c r="Q80" t="inlineStr">
        <is>
          <t>AC Authorization</t>
        </is>
      </c>
    </row>
    <row r="81">
      <c r="A81" t="inlineStr">
        <is>
          <t>04-24-0021</t>
        </is>
      </c>
      <c r="B81" t="inlineStr">
        <is>
          <t>17th Ave - Madison St to 23rd St</t>
        </is>
      </c>
      <c r="C81" t="inlineStr">
        <is>
          <t>Smart Overlay, Drainage, Curb &amp; Gutter, ADA Improvements</t>
        </is>
      </c>
      <c r="D81" t="inlineStr">
        <is>
          <t>Road Maintenance</t>
        </is>
      </c>
      <c r="E81" t="inlineStr">
        <is>
          <t>[E-ADAMAINT] Maintain/Repair ADA Infrastructure (Roadway), [H-RS] Highway/Road - Resurface (with No Lane Widening), [Z-OTHEX] Miscellaneous - Exempt Projects</t>
        </is>
      </c>
      <c r="F81" t="inlineStr">
        <is>
          <t>IDOT D1 Hwys</t>
        </is>
      </c>
      <c r="G81" t="inlineStr">
        <is>
          <t>Cook</t>
        </is>
      </c>
      <c r="H81" t="inlineStr">
        <is>
          <t>Broadview, Maywood, North Riverside</t>
        </is>
      </c>
      <c r="I81" t="inlineStr">
        <is>
          <t>8AWS744</t>
        </is>
      </c>
      <c r="J81" t="inlineStr">
        <is>
          <t>STP - State Prgmd Urban</t>
        </is>
      </c>
      <c r="K81" s="5" t="n">
        <v>2400000</v>
      </c>
      <c r="L81" t="inlineStr">
        <is>
          <t>Yes</t>
        </is>
      </c>
      <c r="M81" t="inlineStr">
        <is>
          <t>Yes</t>
        </is>
      </c>
      <c r="N81" t="inlineStr">
        <is>
          <t>No</t>
        </is>
      </c>
      <c r="O81" t="b">
        <v>1</v>
      </c>
      <c r="P81" t="inlineStr">
        <is>
          <t>FFY2025</t>
        </is>
      </c>
      <c r="Q81" t="inlineStr">
        <is>
          <t>AC Authorization</t>
        </is>
      </c>
    </row>
    <row r="82">
      <c r="A82" t="inlineStr">
        <is>
          <t>04-24-0029</t>
        </is>
      </c>
      <c r="B82" t="inlineStr">
        <is>
          <t>Home Avenue Pedestrian Bridge over I-290</t>
        </is>
      </c>
      <c r="C82" t="inlineStr">
        <is>
          <t>Replacement of the Home Avenue Bridge over I-290 in the Village of Oak Park</t>
        </is>
      </c>
      <c r="D82" t="inlineStr">
        <is>
          <t>Bridge Repair, Rehab, or Replace</t>
        </is>
      </c>
      <c r="E82" t="inlineStr">
        <is>
          <t>[B-REPAIR] Bridge/Structure - Reconst/Rehab No Chng in #, Wdth, or Lane, [E-PEDIMP] Improve Pedestrian Facility, [E-SharedModern] Improve Shared Path Facility</t>
        </is>
      </c>
      <c r="F82" t="inlineStr">
        <is>
          <t>North Central Council</t>
        </is>
      </c>
      <c r="G82" t="inlineStr">
        <is>
          <t>Cook</t>
        </is>
      </c>
      <c r="H82" t="inlineStr">
        <is>
          <t>Oak Park</t>
        </is>
      </c>
      <c r="I82" t="inlineStr">
        <is>
          <t>1JHV790</t>
        </is>
      </c>
      <c r="J82" t="inlineStr">
        <is>
          <t>Other - Federal</t>
        </is>
      </c>
      <c r="K82" s="5" t="n">
        <v>1449753</v>
      </c>
      <c r="L82" t="inlineStr">
        <is>
          <t>Yes</t>
        </is>
      </c>
      <c r="M82" t="inlineStr">
        <is>
          <t>No</t>
        </is>
      </c>
      <c r="N82" t="inlineStr">
        <is>
          <t>No</t>
        </is>
      </c>
      <c r="O82" t="b">
        <v>1</v>
      </c>
      <c r="P82" t="inlineStr">
        <is>
          <t>FFY2025</t>
        </is>
      </c>
      <c r="Q82" t="inlineStr">
        <is>
          <t>AC Authorization</t>
        </is>
      </c>
    </row>
    <row r="83">
      <c r="A83" t="inlineStr">
        <is>
          <t>04-24-0033</t>
        </is>
      </c>
      <c r="B83" t="inlineStr">
        <is>
          <t>Maywood SRTS Garfield Elementary School</t>
        </is>
      </c>
      <c r="C83" t="inlineStr">
        <is>
          <t>Pedestrian Improvement near Garfield Elementary School on 9th St at Van Buren and Quincy and 8th St at Quincy.</t>
        </is>
      </c>
      <c r="D83" t="inlineStr">
        <is>
          <t>Bicycle &amp; Pedestrian</t>
        </is>
      </c>
      <c r="E83" t="inlineStr">
        <is>
          <t>[E-SRTS] Safe Routes to School</t>
        </is>
      </c>
      <c r="F83" t="inlineStr">
        <is>
          <t>North Central Council</t>
        </is>
      </c>
      <c r="G83" t="inlineStr">
        <is>
          <t>Cook</t>
        </is>
      </c>
      <c r="H83" t="inlineStr">
        <is>
          <t>Maywood</t>
        </is>
      </c>
      <c r="I83" t="inlineStr">
        <is>
          <t>DS43688</t>
        </is>
      </c>
      <c r="J83" t="inlineStr">
        <is>
          <t>Safe Routes to School</t>
        </is>
      </c>
      <c r="K83" s="5" t="n">
        <v>250000</v>
      </c>
      <c r="L83" t="inlineStr">
        <is>
          <t>Yes</t>
        </is>
      </c>
      <c r="M83" t="inlineStr">
        <is>
          <t>No</t>
        </is>
      </c>
      <c r="N83" t="inlineStr">
        <is>
          <t>No</t>
        </is>
      </c>
      <c r="O83" t="b">
        <v>1</v>
      </c>
      <c r="P83" t="inlineStr">
        <is>
          <t>FFY2025</t>
        </is>
      </c>
      <c r="Q83" t="inlineStr">
        <is>
          <t>AC Authorization</t>
        </is>
      </c>
    </row>
    <row r="84">
      <c r="A84" t="inlineStr">
        <is>
          <t>04-24-0034</t>
        </is>
      </c>
      <c r="B84" t="inlineStr">
        <is>
          <t>Franklin Park Grand and George Traffic Signal Installation</t>
        </is>
      </c>
      <c r="C84" t="inlineStr">
        <is>
          <t>Franklin Park Grand and George Traffic Signal Installation</t>
        </is>
      </c>
      <c r="D84" t="inlineStr">
        <is>
          <t>Road Signals &amp; Signs</t>
        </is>
      </c>
      <c r="E84" t="inlineStr">
        <is>
          <t>[S-ASNG] Signals - Add Signals At Single Intersection</t>
        </is>
      </c>
      <c r="F84" t="inlineStr">
        <is>
          <t>North Central Council</t>
        </is>
      </c>
      <c r="G84" t="inlineStr">
        <is>
          <t>Cook</t>
        </is>
      </c>
      <c r="H84" t="inlineStr">
        <is>
          <t>Franklin Park</t>
        </is>
      </c>
      <c r="I84" t="inlineStr">
        <is>
          <t>AGTY053</t>
        </is>
      </c>
      <c r="J84" t="inlineStr">
        <is>
          <t>Community Project Funding</t>
        </is>
      </c>
      <c r="K84" s="5" t="n">
        <v>96000</v>
      </c>
      <c r="L84" t="inlineStr">
        <is>
          <t>No</t>
        </is>
      </c>
      <c r="M84" t="inlineStr">
        <is>
          <t>No</t>
        </is>
      </c>
      <c r="N84" t="inlineStr">
        <is>
          <t>No</t>
        </is>
      </c>
      <c r="O84" t="b">
        <v>1</v>
      </c>
      <c r="P84" t="inlineStr">
        <is>
          <t>FFY2025</t>
        </is>
      </c>
      <c r="Q84" t="inlineStr">
        <is>
          <t>AC Authorization</t>
        </is>
      </c>
    </row>
    <row r="85">
      <c r="A85" t="inlineStr">
        <is>
          <t>04-25-0013</t>
        </is>
      </c>
      <c r="B85" t="inlineStr">
        <is>
          <t>Ill 19 Irving Park Rd - at Des Plaines River</t>
        </is>
      </c>
      <c r="C85" t="inlineStr">
        <is>
          <t>Bridge Deck Overlay, Bridge Joint Replace/Repair</t>
        </is>
      </c>
      <c r="D85" t="inlineStr">
        <is>
          <t>Bridge Routine Maintenance</t>
        </is>
      </c>
      <c r="E85" t="inlineStr">
        <is>
          <t>[B-DECK] Bridge Deck - Repair/Rehab, [B-OVR] Bridge Deck - Overlay</t>
        </is>
      </c>
      <c r="F85" t="inlineStr">
        <is>
          <t>IDOT D1 Hwys</t>
        </is>
      </c>
      <c r="G85" t="inlineStr">
        <is>
          <t>Cook</t>
        </is>
      </c>
      <c r="H85" t="inlineStr">
        <is>
          <t>Schiller Park</t>
        </is>
      </c>
      <c r="I85" t="inlineStr">
        <is>
          <t>DYLR456</t>
        </is>
      </c>
      <c r="J85" t="inlineStr">
        <is>
          <t>Bridge - State Prgmd</t>
        </is>
      </c>
      <c r="K85" s="5" t="n">
        <v>1200000</v>
      </c>
      <c r="L85" t="inlineStr">
        <is>
          <t>No</t>
        </is>
      </c>
      <c r="M85" t="inlineStr">
        <is>
          <t>No</t>
        </is>
      </c>
      <c r="N85" t="inlineStr">
        <is>
          <t>No</t>
        </is>
      </c>
      <c r="O85" t="b">
        <v>1</v>
      </c>
      <c r="P85" t="inlineStr">
        <is>
          <t>FFY2025</t>
        </is>
      </c>
      <c r="Q85" t="inlineStr">
        <is>
          <t>AC Authorization</t>
        </is>
      </c>
    </row>
    <row r="86">
      <c r="A86" t="inlineStr">
        <is>
          <t>05-10-0004</t>
        </is>
      </c>
      <c r="B86" t="inlineStr">
        <is>
          <t>55th St from US 12 US 45 US 20 LaGrange Rd to East Ave/Eberly &amp; at US 12/20/45</t>
        </is>
      </c>
      <c r="C86" t="inlineStr">
        <is>
          <t>ADA RAMPS</t>
        </is>
      </c>
      <c r="D86" t="inlineStr">
        <is>
          <t>Road Maintenance</t>
        </is>
      </c>
      <c r="E86" t="inlineStr">
        <is>
          <t>[E-ADAIMP] Improve ADA Infrastructure (Roadway), [H-INTIMP] Highway/Road - Intersection Improvement, [H-WRS] Highway/Road - Widen Lanes And Resurface</t>
        </is>
      </c>
      <c r="F86" t="inlineStr">
        <is>
          <t>IDOT D1 Hwys</t>
        </is>
      </c>
      <c r="G86" t="inlineStr">
        <is>
          <t>Cook</t>
        </is>
      </c>
      <c r="H86" t="inlineStr">
        <is>
          <t>Countryside</t>
        </is>
      </c>
      <c r="I86" t="inlineStr">
        <is>
          <t>TM1F500</t>
        </is>
      </c>
      <c r="J86" t="inlineStr">
        <is>
          <t>STP - State Prgmd Urban</t>
        </is>
      </c>
      <c r="K86" s="5" t="n">
        <v>6625976</v>
      </c>
      <c r="L86" t="inlineStr">
        <is>
          <t>Yes</t>
        </is>
      </c>
      <c r="M86" t="inlineStr">
        <is>
          <t>Yes</t>
        </is>
      </c>
      <c r="N86" t="inlineStr">
        <is>
          <t>No</t>
        </is>
      </c>
      <c r="O86" t="b">
        <v>1</v>
      </c>
      <c r="P86" t="inlineStr">
        <is>
          <t>FFY2025</t>
        </is>
      </c>
      <c r="Q86" t="inlineStr">
        <is>
          <t>AC Authorization</t>
        </is>
      </c>
    </row>
    <row r="87">
      <c r="A87" t="inlineStr">
        <is>
          <t>05-12-0010</t>
        </is>
      </c>
      <c r="B87" t="inlineStr">
        <is>
          <t>Joliet Rd at Brainard Rd</t>
        </is>
      </c>
      <c r="C87" t="inlineStr">
        <is>
          <t>Intersection Improvement, ADA Improvement</t>
        </is>
      </c>
      <c r="D87" t="inlineStr">
        <is>
          <t>Intersection/Interchange Improvements</t>
        </is>
      </c>
      <c r="E87" t="inlineStr">
        <is>
          <t>[E-ADAMAINT] Maintain/Repair ADA Infrastructure (Roadway), [H-INTIMP] Highway/Road - Intersection Improvement</t>
        </is>
      </c>
      <c r="F87" t="inlineStr">
        <is>
          <t>IDOT D1 Hwys</t>
        </is>
      </c>
      <c r="G87" t="inlineStr">
        <is>
          <t>Cook</t>
        </is>
      </c>
      <c r="H87" t="inlineStr">
        <is>
          <t>Countryside</t>
        </is>
      </c>
      <c r="I87" t="inlineStr">
        <is>
          <t>I1LY522</t>
        </is>
      </c>
      <c r="J87" t="inlineStr">
        <is>
          <t>STP - State Prgmd Urban</t>
        </is>
      </c>
      <c r="K87" s="5" t="n">
        <v>1740000</v>
      </c>
      <c r="L87" t="inlineStr">
        <is>
          <t>Yes</t>
        </is>
      </c>
      <c r="M87" t="inlineStr">
        <is>
          <t>Yes</t>
        </is>
      </c>
      <c r="N87" t="inlineStr">
        <is>
          <t>No</t>
        </is>
      </c>
      <c r="O87" t="b">
        <v>1</v>
      </c>
      <c r="P87" t="inlineStr">
        <is>
          <t>FFY2025</t>
        </is>
      </c>
      <c r="Q87" t="inlineStr">
        <is>
          <t>AC Authorization</t>
        </is>
      </c>
    </row>
    <row r="88">
      <c r="A88" t="inlineStr">
        <is>
          <t>05-16-0007</t>
        </is>
      </c>
      <c r="B88" t="inlineStr">
        <is>
          <t>IL 56 from IL 59 to IL 50; Cermak Rd./22nd St., Renaissance Blvd (West of) to IL 50 (Cicero Ave.)</t>
        </is>
      </c>
      <c r="C88" t="inlineStr">
        <is>
          <t>Changeable Message Signs, Pedestrian Signals, Sidewalks, Signal Timing/Progression, Signing (New), Surveillance, Traffic Signal Modernization, ADA</t>
        </is>
      </c>
      <c r="D88" t="inlineStr">
        <is>
          <t>Road Maintenance</t>
        </is>
      </c>
      <c r="E88" t="inlineStr">
        <is>
          <t>[H-INFO] Highway/Road - Directional/Informational Signs, [S-MOD] Signals - Modernization, [S-TIM] Signals - Interconnects And Timing, [Z-OTHEX] Miscellaneous - Exempt Projects</t>
        </is>
      </c>
      <c r="F88" t="inlineStr">
        <is>
          <t>IDOT D1 Hwys</t>
        </is>
      </c>
      <c r="G88" t="inlineStr">
        <is>
          <t>Cook, DuPage</t>
        </is>
      </c>
      <c r="H88" t="inlineStr">
        <is>
          <t>Berwyn, Broadview, Chicago, Cicero, Elmhurst, Elmwood Park, Melrose Park, North Riverside, Northlake, Oak Brook, Oak Park, River Forest, River Grove, Westchester</t>
        </is>
      </c>
      <c r="I88" t="inlineStr">
        <is>
          <t>XVU6771</t>
        </is>
      </c>
      <c r="J88" t="inlineStr">
        <is>
          <t>STP - State Prgmd Urban</t>
        </is>
      </c>
      <c r="K88" s="5" t="n">
        <v>2913880</v>
      </c>
      <c r="L88" t="inlineStr">
        <is>
          <t>No</t>
        </is>
      </c>
      <c r="M88" t="inlineStr">
        <is>
          <t>No</t>
        </is>
      </c>
      <c r="N88" t="inlineStr">
        <is>
          <t>No</t>
        </is>
      </c>
      <c r="O88" t="b">
        <v>1</v>
      </c>
      <c r="P88" t="inlineStr">
        <is>
          <t>FFY2025</t>
        </is>
      </c>
      <c r="Q88" t="inlineStr">
        <is>
          <t>AC Authorization</t>
        </is>
      </c>
    </row>
    <row r="89">
      <c r="A89" t="inlineStr">
        <is>
          <t>05-20-0014</t>
        </is>
      </c>
      <c r="B89" t="inlineStr">
        <is>
          <t>34th Street Road Modernization and Stormwater Management Improvements Phase I Design</t>
        </is>
      </c>
      <c r="C89" t="inlineStr">
        <is>
          <t>Rehabilitating the roadway, sidewalk and curb and gutter, pedestrian enhancements, traffic safety measures, permeable pavers, and rain gardens.</t>
        </is>
      </c>
      <c r="D89" t="inlineStr">
        <is>
          <t>Road Modernization</t>
        </is>
      </c>
      <c r="E89" t="inlineStr">
        <is>
          <t>[A-LTS] Safety - Lighting, [A-OPT] Safety - Opticom Equipment, [A-OTH] Safety - Other, [A-PMRK] Safety - Pavement Marking, [E-ADAMAINT] Maintain/Repair ADA Infrastructure (Roadway), [E-BIKEMAINT] Maintain Bicycle Facility, [E-BIKEPARK] Bicycle Parking, [E-LS] Enhancement - Landscaping, [E-PEDMAINT] Maintain Pedestrian Facility, [H-C/G] Highway/Road - Curb And Gutter, [H-PATCH] Highway/Road - Pavement Patching, [H-RS] Highway/Road - Resurface (with No Lane Widening), [S- MOD] Signals - Modernization</t>
        </is>
      </c>
      <c r="F89" t="inlineStr">
        <is>
          <t>Central Council</t>
        </is>
      </c>
      <c r="G89" t="inlineStr">
        <is>
          <t>Cook</t>
        </is>
      </c>
      <c r="H89" t="inlineStr">
        <is>
          <t>Berwyn</t>
        </is>
      </c>
      <c r="I89" t="inlineStr">
        <is>
          <t>Y3SE235</t>
        </is>
      </c>
      <c r="J89" t="inlineStr">
        <is>
          <t>STP - Locally Prgmd</t>
        </is>
      </c>
      <c r="K89" s="5" t="n">
        <v>254520</v>
      </c>
      <c r="L89" t="inlineStr">
        <is>
          <t>Yes</t>
        </is>
      </c>
      <c r="M89" t="inlineStr">
        <is>
          <t>Yes</t>
        </is>
      </c>
      <c r="N89" t="inlineStr">
        <is>
          <t>Yes</t>
        </is>
      </c>
      <c r="O89" t="b">
        <v>1</v>
      </c>
      <c r="P89" t="inlineStr">
        <is>
          <t>FFY2025</t>
        </is>
      </c>
      <c r="Q89" t="inlineStr">
        <is>
          <t>AC Authorization</t>
        </is>
      </c>
    </row>
    <row r="90">
      <c r="A90" t="inlineStr">
        <is>
          <t>05-25-0008</t>
        </is>
      </c>
      <c r="B90" t="inlineStr">
        <is>
          <t>Pershing Rd - US 34 (Ogden Ave) to W of Central Ave</t>
        </is>
      </c>
      <c r="C90" t="inlineStr">
        <is>
          <t>Standard Overlay</t>
        </is>
      </c>
      <c r="D90" t="inlineStr">
        <is>
          <t>Road Maintenance</t>
        </is>
      </c>
      <c r="E90" t="inlineStr">
        <is>
          <t>[H-RS] Highway/Road - Resurface (with No Lane Widening)</t>
        </is>
      </c>
      <c r="F90" t="inlineStr">
        <is>
          <t>IDOT D1 Hwys</t>
        </is>
      </c>
      <c r="G90" t="inlineStr">
        <is>
          <t>Cook</t>
        </is>
      </c>
      <c r="H90" t="inlineStr">
        <is>
          <t>Berwyn, Cicero, Lyons, Stickney</t>
        </is>
      </c>
      <c r="I90" t="inlineStr">
        <is>
          <t>FZ1C813</t>
        </is>
      </c>
      <c r="J90" t="inlineStr">
        <is>
          <t>STP - State Prgmd Urban</t>
        </is>
      </c>
      <c r="K90" s="5" t="n">
        <v>5184000</v>
      </c>
      <c r="L90" t="inlineStr">
        <is>
          <t>No</t>
        </is>
      </c>
      <c r="M90" t="inlineStr">
        <is>
          <t>No</t>
        </is>
      </c>
      <c r="N90" t="inlineStr">
        <is>
          <t>No</t>
        </is>
      </c>
      <c r="O90" t="b">
        <v>1</v>
      </c>
      <c r="P90" t="inlineStr">
        <is>
          <t>FFY2025</t>
        </is>
      </c>
      <c r="Q90" t="inlineStr">
        <is>
          <t>AC Authorization</t>
        </is>
      </c>
    </row>
    <row r="91">
      <c r="A91" t="inlineStr">
        <is>
          <t>05-25-0009</t>
        </is>
      </c>
      <c r="B91" t="inlineStr">
        <is>
          <t>Maple Avenue Resurfacing Project (LAFO)</t>
        </is>
      </c>
      <c r="C91" t="inlineStr">
        <is>
          <t>Resurfacing Maple Avenue from Brookfield Avenue to 31st Street.</t>
        </is>
      </c>
      <c r="D91" t="inlineStr">
        <is>
          <t>Road Maintenance</t>
        </is>
      </c>
      <c r="E91" t="inlineStr">
        <is>
          <t>[A-PMRK] Safety - Pavement Marking, [E-ADAMAINT] Maintain/Repair ADA Infrastructure (Roadway), [H-C/G] Highway/Road - Curb And Gutter, [H- PATCH] Highway/Road - Pavement Patching, [H-RS] Highway/Road - Resurface (with No Lane Widening)</t>
        </is>
      </c>
      <c r="F91" t="inlineStr">
        <is>
          <t>Central Council</t>
        </is>
      </c>
      <c r="G91" t="inlineStr">
        <is>
          <t>Cook</t>
        </is>
      </c>
      <c r="H91" t="inlineStr">
        <is>
          <t>Brookfield</t>
        </is>
      </c>
      <c r="I91" t="inlineStr">
        <is>
          <t>DI0V663</t>
        </is>
      </c>
      <c r="J91" t="inlineStr">
        <is>
          <t>STP - Locally Prgmd</t>
        </is>
      </c>
      <c r="K91" s="5" t="n">
        <v>2236931</v>
      </c>
      <c r="L91" t="inlineStr">
        <is>
          <t>Yes</t>
        </is>
      </c>
      <c r="M91" t="inlineStr">
        <is>
          <t>Yes</t>
        </is>
      </c>
      <c r="N91" t="inlineStr">
        <is>
          <t>Yes</t>
        </is>
      </c>
      <c r="O91" t="b">
        <v>1</v>
      </c>
      <c r="P91" t="inlineStr">
        <is>
          <t>FFY2025</t>
        </is>
      </c>
      <c r="Q91" t="inlineStr">
        <is>
          <t>AC Authorization</t>
        </is>
      </c>
    </row>
    <row r="92">
      <c r="A92" t="inlineStr">
        <is>
          <t>06-18-0012</t>
        </is>
      </c>
      <c r="B92" t="inlineStr">
        <is>
          <t>Cal Sag Trail and Parking Lot at Lake Katherine</t>
        </is>
      </c>
      <c r="C92" t="inlineStr">
        <is>
          <t>Bike trail improvements and pavement resurfacing and construction of a parking lot expansion</t>
        </is>
      </c>
      <c r="D92" t="inlineStr">
        <is>
          <t>Bicycle &amp; Pedestrian</t>
        </is>
      </c>
      <c r="E92" t="inlineStr">
        <is>
          <t>[E-SharedNew] New Shared Use Path</t>
        </is>
      </c>
      <c r="F92" t="inlineStr">
        <is>
          <t>Southwest Council</t>
        </is>
      </c>
      <c r="G92" t="inlineStr">
        <is>
          <t>Cook</t>
        </is>
      </c>
      <c r="H92" t="inlineStr">
        <is>
          <t>Palos Heights</t>
        </is>
      </c>
      <c r="I92" t="inlineStr">
        <is>
          <t>GQHL676</t>
        </is>
      </c>
      <c r="J92" t="inlineStr">
        <is>
          <t>STP - Locally Prgmd</t>
        </is>
      </c>
      <c r="K92" s="5" t="n">
        <v>56000</v>
      </c>
      <c r="L92" t="inlineStr">
        <is>
          <t>Yes</t>
        </is>
      </c>
      <c r="M92" t="inlineStr">
        <is>
          <t>No</t>
        </is>
      </c>
      <c r="N92" t="inlineStr">
        <is>
          <t>No</t>
        </is>
      </c>
      <c r="O92" t="b">
        <v>1</v>
      </c>
      <c r="P92" t="inlineStr">
        <is>
          <t>FFY2025</t>
        </is>
      </c>
      <c r="Q92" t="inlineStr">
        <is>
          <t>AC Authorization</t>
        </is>
      </c>
    </row>
    <row r="93">
      <c r="A93" t="inlineStr">
        <is>
          <t>06-20-0010</t>
        </is>
      </c>
      <c r="B93" t="inlineStr">
        <is>
          <t>State Street Resurfacing</t>
        </is>
      </c>
      <c r="C93" t="inlineStr">
        <is>
          <t>Resurfacing project - 2-1/4" hot mix asphalt surface removal, 1-3/4" surface course &amp; 3/4" polymerized leveling binder replacement. Spot curb &amp; gutter replacement, ADA compliant sidewalk crossings, class D patching where needed, adjustment of utility structures, thermoplastic striping, and restoration.</t>
        </is>
      </c>
      <c r="D93" t="inlineStr">
        <is>
          <t>Road Maintenance</t>
        </is>
      </c>
      <c r="E93" t="inlineStr">
        <is>
          <t>[A-PMRK] Safety - Pavement Marking, [E-ADAMAINT] Maintain/Repair ADA Infrastructure (Roadway), [H-RS] Highway/Road - Resurface (with No Lane Widening)</t>
        </is>
      </c>
      <c r="F93" t="inlineStr">
        <is>
          <t>Southwest Council</t>
        </is>
      </c>
      <c r="G93" t="inlineStr">
        <is>
          <t>Cook</t>
        </is>
      </c>
      <c r="H93" t="inlineStr">
        <is>
          <t>Lemont</t>
        </is>
      </c>
      <c r="I93" t="inlineStr">
        <is>
          <t>YMMG074</t>
        </is>
      </c>
      <c r="J93" t="inlineStr">
        <is>
          <t>STP - Locally Prgmd</t>
        </is>
      </c>
      <c r="K93" s="5" t="n">
        <v>873600</v>
      </c>
      <c r="L93" t="inlineStr">
        <is>
          <t>Yes</t>
        </is>
      </c>
      <c r="M93" t="inlineStr">
        <is>
          <t>Yes</t>
        </is>
      </c>
      <c r="N93" t="inlineStr">
        <is>
          <t>Yes</t>
        </is>
      </c>
      <c r="O93" t="b">
        <v>1</v>
      </c>
      <c r="P93" t="inlineStr">
        <is>
          <t>FFY2025</t>
        </is>
      </c>
      <c r="Q93" t="inlineStr">
        <is>
          <t>AC Authorization</t>
        </is>
      </c>
    </row>
    <row r="94">
      <c r="A94" t="inlineStr">
        <is>
          <t>06-20-0010</t>
        </is>
      </c>
      <c r="B94" t="inlineStr">
        <is>
          <t>State Street Resurfacing</t>
        </is>
      </c>
      <c r="C94" t="inlineStr">
        <is>
          <t>Resurfacing project - 2-1/4" hot mix asphalt surface removal, 1-3/4" surface course &amp; 3/4" polymerized leveling binder replacement. Spot curb &amp; gutter replacement, ADA compliant sidewalk crossings, class D patching where needed, adjustment of utility structures, thermoplastic striping, and restoration.</t>
        </is>
      </c>
      <c r="D94" t="inlineStr">
        <is>
          <t>Road Maintenance</t>
        </is>
      </c>
      <c r="E94" t="inlineStr">
        <is>
          <t>[A-PMRK] Safety - Pavement Marking, [E-ADAMAINT] Maintain/Repair ADA Infrastructure (Roadway), [H-RS] Highway/Road - Resurface (with No Lane Widening)</t>
        </is>
      </c>
      <c r="F94" t="inlineStr">
        <is>
          <t>Southwest Council</t>
        </is>
      </c>
      <c r="G94" t="inlineStr">
        <is>
          <t>Cook</t>
        </is>
      </c>
      <c r="H94" t="inlineStr">
        <is>
          <t>Lemont</t>
        </is>
      </c>
      <c r="I94" t="inlineStr">
        <is>
          <t>WZPB549</t>
        </is>
      </c>
      <c r="J94" t="inlineStr">
        <is>
          <t>STP - Locally Prgmd</t>
        </is>
      </c>
      <c r="K94" s="5" t="n">
        <v>93600</v>
      </c>
      <c r="L94" t="inlineStr">
        <is>
          <t>Yes</t>
        </is>
      </c>
      <c r="M94" t="inlineStr">
        <is>
          <t>Yes</t>
        </is>
      </c>
      <c r="N94" t="inlineStr">
        <is>
          <t>Yes</t>
        </is>
      </c>
      <c r="O94" t="b">
        <v>1</v>
      </c>
      <c r="P94" t="inlineStr">
        <is>
          <t>FFY2025</t>
        </is>
      </c>
      <c r="Q94" t="inlineStr">
        <is>
          <t>AC Authorization</t>
        </is>
      </c>
    </row>
    <row r="95">
      <c r="A95" t="inlineStr">
        <is>
          <t>06-23-0015</t>
        </is>
      </c>
      <c r="B95" t="inlineStr">
        <is>
          <t>US 6 Southwest Hwy - S of Wolf Rd to Will- Cook Rd</t>
        </is>
      </c>
      <c r="C95" t="inlineStr">
        <is>
          <t>Designed Overlay</t>
        </is>
      </c>
      <c r="D95" t="inlineStr">
        <is>
          <t>Road Maintenance</t>
        </is>
      </c>
      <c r="E95" t="inlineStr">
        <is>
          <t>[H-RS] Highway/Road - Resurface (with No Lane Widening)</t>
        </is>
      </c>
      <c r="F95" t="inlineStr">
        <is>
          <t>IDOT D1 Hwys</t>
        </is>
      </c>
      <c r="G95" t="inlineStr">
        <is>
          <t>Cook</t>
        </is>
      </c>
      <c r="H95" t="inlineStr">
        <is>
          <t>Orland Park</t>
        </is>
      </c>
      <c r="I95" t="inlineStr">
        <is>
          <t>5WVJ064</t>
        </is>
      </c>
      <c r="J95" t="inlineStr">
        <is>
          <t>STP - State Prgmd Urban</t>
        </is>
      </c>
      <c r="K95" s="5" t="n">
        <v>800000</v>
      </c>
      <c r="L95" t="inlineStr">
        <is>
          <t>No</t>
        </is>
      </c>
      <c r="M95" t="inlineStr">
        <is>
          <t>No</t>
        </is>
      </c>
      <c r="N95" t="inlineStr">
        <is>
          <t>No</t>
        </is>
      </c>
      <c r="O95" t="b">
        <v>1</v>
      </c>
      <c r="P95" t="inlineStr">
        <is>
          <t>FFY2025</t>
        </is>
      </c>
      <c r="Q95" t="inlineStr">
        <is>
          <t>AC Authorization</t>
        </is>
      </c>
    </row>
    <row r="96">
      <c r="A96" t="inlineStr">
        <is>
          <t>06-23-0018</t>
        </is>
      </c>
      <c r="B96" t="inlineStr">
        <is>
          <t>Ill 50 Cicero Ave - US 12/20 (95th St) to 123rd Pl</t>
        </is>
      </c>
      <c r="C96" t="inlineStr">
        <is>
          <t>Smart Overlay</t>
        </is>
      </c>
      <c r="D96" t="inlineStr">
        <is>
          <t>Road Maintenance</t>
        </is>
      </c>
      <c r="E96" t="inlineStr">
        <is>
          <t>[H-RS] Highway/Road - Resurface (with No Lane Widening)</t>
        </is>
      </c>
      <c r="F96" t="inlineStr">
        <is>
          <t>IDOT D1 Hwys</t>
        </is>
      </c>
      <c r="G96" t="inlineStr">
        <is>
          <t>Cook</t>
        </is>
      </c>
      <c r="H96" t="inlineStr">
        <is>
          <t>Alsip, Oak Lawn</t>
        </is>
      </c>
      <c r="I96" t="inlineStr">
        <is>
          <t>QQU3962</t>
        </is>
      </c>
      <c r="J96" t="inlineStr">
        <is>
          <t>NHPP</t>
        </is>
      </c>
      <c r="K96" s="5" t="n">
        <v>8240000</v>
      </c>
      <c r="L96" t="inlineStr">
        <is>
          <t>No</t>
        </is>
      </c>
      <c r="M96" t="inlineStr">
        <is>
          <t>No</t>
        </is>
      </c>
      <c r="N96" t="inlineStr">
        <is>
          <t>No</t>
        </is>
      </c>
      <c r="O96" t="b">
        <v>1</v>
      </c>
      <c r="P96" t="inlineStr">
        <is>
          <t>FFY2025</t>
        </is>
      </c>
      <c r="Q96" t="inlineStr">
        <is>
          <t>AC Authorization</t>
        </is>
      </c>
    </row>
    <row r="97">
      <c r="A97" t="inlineStr">
        <is>
          <t>06-24-0041</t>
        </is>
      </c>
      <c r="B97" t="inlineStr">
        <is>
          <t>Pulaski Rd/Crawford Ave - 103rd St to 123rd St</t>
        </is>
      </c>
      <c r="C97" t="inlineStr">
        <is>
          <t>Standard Overlay, ADA Improvements</t>
        </is>
      </c>
      <c r="D97" t="inlineStr">
        <is>
          <t>Road Maintenance</t>
        </is>
      </c>
      <c r="E97" t="inlineStr">
        <is>
          <t>[E-ADAMAINT] Maintain/Repair ADA Infrastructure (Roadway), [H-RS] Highway/Road - Resurface (with No Lane Widening)</t>
        </is>
      </c>
      <c r="F97" t="inlineStr">
        <is>
          <t>IDOT D1 Hwys</t>
        </is>
      </c>
      <c r="G97" t="inlineStr">
        <is>
          <t>Cook</t>
        </is>
      </c>
      <c r="H97" t="inlineStr">
        <is>
          <t>Alsip, Chicago, Oak Lawn</t>
        </is>
      </c>
      <c r="I97" t="inlineStr">
        <is>
          <t>LIPA365</t>
        </is>
      </c>
      <c r="J97" t="inlineStr">
        <is>
          <t>STP - State Prgmd Urban</t>
        </is>
      </c>
      <c r="K97" s="5" t="n">
        <v>4160000</v>
      </c>
      <c r="L97" t="inlineStr">
        <is>
          <t>Yes</t>
        </is>
      </c>
      <c r="M97" t="inlineStr">
        <is>
          <t>Yes</t>
        </is>
      </c>
      <c r="N97" t="inlineStr">
        <is>
          <t>No</t>
        </is>
      </c>
      <c r="O97" t="b">
        <v>1</v>
      </c>
      <c r="P97" t="inlineStr">
        <is>
          <t>FFY2025</t>
        </is>
      </c>
      <c r="Q97" t="inlineStr">
        <is>
          <t>AC Authorization</t>
        </is>
      </c>
    </row>
    <row r="98">
      <c r="A98" t="inlineStr">
        <is>
          <t>06-24-0044</t>
        </is>
      </c>
      <c r="B98" t="inlineStr">
        <is>
          <t>Western Ave - S of Broadway St to I-57</t>
        </is>
      </c>
      <c r="C98" t="inlineStr">
        <is>
          <t>Smart Overlay</t>
        </is>
      </c>
      <c r="D98" t="inlineStr">
        <is>
          <t>Road Maintenance</t>
        </is>
      </c>
      <c r="E98" t="inlineStr">
        <is>
          <t>[H-RS] Highway/Road - Resurface (with No Lane Widening)</t>
        </is>
      </c>
      <c r="F98" t="inlineStr">
        <is>
          <t>IDOT D1 Hwys</t>
        </is>
      </c>
      <c r="G98" t="inlineStr">
        <is>
          <t>Cook</t>
        </is>
      </c>
      <c r="H98" t="inlineStr">
        <is>
          <t>Blue Island, Dixmoor</t>
        </is>
      </c>
      <c r="I98" t="inlineStr">
        <is>
          <t>G2DR523</t>
        </is>
      </c>
      <c r="J98" t="inlineStr">
        <is>
          <t>NHPP</t>
        </is>
      </c>
      <c r="K98" s="5" t="n">
        <v>105383</v>
      </c>
      <c r="L98" t="inlineStr">
        <is>
          <t>No</t>
        </is>
      </c>
      <c r="M98" t="inlineStr">
        <is>
          <t>No</t>
        </is>
      </c>
      <c r="N98" t="inlineStr">
        <is>
          <t>No</t>
        </is>
      </c>
      <c r="O98" t="b">
        <v>1</v>
      </c>
      <c r="P98" t="inlineStr">
        <is>
          <t>FFY2025</t>
        </is>
      </c>
      <c r="Q98" t="inlineStr">
        <is>
          <t>AC Authorization</t>
        </is>
      </c>
    </row>
    <row r="99">
      <c r="A99" t="inlineStr">
        <is>
          <t>07-09-0025</t>
        </is>
      </c>
      <c r="B99" t="inlineStr">
        <is>
          <t>IL 50 Cicero Ave from N of Steger Rd (Village Limits) to University Pkwy</t>
        </is>
      </c>
      <c r="C99" t="inlineStr">
        <is>
          <t>Lighting and Landscaping</t>
        </is>
      </c>
      <c r="D99" t="inlineStr">
        <is>
          <t>Transportation Enhancements</t>
        </is>
      </c>
      <c r="E99" t="inlineStr">
        <is>
          <t>[A-LTS] Safety - Lighting, [E-LS] Enhancement - Landscaping</t>
        </is>
      </c>
      <c r="F99" t="inlineStr">
        <is>
          <t>South Council</t>
        </is>
      </c>
      <c r="G99" t="inlineStr">
        <is>
          <t>Cook</t>
        </is>
      </c>
      <c r="H99" t="inlineStr">
        <is>
          <t>Richton Park, University Park</t>
        </is>
      </c>
      <c r="I99" t="inlineStr">
        <is>
          <t>9003016</t>
        </is>
      </c>
      <c r="J99" t="inlineStr">
        <is>
          <t>STP - Locally Prgmd</t>
        </is>
      </c>
      <c r="K99" s="5" t="n">
        <v>1139994</v>
      </c>
      <c r="L99" t="inlineStr">
        <is>
          <t>Yes</t>
        </is>
      </c>
      <c r="M99" t="inlineStr">
        <is>
          <t>No</t>
        </is>
      </c>
      <c r="N99" t="inlineStr">
        <is>
          <t>Yes</t>
        </is>
      </c>
      <c r="O99" t="b">
        <v>1</v>
      </c>
      <c r="P99" t="inlineStr">
        <is>
          <t>FFY2025</t>
        </is>
      </c>
      <c r="Q99" t="inlineStr">
        <is>
          <t>AC Authorization</t>
        </is>
      </c>
    </row>
    <row r="100">
      <c r="A100" t="inlineStr">
        <is>
          <t>07-12-0007</t>
        </is>
      </c>
      <c r="B100" t="inlineStr">
        <is>
          <t>I-94 Bishop Ford Expy - At US 6 (159th St), at 154th St &amp; Michigan City Rd</t>
        </is>
      </c>
      <c r="C100" t="inlineStr">
        <is>
          <t>Bridge Repair, Bridge Deck Overlay, Bridge Replacement</t>
        </is>
      </c>
      <c r="D100" t="inlineStr">
        <is>
          <t>Bridge Repair, Rehab, or Replace</t>
        </is>
      </c>
      <c r="E100" t="inlineStr">
        <is>
          <t>[B-OVR] Bridge Deck - Overlay, [B-REPAIR] Bridge/Structure - Reconst/Rehab No Chng in #, Wdth, or Lane, [B-REPLACE] Bridge/Structure - Replace</t>
        </is>
      </c>
      <c r="F100" t="inlineStr">
        <is>
          <t>IDOT D1 Hwys</t>
        </is>
      </c>
      <c r="G100" t="inlineStr">
        <is>
          <t>Cook</t>
        </is>
      </c>
      <c r="H100" t="inlineStr">
        <is>
          <t>South Holland</t>
        </is>
      </c>
      <c r="I100" t="inlineStr">
        <is>
          <t>GZ34587</t>
        </is>
      </c>
      <c r="J100" t="inlineStr">
        <is>
          <t>NHPP</t>
        </is>
      </c>
      <c r="K100" s="5" t="n">
        <v>10800000</v>
      </c>
      <c r="L100" t="inlineStr">
        <is>
          <t>No</t>
        </is>
      </c>
      <c r="M100" t="inlineStr">
        <is>
          <t>No</t>
        </is>
      </c>
      <c r="N100" t="inlineStr">
        <is>
          <t>No</t>
        </is>
      </c>
      <c r="O100" t="b">
        <v>1</v>
      </c>
      <c r="P100" t="inlineStr">
        <is>
          <t>FFY2025</t>
        </is>
      </c>
      <c r="Q100" t="inlineStr">
        <is>
          <t>AC Authorization</t>
        </is>
      </c>
    </row>
    <row r="101">
      <c r="A101" t="inlineStr">
        <is>
          <t>07-12-0007</t>
        </is>
      </c>
      <c r="B101" t="inlineStr">
        <is>
          <t>I-94 Bishop Ford Expy - At US 6 (159th St), at 154th St &amp; Michigan City Rd</t>
        </is>
      </c>
      <c r="C101" t="inlineStr">
        <is>
          <t>Bridge Repair, Bridge Deck Overlay, Bridge Replacement</t>
        </is>
      </c>
      <c r="D101" t="inlineStr">
        <is>
          <t>Bridge Repair, Rehab, or Replace</t>
        </is>
      </c>
      <c r="E101" t="inlineStr">
        <is>
          <t>[B-OVR] Bridge Deck - Overlay, [B-REPAIR] Bridge/Structure - Reconst/Rehab No Chng in #, Wdth, or Lane, [B-REPLACE] Bridge/Structure - Replace</t>
        </is>
      </c>
      <c r="F101" t="inlineStr">
        <is>
          <t>IDOT D1 Hwys</t>
        </is>
      </c>
      <c r="G101" t="inlineStr">
        <is>
          <t>Cook</t>
        </is>
      </c>
      <c r="H101" t="inlineStr">
        <is>
          <t>South Holland</t>
        </is>
      </c>
      <c r="I101" t="inlineStr">
        <is>
          <t>GZ34587</t>
        </is>
      </c>
      <c r="J101" t="inlineStr">
        <is>
          <t>NHPP</t>
        </is>
      </c>
      <c r="K101" s="5" t="n">
        <v>702000</v>
      </c>
      <c r="L101" t="inlineStr">
        <is>
          <t>No</t>
        </is>
      </c>
      <c r="M101" t="inlineStr">
        <is>
          <t>No</t>
        </is>
      </c>
      <c r="N101" t="inlineStr">
        <is>
          <t>No</t>
        </is>
      </c>
      <c r="O101" t="b">
        <v>1</v>
      </c>
      <c r="P101" t="inlineStr">
        <is>
          <t>FFY2025</t>
        </is>
      </c>
      <c r="Q101" t="inlineStr">
        <is>
          <t>AC Authorization</t>
        </is>
      </c>
    </row>
    <row r="102">
      <c r="A102" t="inlineStr">
        <is>
          <t>07-16-0001</t>
        </is>
      </c>
      <c r="B102" t="inlineStr">
        <is>
          <t>Sauk Village Multi-use Path</t>
        </is>
      </c>
      <c r="C102" t="inlineStr">
        <is>
          <t>Construct a new multi-use path in the Village of Sauk Village along Cottage Grove Ave, Sauk Trail, Cornell Avenue, and 223rd Street</t>
        </is>
      </c>
      <c r="D102" t="inlineStr">
        <is>
          <t>Bicycle &amp; Pedestrian</t>
        </is>
      </c>
      <c r="E102" t="inlineStr">
        <is>
          <t>[E-BIKENEW] New Bicycle Facility</t>
        </is>
      </c>
      <c r="F102" t="inlineStr">
        <is>
          <t>Cook Co DOTH</t>
        </is>
      </c>
      <c r="G102" t="inlineStr">
        <is>
          <t>Cook</t>
        </is>
      </c>
      <c r="H102" t="inlineStr">
        <is>
          <t>Sauk Village</t>
        </is>
      </c>
      <c r="I102" t="inlineStr">
        <is>
          <t>2YL3004</t>
        </is>
      </c>
      <c r="J102" t="inlineStr">
        <is>
          <t>CMAQ</t>
        </is>
      </c>
      <c r="K102" s="5" t="n">
        <v>124800</v>
      </c>
      <c r="L102" t="inlineStr">
        <is>
          <t>Yes</t>
        </is>
      </c>
      <c r="M102" t="inlineStr">
        <is>
          <t>No</t>
        </is>
      </c>
      <c r="N102" t="inlineStr">
        <is>
          <t>No</t>
        </is>
      </c>
      <c r="O102" t="b">
        <v>1</v>
      </c>
      <c r="P102" t="inlineStr">
        <is>
          <t>FFY2025</t>
        </is>
      </c>
      <c r="Q102" t="inlineStr">
        <is>
          <t>AC Authorization</t>
        </is>
      </c>
    </row>
    <row r="103">
      <c r="A103" t="inlineStr">
        <is>
          <t>07-19-0032</t>
        </is>
      </c>
      <c r="B103" t="inlineStr">
        <is>
          <t>Midlothian Metra Station Access Improvements</t>
        </is>
      </c>
      <c r="C103" t="inlineStr">
        <is>
          <t>Part of RTA's Access to Transit program, pedestrian improvements around the Midlothian Metra Station</t>
        </is>
      </c>
      <c r="D103" t="inlineStr">
        <is>
          <t>Bicycle &amp; Pedestrian</t>
        </is>
      </c>
      <c r="E103" t="inlineStr">
        <is>
          <t>[E-ADAIMP] Improve ADA Infrastructure (Roadway), [E-PEDIMP] Improve Pedestrian Facility, [E-PEDNEW] New Pedestrian Facility</t>
        </is>
      </c>
      <c r="F103" t="inlineStr">
        <is>
          <t>South Council</t>
        </is>
      </c>
      <c r="G103" t="inlineStr">
        <is>
          <t>Cook</t>
        </is>
      </c>
      <c r="H103" t="inlineStr">
        <is>
          <t>Midlothian</t>
        </is>
      </c>
      <c r="I103" t="inlineStr">
        <is>
          <t>VI1I084</t>
        </is>
      </c>
      <c r="J103" t="inlineStr">
        <is>
          <t>CMAQ</t>
        </is>
      </c>
      <c r="K103" s="5" t="n">
        <v>91200</v>
      </c>
      <c r="L103" t="inlineStr">
        <is>
          <t>Yes</t>
        </is>
      </c>
      <c r="M103" t="inlineStr">
        <is>
          <t>Yes</t>
        </is>
      </c>
      <c r="N103" t="inlineStr">
        <is>
          <t>No</t>
        </is>
      </c>
      <c r="O103" t="b">
        <v>1</v>
      </c>
      <c r="P103" t="inlineStr">
        <is>
          <t>FFY2025</t>
        </is>
      </c>
      <c r="Q103" t="inlineStr">
        <is>
          <t>AC Authorization</t>
        </is>
      </c>
    </row>
    <row r="104">
      <c r="A104" t="inlineStr">
        <is>
          <t>07-20-0033</t>
        </is>
      </c>
      <c r="B104" t="inlineStr">
        <is>
          <t>East Hazel Crest : Center Street - 171st Street to 175th Street</t>
        </is>
      </c>
      <c r="C104" t="inlineStr">
        <is>
          <t>Street resurfacing, pavement patching, adding a multi-use path from 175th Street to 172nd Street, ADA ramps at all intersections, ditch regrading and driveway culvert replacement as necessary, street lighting and adding beautification planting along roadway.</t>
        </is>
      </c>
      <c r="D104" t="inlineStr">
        <is>
          <t>Road Modernization</t>
        </is>
      </c>
      <c r="E104" t="inlineStr">
        <is>
          <t>[A-LTS] Safety - Lighting, [A-PMRK] Safety - Pavement Marking, [E- ADANEW] New ADA Infrastructure (Roadway), [E-LS] Enhancement - Landscaping, [E-SharedNew] New Shared Use Path, [H-C/G] Highway/Road - Curb And Gutter, [H-RS] Highway/Road - Resurface (with No Lane Widening)</t>
        </is>
      </c>
      <c r="F104" t="inlineStr">
        <is>
          <t>South Council</t>
        </is>
      </c>
      <c r="G104" t="inlineStr">
        <is>
          <t>Cook</t>
        </is>
      </c>
      <c r="H104" t="inlineStr">
        <is>
          <t>East Hazel Crest</t>
        </is>
      </c>
      <c r="I104" t="inlineStr">
        <is>
          <t>NM5A507</t>
        </is>
      </c>
      <c r="J104" t="inlineStr">
        <is>
          <t>STP - Locally Prgmd</t>
        </is>
      </c>
      <c r="K104" s="5" t="n">
        <v>411848</v>
      </c>
      <c r="L104" t="inlineStr">
        <is>
          <t>Yes</t>
        </is>
      </c>
      <c r="M104" t="inlineStr">
        <is>
          <t>Yes</t>
        </is>
      </c>
      <c r="N104" t="inlineStr">
        <is>
          <t>Yes</t>
        </is>
      </c>
      <c r="O104" t="b">
        <v>1</v>
      </c>
      <c r="P104" t="inlineStr">
        <is>
          <t>FFY2025</t>
        </is>
      </c>
      <c r="Q104" t="inlineStr">
        <is>
          <t>AC Authorization</t>
        </is>
      </c>
    </row>
    <row r="105">
      <c r="A105" t="inlineStr">
        <is>
          <t>07-20-0049</t>
        </is>
      </c>
      <c r="B105" t="inlineStr">
        <is>
          <t>Park Forest: Westwood / Norwood Drive - Sauk Trail to Western Ave</t>
        </is>
      </c>
      <c r="C105" t="inlineStr">
        <is>
          <t>Roadway resurfacing on Westwood Drive including pavement patching, replace existing curb and gutter, replace existing driveway aprons, sidewalk improvements across driveway apron areas, ADA sidewalk improvements at intersections, sewer structure reconstructions and adjustments, pavement markings, replace on-street parking pavement markings, bike sharrow pavement markings,</t>
        </is>
      </c>
      <c r="D105" t="inlineStr">
        <is>
          <t>Road Maintenance</t>
        </is>
      </c>
      <c r="E105" t="inlineStr">
        <is>
          <t>[A-OPT] Safety - Opticom Equipment, [A-PMRK] Safety - Pavement Marking, [E-ADAIMP] Improve ADA Infrastructure (Roadway), [E- ADAMAINT] Maintain/Repair ADA Infrastructure (Roadway), [E-ADANEW] New ADA Infrastructure (Roadway), [E-BIKEMAINT] Maintain Bicycle Facility, [E-PEDIMP] Improve Pedestrian Facility, [E-PEDMAINT] Maintain Pedestrian Facility, [H-C/G] Highway/Road - Curb And Gutter, [H-PATCH] Highway/Road - Pavement Patching, [H-RS] Highway/Road - Resurface (with No Lane Widening), [S-MOD] Signals - Modernization</t>
        </is>
      </c>
      <c r="F105" t="inlineStr">
        <is>
          <t>South Council</t>
        </is>
      </c>
      <c r="G105" t="inlineStr">
        <is>
          <t>Cook</t>
        </is>
      </c>
      <c r="H105" t="inlineStr">
        <is>
          <t>Park Forest</t>
        </is>
      </c>
      <c r="I105" t="inlineStr">
        <is>
          <t>3P75528</t>
        </is>
      </c>
      <c r="J105" t="inlineStr">
        <is>
          <t>STP - Locally Prgmd</t>
        </is>
      </c>
      <c r="K105" s="5" t="n">
        <v>419071</v>
      </c>
      <c r="L105" t="inlineStr">
        <is>
          <t>Yes</t>
        </is>
      </c>
      <c r="M105" t="inlineStr">
        <is>
          <t>Yes</t>
        </is>
      </c>
      <c r="N105" t="inlineStr">
        <is>
          <t>Yes</t>
        </is>
      </c>
      <c r="O105" t="b">
        <v>1</v>
      </c>
      <c r="P105" t="inlineStr">
        <is>
          <t>FFY2025</t>
        </is>
      </c>
      <c r="Q105" t="inlineStr">
        <is>
          <t>AC Authorization</t>
        </is>
      </c>
    </row>
    <row r="106">
      <c r="A106" t="inlineStr">
        <is>
          <t>07-23-0004</t>
        </is>
      </c>
      <c r="B106" t="inlineStr">
        <is>
          <t>Natalie Creek Trail Project</t>
        </is>
      </c>
      <c r="C106" t="inlineStr">
        <is>
          <t>Trail project connecting the Tinley Creek and Cal-Sag trails in Blue Island, Robbins, Midlothian, Oak Forest, and Crestwood.</t>
        </is>
      </c>
      <c r="D106" t="inlineStr">
        <is>
          <t>Bicycle &amp; Pedestrian</t>
        </is>
      </c>
      <c r="E106" t="inlineStr">
        <is>
          <t>[E-ADAIMP] Improve ADA Infrastructure (Roadway), [E-BIKENEW] New Bicycle Facility, [E-SharedNew] New Shared Use Path, [S-MOD] Signals - Modernization</t>
        </is>
      </c>
      <c r="F106" t="inlineStr">
        <is>
          <t>South Council</t>
        </is>
      </c>
      <c r="G106" t="inlineStr">
        <is>
          <t>Cook</t>
        </is>
      </c>
      <c r="H106" t="inlineStr">
        <is>
          <t>Blue Island, Crestwood, Midlothian, Robbins</t>
        </is>
      </c>
      <c r="I106" t="inlineStr">
        <is>
          <t>PDY1340</t>
        </is>
      </c>
      <c r="J106" t="inlineStr">
        <is>
          <t>TAP - Locally Prgmd</t>
        </is>
      </c>
      <c r="K106" s="5" t="n">
        <v>766440</v>
      </c>
      <c r="L106" t="inlineStr">
        <is>
          <t>Yes</t>
        </is>
      </c>
      <c r="M106" t="inlineStr">
        <is>
          <t>Yes</t>
        </is>
      </c>
      <c r="N106" t="inlineStr">
        <is>
          <t>No</t>
        </is>
      </c>
      <c r="O106" t="b">
        <v>1</v>
      </c>
      <c r="P106" t="inlineStr">
        <is>
          <t>FFY2025</t>
        </is>
      </c>
      <c r="Q106" t="inlineStr">
        <is>
          <t>AC Authorization</t>
        </is>
      </c>
    </row>
    <row r="107">
      <c r="A107" t="inlineStr">
        <is>
          <t>07-24-0012</t>
        </is>
      </c>
      <c r="B107" t="inlineStr">
        <is>
          <t>Stony Island Avenue Street Resurfacing</t>
        </is>
      </c>
      <c r="C107" t="inlineStr">
        <is>
          <t>Stony Island Avenue is a 2-lane road serving commercial and residential users. Project details include HMA surface removal and replacement, aggregate shoulder modification, pavement patching as needed, ADA ramps and landscaping as needed. 1 signalized intersection and 2 stop controlled intersections within the project limits</t>
        </is>
      </c>
      <c r="D107" t="inlineStr">
        <is>
          <t>Road Maintenance</t>
        </is>
      </c>
      <c r="E107" t="inlineStr">
        <is>
          <t>[A-PMRK] Safety - Pavement Marking, [A-SHDR] Safety - Shoulder Improvements, [E-ADAIMP] Improve ADA Infrastructure (Roadway), [E-LS] Enhancement - Landscaping, [H-PATCH] Highway/Road - Pavement Patching, [H-RS] Highway/Road - Resurface (with No Lane Widening)</t>
        </is>
      </c>
      <c r="F107" t="inlineStr">
        <is>
          <t>South Council</t>
        </is>
      </c>
      <c r="G107" t="inlineStr">
        <is>
          <t>Cook</t>
        </is>
      </c>
      <c r="H107" t="inlineStr">
        <is>
          <t>Lansing</t>
        </is>
      </c>
      <c r="I107" t="inlineStr">
        <is>
          <t>D74F960</t>
        </is>
      </c>
      <c r="J107" t="inlineStr">
        <is>
          <t>STP - Locally Prgmd</t>
        </is>
      </c>
      <c r="K107" s="5" t="n">
        <v>265547</v>
      </c>
      <c r="L107" t="inlineStr">
        <is>
          <t>Yes</t>
        </is>
      </c>
      <c r="M107" t="inlineStr">
        <is>
          <t>Yes</t>
        </is>
      </c>
      <c r="N107" t="inlineStr">
        <is>
          <t>Yes</t>
        </is>
      </c>
      <c r="O107" t="b">
        <v>1</v>
      </c>
      <c r="P107" t="inlineStr">
        <is>
          <t>FFY2025</t>
        </is>
      </c>
      <c r="Q107" t="inlineStr">
        <is>
          <t>AC Authorization</t>
        </is>
      </c>
    </row>
    <row r="108">
      <c r="A108" t="inlineStr">
        <is>
          <t>07-24-0043</t>
        </is>
      </c>
      <c r="B108" t="inlineStr">
        <is>
          <t>Various - at Various Intersection Locations in Cook Co.</t>
        </is>
      </c>
      <c r="C108" t="inlineStr">
        <is>
          <t>Intersection Improvement, Traffic Signal Modernization</t>
        </is>
      </c>
      <c r="D108" t="inlineStr">
        <is>
          <t>Intersection/Interchange Improvements</t>
        </is>
      </c>
      <c r="E108" t="inlineStr">
        <is>
          <t>[H-INTIMP] Highway/Road - Intersection Improvement, [S-MOD] Signals - Modernization</t>
        </is>
      </c>
      <c r="F108" t="inlineStr">
        <is>
          <t>IDOT D1 Hwys</t>
        </is>
      </c>
      <c r="G108" t="inlineStr">
        <is>
          <t>Cook</t>
        </is>
      </c>
      <c r="H108" t="inlineStr">
        <is>
          <t>Chicago Heights, Hazel Crest, Homewood, Richton Park</t>
        </is>
      </c>
      <c r="I108" t="inlineStr">
        <is>
          <t>ZVSZ220</t>
        </is>
      </c>
      <c r="J108" t="inlineStr">
        <is>
          <t>Hwy Safety Improve Pgm</t>
        </is>
      </c>
      <c r="K108" s="5" t="n">
        <v>2250000</v>
      </c>
      <c r="L108" t="inlineStr">
        <is>
          <t>No</t>
        </is>
      </c>
      <c r="M108" t="inlineStr">
        <is>
          <t>No</t>
        </is>
      </c>
      <c r="N108" t="inlineStr">
        <is>
          <t>No</t>
        </is>
      </c>
      <c r="O108" t="b">
        <v>1</v>
      </c>
      <c r="P108" t="inlineStr">
        <is>
          <t>FFY2025</t>
        </is>
      </c>
      <c r="Q108" t="inlineStr">
        <is>
          <t>AC Authorization</t>
        </is>
      </c>
    </row>
    <row r="109">
      <c r="A109" t="inlineStr">
        <is>
          <t>07-25-0003</t>
        </is>
      </c>
      <c r="B109" t="inlineStr">
        <is>
          <t>State St - Sauk Trail to 34th St/ Steger Rd</t>
        </is>
      </c>
      <c r="C109" t="inlineStr">
        <is>
          <t>Standard Overlay</t>
        </is>
      </c>
      <c r="D109" t="inlineStr">
        <is>
          <t>Road Maintenance</t>
        </is>
      </c>
      <c r="E109" t="inlineStr">
        <is>
          <t>[H-RS] Highway/Road - Resurface (with No Lane Widening)</t>
        </is>
      </c>
      <c r="F109" t="inlineStr">
        <is>
          <t>IDOT D1 Hwys</t>
        </is>
      </c>
      <c r="G109" t="inlineStr">
        <is>
          <t>Cook</t>
        </is>
      </c>
      <c r="H109" t="inlineStr">
        <is>
          <t>South Chicago Heights</t>
        </is>
      </c>
      <c r="I109" t="inlineStr">
        <is>
          <t>HBLQ493</t>
        </is>
      </c>
      <c r="J109" t="inlineStr">
        <is>
          <t>STP - State Prgmd Urban</t>
        </is>
      </c>
      <c r="K109" s="5" t="n">
        <v>1280000</v>
      </c>
      <c r="L109" t="inlineStr">
        <is>
          <t>No</t>
        </is>
      </c>
      <c r="M109" t="inlineStr">
        <is>
          <t>No</t>
        </is>
      </c>
      <c r="N109" t="inlineStr">
        <is>
          <t>No</t>
        </is>
      </c>
      <c r="O109" t="b">
        <v>1</v>
      </c>
      <c r="P109" t="inlineStr">
        <is>
          <t>FFY2025</t>
        </is>
      </c>
      <c r="Q109" t="inlineStr">
        <is>
          <t>AC Authorization</t>
        </is>
      </c>
    </row>
    <row r="110">
      <c r="A110" t="inlineStr">
        <is>
          <t>07-25-0016</t>
        </is>
      </c>
      <c r="B110" t="inlineStr">
        <is>
          <t>Dolton Ave - 142nd St to I-94 (Bishop Ford Freeway)</t>
        </is>
      </c>
      <c r="C110" t="inlineStr">
        <is>
          <t>Designed Overlay, ADA Improvements</t>
        </is>
      </c>
      <c r="D110" t="inlineStr">
        <is>
          <t>Road Maintenance</t>
        </is>
      </c>
      <c r="E110" t="inlineStr">
        <is>
          <t>[E-ADAMAINT] Maintain/Repair ADA Infrastructure (Roadway), [H-RS] Highway/Road - Resurface (with No Lane Widening)</t>
        </is>
      </c>
      <c r="F110" t="inlineStr">
        <is>
          <t>IDOT D1 Hwys</t>
        </is>
      </c>
      <c r="G110" t="inlineStr">
        <is>
          <t>Cook</t>
        </is>
      </c>
      <c r="H110" t="inlineStr">
        <is>
          <t>Dolton</t>
        </is>
      </c>
      <c r="I110" t="inlineStr">
        <is>
          <t>8TBS840</t>
        </is>
      </c>
      <c r="J110" t="inlineStr">
        <is>
          <t>STP - State Prgmd Urban</t>
        </is>
      </c>
      <c r="K110" s="5" t="n">
        <v>640000</v>
      </c>
      <c r="L110" t="inlineStr">
        <is>
          <t>Yes</t>
        </is>
      </c>
      <c r="M110" t="inlineStr">
        <is>
          <t>Yes</t>
        </is>
      </c>
      <c r="N110" t="inlineStr">
        <is>
          <t>No</t>
        </is>
      </c>
      <c r="O110" t="b">
        <v>1</v>
      </c>
      <c r="P110" t="inlineStr">
        <is>
          <t>FFY2025</t>
        </is>
      </c>
      <c r="Q110" t="inlineStr">
        <is>
          <t>AC Authorization</t>
        </is>
      </c>
    </row>
    <row r="111">
      <c r="A111" t="inlineStr">
        <is>
          <t>07-25-0020</t>
        </is>
      </c>
      <c r="B111" t="inlineStr">
        <is>
          <t>Halsted St - At Thorn Creek</t>
        </is>
      </c>
      <c r="C111" t="inlineStr">
        <is>
          <t>Bridge Deck Overlay, Bridge Joint Replace/Repair</t>
        </is>
      </c>
      <c r="D111" t="inlineStr">
        <is>
          <t>Bridge Routine Maintenance</t>
        </is>
      </c>
      <c r="E111" t="inlineStr">
        <is>
          <t>[B-DECK] Bridge Deck - Repair/Rehab, [B-OVR] Bridge Deck - Overlay</t>
        </is>
      </c>
      <c r="F111" t="inlineStr">
        <is>
          <t>IDOT D1 Hwys</t>
        </is>
      </c>
      <c r="G111" t="inlineStr">
        <is>
          <t>Cook</t>
        </is>
      </c>
      <c r="H111" t="inlineStr">
        <is>
          <t>Chicago Heights</t>
        </is>
      </c>
      <c r="I111" t="inlineStr">
        <is>
          <t>9I6B759</t>
        </is>
      </c>
      <c r="J111" t="inlineStr">
        <is>
          <t>Bridge - State Prgmd</t>
        </is>
      </c>
      <c r="K111" s="5" t="n">
        <v>960000</v>
      </c>
      <c r="L111" t="inlineStr">
        <is>
          <t>No</t>
        </is>
      </c>
      <c r="M111" t="inlineStr">
        <is>
          <t>No</t>
        </is>
      </c>
      <c r="N111" t="inlineStr">
        <is>
          <t>No</t>
        </is>
      </c>
      <c r="O111" t="b">
        <v>1</v>
      </c>
      <c r="P111" t="inlineStr">
        <is>
          <t>FFY2025</t>
        </is>
      </c>
      <c r="Q111" t="inlineStr">
        <is>
          <t>AC Authorization</t>
        </is>
      </c>
    </row>
    <row r="112">
      <c r="A112" t="inlineStr">
        <is>
          <t>07-25-0021</t>
        </is>
      </c>
      <c r="B112" t="inlineStr">
        <is>
          <t>Ill 1 Halsted St - Ridge Rd to Strieff Ln</t>
        </is>
      </c>
      <c r="C112" t="inlineStr">
        <is>
          <t>Smart Overlay, ADA Improvements</t>
        </is>
      </c>
      <c r="D112" t="inlineStr">
        <is>
          <t>Road Maintenance</t>
        </is>
      </c>
      <c r="E112" t="inlineStr">
        <is>
          <t>[E-ADAMAINT] Maintain/Repair ADA Infrastructure (Roadway), [H-RS] Highway/Road - Resurface (with No Lane Widening)</t>
        </is>
      </c>
      <c r="F112" t="inlineStr">
        <is>
          <t>IDOT D1 Hwys</t>
        </is>
      </c>
      <c r="G112" t="inlineStr">
        <is>
          <t>Cook</t>
        </is>
      </c>
      <c r="H112" t="inlineStr">
        <is>
          <t>Glenwood, Homewood</t>
        </is>
      </c>
      <c r="I112" t="inlineStr">
        <is>
          <t>WWFK227</t>
        </is>
      </c>
      <c r="J112" t="inlineStr">
        <is>
          <t>NHPP</t>
        </is>
      </c>
      <c r="K112" s="5" t="n">
        <v>1360000</v>
      </c>
      <c r="L112" t="inlineStr">
        <is>
          <t>Yes</t>
        </is>
      </c>
      <c r="M112" t="inlineStr">
        <is>
          <t>Yes</t>
        </is>
      </c>
      <c r="N112" t="inlineStr">
        <is>
          <t>No</t>
        </is>
      </c>
      <c r="O112" t="b">
        <v>1</v>
      </c>
      <c r="P112" t="inlineStr">
        <is>
          <t>FFY2025</t>
        </is>
      </c>
      <c r="Q112" t="inlineStr">
        <is>
          <t>AC Authorization</t>
        </is>
      </c>
    </row>
    <row r="113">
      <c r="A113" t="inlineStr">
        <is>
          <t>08-24-0017</t>
        </is>
      </c>
      <c r="B113" t="inlineStr">
        <is>
          <t>Center Avenue Sidewalk</t>
        </is>
      </c>
      <c r="C113" t="inlineStr">
        <is>
          <t>Installation of a new sidewalk, where none currently exits, along the east side of Center Avenue between Maple Avenue and Laurel Avenue. Also included is upgrading all crossings to the latest ADA standards through the corridor.</t>
        </is>
      </c>
      <c r="D113" t="inlineStr">
        <is>
          <t>Bicycle &amp; Pedestrian</t>
        </is>
      </c>
      <c r="E113" t="inlineStr">
        <is>
          <t>[E-ADAIMP] Improve ADA Infrastructure (Roadway), [E-ADANEW] New ADA Infrastructure (Roadway), [E-PEDNEW] New Pedestrian Facility</t>
        </is>
      </c>
      <c r="F113" t="inlineStr">
        <is>
          <t>DuPage Council</t>
        </is>
      </c>
      <c r="G113" t="inlineStr">
        <is>
          <t>Cook</t>
        </is>
      </c>
      <c r="H113" t="inlineStr">
        <is>
          <t>Hanover Park</t>
        </is>
      </c>
      <c r="I113" t="inlineStr">
        <is>
          <t>E35N441</t>
        </is>
      </c>
      <c r="J113" t="inlineStr">
        <is>
          <t>STP - Locally Prgmd</t>
        </is>
      </c>
      <c r="K113" s="5" t="n">
        <v>496200</v>
      </c>
      <c r="L113" t="inlineStr">
        <is>
          <t>Yes</t>
        </is>
      </c>
      <c r="M113" t="inlineStr">
        <is>
          <t>Yes</t>
        </is>
      </c>
      <c r="N113" t="inlineStr">
        <is>
          <t>No</t>
        </is>
      </c>
      <c r="O113" t="b">
        <v>1</v>
      </c>
      <c r="P113" t="inlineStr">
        <is>
          <t>FFY2025</t>
        </is>
      </c>
      <c r="Q113" t="inlineStr">
        <is>
          <t>AC Authorization</t>
        </is>
      </c>
    </row>
    <row r="114">
      <c r="A114" t="inlineStr">
        <is>
          <t>08-24-0047</t>
        </is>
      </c>
      <c r="B114" t="inlineStr">
        <is>
          <t>Various - signal modernization at various locations in Cook, DuPage, &amp; Kane</t>
        </is>
      </c>
      <c r="C114" t="inlineStr">
        <is>
          <t>Intersection Improvement, Traffic Signal Modernization</t>
        </is>
      </c>
      <c r="D114" t="inlineStr">
        <is>
          <t>Intersection/Interchange Improvements</t>
        </is>
      </c>
      <c r="E114" t="inlineStr">
        <is>
          <t>[H-INTIMP] Highway/Road - Intersection Improvement, [S-MOD] Signals - Modernization</t>
        </is>
      </c>
      <c r="F114" t="inlineStr">
        <is>
          <t>IDOT D1 Hwys</t>
        </is>
      </c>
      <c r="G114" t="inlineStr">
        <is>
          <t>Cook, DuPage, Kane</t>
        </is>
      </c>
      <c r="H114" t="inlineStr">
        <is>
          <t>Glen Ellyn, Hillside, St. Charles, West Chicago</t>
        </is>
      </c>
      <c r="I114" t="inlineStr">
        <is>
          <t>G9UR363</t>
        </is>
      </c>
      <c r="J114" t="inlineStr">
        <is>
          <t>Hwy Safety Improve Pgm</t>
        </is>
      </c>
      <c r="K114" s="5" t="n">
        <v>2700000</v>
      </c>
      <c r="L114" t="inlineStr">
        <is>
          <t>No</t>
        </is>
      </c>
      <c r="M114" t="inlineStr">
        <is>
          <t>No</t>
        </is>
      </c>
      <c r="N114" t="inlineStr">
        <is>
          <t>No</t>
        </is>
      </c>
      <c r="O114" t="b">
        <v>1</v>
      </c>
      <c r="P114" t="inlineStr">
        <is>
          <t>FFY2025</t>
        </is>
      </c>
      <c r="Q114" t="inlineStr">
        <is>
          <t>AC Authorization</t>
        </is>
      </c>
    </row>
    <row r="115">
      <c r="A115" t="inlineStr">
        <is>
          <t>08-24-0048</t>
        </is>
      </c>
      <c r="B115" t="inlineStr">
        <is>
          <t>Various - signal modernization at various locations in Cook, &amp; DuPage</t>
        </is>
      </c>
      <c r="C115" t="inlineStr">
        <is>
          <t>Intersection Improvement, Traffic Signal Modernization</t>
        </is>
      </c>
      <c r="D115" t="inlineStr">
        <is>
          <t>Intersection/Interchange Improvements</t>
        </is>
      </c>
      <c r="E115" t="inlineStr">
        <is>
          <t>[H-INTIMP] Highway/Road - Intersection Improvement, [S-MOD] Signals - Modernization</t>
        </is>
      </c>
      <c r="F115" t="inlineStr">
        <is>
          <t>IDOT D1 Hwys</t>
        </is>
      </c>
      <c r="G115" t="inlineStr">
        <is>
          <t>Cook, DuPage</t>
        </is>
      </c>
      <c r="H115" t="inlineStr">
        <is>
          <t>Clarendon Hills, Hinsdale, McCook, Naperville, Westmont</t>
        </is>
      </c>
      <c r="I115" t="inlineStr">
        <is>
          <t>I039578</t>
        </is>
      </c>
      <c r="J115" t="inlineStr">
        <is>
          <t>Hwy Safety Improve Pgm</t>
        </is>
      </c>
      <c r="K115" s="5" t="n">
        <v>2700000</v>
      </c>
      <c r="L115" t="inlineStr">
        <is>
          <t>No</t>
        </is>
      </c>
      <c r="M115" t="inlineStr">
        <is>
          <t>No</t>
        </is>
      </c>
      <c r="N115" t="inlineStr">
        <is>
          <t>No</t>
        </is>
      </c>
      <c r="O115" t="b">
        <v>1</v>
      </c>
      <c r="P115" t="inlineStr">
        <is>
          <t>FFY2025</t>
        </is>
      </c>
      <c r="Q115" t="inlineStr">
        <is>
          <t>AC Authorization</t>
        </is>
      </c>
    </row>
    <row r="116">
      <c r="A116" t="inlineStr">
        <is>
          <t>09-25-0023</t>
        </is>
      </c>
      <c r="B116" t="inlineStr">
        <is>
          <t>US 20 Lake St - Shales Pkwy/Bluff City Blvd to W of Intersection</t>
        </is>
      </c>
      <c r="C116" t="inlineStr">
        <is>
          <t>Designed Overlay</t>
        </is>
      </c>
      <c r="D116" t="inlineStr">
        <is>
          <t>Road Maintenance</t>
        </is>
      </c>
      <c r="E116" t="inlineStr">
        <is>
          <t>[H-RS] Highway/Road - Resurface (with No Lane Widening)</t>
        </is>
      </c>
      <c r="F116" t="inlineStr">
        <is>
          <t>IDOT D1 Hwys</t>
        </is>
      </c>
      <c r="G116" t="inlineStr">
        <is>
          <t>Cook</t>
        </is>
      </c>
      <c r="H116" t="inlineStr">
        <is>
          <t>Elgin</t>
        </is>
      </c>
      <c r="I116" t="inlineStr">
        <is>
          <t>LZPB560</t>
        </is>
      </c>
      <c r="J116" t="inlineStr">
        <is>
          <t>NHPP</t>
        </is>
      </c>
      <c r="K116" s="5" t="n">
        <v>576000</v>
      </c>
      <c r="L116" t="inlineStr">
        <is>
          <t>No</t>
        </is>
      </c>
      <c r="M116" t="inlineStr">
        <is>
          <t>No</t>
        </is>
      </c>
      <c r="N116" t="inlineStr">
        <is>
          <t>No</t>
        </is>
      </c>
      <c r="O116" t="b">
        <v>1</v>
      </c>
      <c r="P116" t="inlineStr">
        <is>
          <t>FFY2025</t>
        </is>
      </c>
      <c r="Q116" t="inlineStr">
        <is>
          <t>AC Authorization</t>
        </is>
      </c>
    </row>
    <row r="117">
      <c r="A117" t="inlineStr">
        <is>
          <t>11-25-0005</t>
        </is>
      </c>
      <c r="B117" t="inlineStr">
        <is>
          <t>Ill 68 Dundee Rd - Kane Co Line to Ill 62 (Algonquin Rd)</t>
        </is>
      </c>
      <c r="C117" t="inlineStr">
        <is>
          <t>Smart Overlay</t>
        </is>
      </c>
      <c r="D117" t="inlineStr">
        <is>
          <t>Road Maintenance</t>
        </is>
      </c>
      <c r="E117" t="inlineStr">
        <is>
          <t>[H-RS] Highway/Road - Resurface (with No Lane Widening)</t>
        </is>
      </c>
      <c r="F117" t="inlineStr">
        <is>
          <t>IDOT D1 Hwys</t>
        </is>
      </c>
      <c r="G117" t="inlineStr">
        <is>
          <t>Cook</t>
        </is>
      </c>
      <c r="H117" t="inlineStr">
        <is>
          <t>Barrington Hills</t>
        </is>
      </c>
      <c r="I117" t="inlineStr">
        <is>
          <t>6LX9253</t>
        </is>
      </c>
      <c r="J117" t="inlineStr">
        <is>
          <t>NHPP</t>
        </is>
      </c>
      <c r="K117" s="5" t="n">
        <v>1280000</v>
      </c>
      <c r="L117" t="inlineStr">
        <is>
          <t>No</t>
        </is>
      </c>
      <c r="M117" t="inlineStr">
        <is>
          <t>No</t>
        </is>
      </c>
      <c r="N117" t="inlineStr">
        <is>
          <t>No</t>
        </is>
      </c>
      <c r="O117" t="b">
        <v>1</v>
      </c>
      <c r="P117" t="inlineStr">
        <is>
          <t>FFY2025</t>
        </is>
      </c>
      <c r="Q117" t="inlineStr">
        <is>
          <t>AC Authorization</t>
        </is>
      </c>
    </row>
    <row r="118">
      <c r="A118" t="inlineStr">
        <is>
          <t>12-24-0026</t>
        </is>
      </c>
      <c r="B118" t="inlineStr">
        <is>
          <t>Various - signal modernization at various locations in Cook, &amp; Will</t>
        </is>
      </c>
      <c r="C118" t="inlineStr">
        <is>
          <t>Traffic Signal Modernization, Intersection Improvement</t>
        </is>
      </c>
      <c r="D118" t="inlineStr">
        <is>
          <t>Intersection/Interchange Improvements</t>
        </is>
      </c>
      <c r="E118" t="inlineStr">
        <is>
          <t>[H-INTIMP] Highway/Road - Intersection Improvement, [S-MOD] Signals - Modernization</t>
        </is>
      </c>
      <c r="F118" t="inlineStr">
        <is>
          <t>IDOT D1 Hwys</t>
        </is>
      </c>
      <c r="G118" t="inlineStr">
        <is>
          <t>Cook, Will</t>
        </is>
      </c>
      <c r="H118" t="inlineStr">
        <is>
          <t>Braidwood, Crestwood, Lynwood, Plainfield, Worth</t>
        </is>
      </c>
      <c r="I118" t="inlineStr">
        <is>
          <t>YIV6043</t>
        </is>
      </c>
      <c r="J118" t="inlineStr">
        <is>
          <t>Hwy Safety Improve Pgm</t>
        </is>
      </c>
      <c r="K118" s="5" t="n">
        <v>3150000</v>
      </c>
      <c r="L118" t="inlineStr">
        <is>
          <t>No</t>
        </is>
      </c>
      <c r="M118" t="inlineStr">
        <is>
          <t>No</t>
        </is>
      </c>
      <c r="N118" t="inlineStr">
        <is>
          <t>No</t>
        </is>
      </c>
      <c r="O118" t="b">
        <v>1</v>
      </c>
      <c r="P118" t="inlineStr">
        <is>
          <t>FFY2025</t>
        </is>
      </c>
      <c r="Q118" t="inlineStr">
        <is>
          <t>AC Authorization</t>
        </is>
      </c>
    </row>
    <row r="119">
      <c r="A119" t="inlineStr">
        <is>
          <t>13-19-0005</t>
        </is>
      </c>
      <c r="B119" t="inlineStr">
        <is>
          <t>Illinois Route 64 SMART Corridor (Smith/Kautz Road to Illinois Route 50 - Cicero Avenue)</t>
        </is>
      </c>
      <c r="C119"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19" t="inlineStr">
        <is>
          <t>Systems Improvements</t>
        </is>
      </c>
      <c r="E119" t="inlineStr">
        <is>
          <t>[E-ADAIMP] Improve ADA Infrastructure (Roadway), [E-PEDIMP] Improve Pedestrian Facility, [S-MOD] Signals - Modernization, [S-TIM] Signals - Interconnects And Timing, [T-IMPSVC] Bus Routes - Improve Service</t>
        </is>
      </c>
      <c r="F119" t="inlineStr">
        <is>
          <t>IDOT D1 Hwys</t>
        </is>
      </c>
      <c r="G119" t="inlineStr">
        <is>
          <t>Cook, DuPage</t>
        </is>
      </c>
      <c r="H119" t="inlineStr">
        <is>
          <t>Countywide</t>
        </is>
      </c>
      <c r="I119" t="inlineStr">
        <is>
          <t>2JSY870</t>
        </is>
      </c>
      <c r="J119" t="inlineStr">
        <is>
          <t>CMAQ</t>
        </is>
      </c>
      <c r="K119" s="5" t="n">
        <v>10922005</v>
      </c>
      <c r="L119" t="inlineStr">
        <is>
          <t>Yes</t>
        </is>
      </c>
      <c r="M119" t="inlineStr">
        <is>
          <t>Yes</t>
        </is>
      </c>
      <c r="N119" t="inlineStr">
        <is>
          <t>No</t>
        </is>
      </c>
      <c r="O119" t="b">
        <v>1</v>
      </c>
      <c r="P119" t="inlineStr">
        <is>
          <t>FFY2025</t>
        </is>
      </c>
      <c r="Q119" t="inlineStr">
        <is>
          <t>AC Authorization</t>
        </is>
      </c>
    </row>
    <row r="120">
      <c r="A120" t="inlineStr">
        <is>
          <t>13-19-0005</t>
        </is>
      </c>
      <c r="B120" t="inlineStr">
        <is>
          <t>Illinois Route 64 SMART Corridor (Smith/Kautz Road to Illinois Route 50 - Cicero Avenue)</t>
        </is>
      </c>
      <c r="C120" t="inlineStr">
        <is>
          <t>ITS elements include: traffic signal interconnect, travel time monitoring, dynamic message signs, closed-circuit television cameras, transit signal priority emergency vehicle preemption, and pedestrian countdown signals. Full ADA compliance at signalized intersections, improved pedestrian access to transit, the addition of high visibility crosswalks, and far side relocation of bus stops at traffic signals where feasible and desirable.</t>
        </is>
      </c>
      <c r="D120" t="inlineStr">
        <is>
          <t>Systems Improvements</t>
        </is>
      </c>
      <c r="E120" t="inlineStr">
        <is>
          <t>[E-ADAIMP] Improve ADA Infrastructure (Roadway), [E-PEDIMP] Improve Pedestrian Facility, [S-MOD] Signals - Modernization, [S-TIM] Signals - Interconnects And Timing, [T-IMPSVC] Bus Routes - Improve Service</t>
        </is>
      </c>
      <c r="F120" t="inlineStr">
        <is>
          <t>IDOT D1 Hwys</t>
        </is>
      </c>
      <c r="G120" t="inlineStr">
        <is>
          <t>Cook, DuPage</t>
        </is>
      </c>
      <c r="H120" t="inlineStr">
        <is>
          <t>Countywide</t>
        </is>
      </c>
      <c r="I120" t="inlineStr">
        <is>
          <t>2JSY870</t>
        </is>
      </c>
      <c r="J120" t="inlineStr">
        <is>
          <t>NHPP</t>
        </is>
      </c>
      <c r="K120" s="5" t="n">
        <v>8807138</v>
      </c>
      <c r="L120" t="inlineStr">
        <is>
          <t>Yes</t>
        </is>
      </c>
      <c r="M120" t="inlineStr">
        <is>
          <t>Yes</t>
        </is>
      </c>
      <c r="N120" t="inlineStr">
        <is>
          <t>No</t>
        </is>
      </c>
      <c r="O120" t="b">
        <v>1</v>
      </c>
      <c r="P120" t="inlineStr">
        <is>
          <t>FFY2025</t>
        </is>
      </c>
      <c r="Q120" t="inlineStr">
        <is>
          <t>AC Authorization</t>
        </is>
      </c>
    </row>
    <row r="121">
      <c r="A121" t="inlineStr">
        <is>
          <t>15-16-0006</t>
        </is>
      </c>
      <c r="B121" t="inlineStr">
        <is>
          <t>IL 171 (Archer Ave.) At 95th St.</t>
        </is>
      </c>
      <c r="C121" t="inlineStr">
        <is>
          <t>Intersection Reconstruction, Culvert Rehabilitation, Landscaping</t>
        </is>
      </c>
      <c r="D121" t="inlineStr">
        <is>
          <t>Intersection/Interchange Improvements</t>
        </is>
      </c>
      <c r="E121" t="inlineStr">
        <is>
          <t>[B-REPAIR] Bridge/Structure - Reconst/Rehab No Chng in #, Wdth, or Lane, [E-LS] Enhancement - Landscaping, [H-INTRC] Highway/Road - Intersection Reconstruction</t>
        </is>
      </c>
      <c r="F121" t="inlineStr">
        <is>
          <t>IDOT D1 Hwys</t>
        </is>
      </c>
      <c r="G121" t="inlineStr">
        <is>
          <t>Cook</t>
        </is>
      </c>
      <c r="H121" t="inlineStr">
        <is>
          <t>Unincorporated</t>
        </is>
      </c>
      <c r="I121" t="inlineStr">
        <is>
          <t>5CJN586</t>
        </is>
      </c>
      <c r="J121" t="inlineStr">
        <is>
          <t>STP - State Prgmd Urban</t>
        </is>
      </c>
      <c r="K121" s="5" t="n">
        <v>10800000</v>
      </c>
      <c r="L121" t="inlineStr">
        <is>
          <t>Yes</t>
        </is>
      </c>
      <c r="M121" t="inlineStr">
        <is>
          <t>No</t>
        </is>
      </c>
      <c r="N121" t="inlineStr">
        <is>
          <t>No</t>
        </is>
      </c>
      <c r="O121" t="b">
        <v>1</v>
      </c>
      <c r="P121" t="inlineStr">
        <is>
          <t>FFY2025</t>
        </is>
      </c>
      <c r="Q121" t="inlineStr">
        <is>
          <t>AC Authorization</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O150"/>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55" customWidth="1" min="3" max="3"/>
    <col width="35" customWidth="1" min="4" max="4"/>
    <col width="55" customWidth="1" min="5" max="5"/>
    <col width="20" customWidth="1" min="6" max="6"/>
    <col width="19" customWidth="1" min="7" max="7"/>
    <col width="34" customWidth="1" min="8" max="8"/>
    <col width="22" customWidth="1" min="9" max="9"/>
    <col width="28" customWidth="1" min="10" max="10"/>
    <col width="23" customWidth="1" min="11" max="11"/>
    <col width="26" customWidth="1" min="12" max="12"/>
    <col width="24" customWidth="1" min="13" max="13"/>
    <col width="13" customWidth="1" min="14" max="14"/>
    <col width="16" customWidth="1" min="15" max="15"/>
  </cols>
  <sheetData>
    <row r="1">
      <c r="A1" s="4" t="inlineStr">
        <is>
          <t>TIP ID</t>
        </is>
      </c>
      <c r="B1" s="4" t="inlineStr">
        <is>
          <t>Project Title</t>
        </is>
      </c>
      <c r="C1" s="4" t="inlineStr">
        <is>
          <t>Project Description</t>
        </is>
      </c>
      <c r="D1" s="4" t="inlineStr">
        <is>
          <t>Project Type</t>
        </is>
      </c>
      <c r="E1" s="4" t="inlineStr">
        <is>
          <t>Project Scope (Work Types)</t>
        </is>
      </c>
      <c r="F1" s="4" t="inlineStr">
        <is>
          <t>Programming Agency</t>
        </is>
      </c>
      <c r="G1" s="4" t="inlineStr">
        <is>
          <t>FTA Project #</t>
        </is>
      </c>
      <c r="H1" s="4" t="inlineStr">
        <is>
          <t>Federal Fund</t>
        </is>
      </c>
      <c r="I1" s="4" t="inlineStr">
        <is>
          <t>Obligated Amount ($)</t>
        </is>
      </c>
      <c r="J1" s="4" t="inlineStr">
        <is>
          <t>Includes Bike/Ped Elements</t>
        </is>
      </c>
      <c r="K1" s="4" t="inlineStr">
        <is>
          <t>Includes ADA Elements</t>
        </is>
      </c>
      <c r="L1" s="4" t="inlineStr">
        <is>
          <t>Includes Safety Elements</t>
        </is>
      </c>
      <c r="M1" s="4" t="inlineStr">
        <is>
          <t>Street Design Relevant</t>
        </is>
      </c>
      <c r="N1" s="4" t="inlineStr">
        <is>
          <t>Fiscal Year</t>
        </is>
      </c>
      <c r="O1" s="4" t="inlineStr">
        <is>
          <t>Table</t>
        </is>
      </c>
    </row>
    <row r="2">
      <c r="A2" t="inlineStr">
        <is>
          <t>01-94-0006</t>
        </is>
      </c>
      <c r="B2" t="inlineStr">
        <is>
          <t>254.001 Red Line Extension from US 12 US 20 95th St to 130th - RSP 57</t>
        </is>
      </c>
      <c r="C2" t="inlineStr">
        <is>
          <t>The proposed Red Line Extension (RLE) project would extend the Red Line from the existing terminal at 95th Street/Dan Ryan to the vicinity of 132nd Street, subject to the availability of funding. The 5.6-mile extension would include four new, accessible stations at 103rd Street, 111th Street, Michigan Avenue, and 130th Street. Other-Federal in FFY 23 are 450k from Areas of Persistent poverty FFY 21 grant and $1.5M in workforce development grants.</t>
        </is>
      </c>
      <c r="D2" t="inlineStr">
        <is>
          <t>Transit Line/Route Expansion</t>
        </is>
      </c>
      <c r="E2" t="inlineStr">
        <is>
          <t>[C-NEW] Station - New, [R-EXP] Rail Line - Expand Line</t>
        </is>
      </c>
      <c r="F2" t="inlineStr">
        <is>
          <t>CTA</t>
        </is>
      </c>
      <c r="G2" t="inlineStr">
        <is>
          <t>IL-2025-001-00</t>
        </is>
      </c>
      <c r="H2" t="inlineStr">
        <is>
          <t>FTA 5309 (CIG - New Starts)</t>
        </is>
      </c>
      <c r="I2" s="5" t="n">
        <v>746000000</v>
      </c>
      <c r="J2" t="inlineStr">
        <is>
          <t>No</t>
        </is>
      </c>
      <c r="K2" t="inlineStr">
        <is>
          <t>No</t>
        </is>
      </c>
      <c r="L2" t="inlineStr">
        <is>
          <t>No</t>
        </is>
      </c>
      <c r="M2" t="b">
        <v>0</v>
      </c>
      <c r="N2" t="inlineStr">
        <is>
          <t>FFY2025</t>
        </is>
      </c>
      <c r="O2" t="inlineStr">
        <is>
          <t>FTA Obligation</t>
        </is>
      </c>
    </row>
    <row r="3">
      <c r="A3" t="inlineStr">
        <is>
          <t>01-94-0006</t>
        </is>
      </c>
      <c r="B3" t="inlineStr">
        <is>
          <t>254.001 Red Line Extension from US 12 US 20 95th St to 130th - RSP 57</t>
        </is>
      </c>
      <c r="C3" t="inlineStr">
        <is>
          <t>The proposed Red Line Extension (RLE) project would extend the Red Line from the existing terminal at 95th Street/Dan Ryan to the vicinity of 132nd Street, subject to the availability of funding. The 5.6-mile extension would include four new, accessible stations at 103rd Street, 111th Street, Michigan Avenue, and 130th Street. Other-Federal in FFY 23 are 450k from Areas of Persistent poverty FFY 21 grant and $1.5M in workforce development grants.</t>
        </is>
      </c>
      <c r="D3" t="inlineStr">
        <is>
          <t>Transit Line/Route Expansion</t>
        </is>
      </c>
      <c r="E3" t="inlineStr">
        <is>
          <t>[C-NEW] Station - New, [R-EXP] Rail Line - Expand Line</t>
        </is>
      </c>
      <c r="F3" t="inlineStr">
        <is>
          <t>CTA</t>
        </is>
      </c>
      <c r="G3" t="inlineStr">
        <is>
          <t>IL-2025-001-01</t>
        </is>
      </c>
      <c r="H3" t="inlineStr">
        <is>
          <t>FTA 5309 (CIG - New Starts)</t>
        </is>
      </c>
      <c r="I3" s="5" t="n">
        <v>350000000</v>
      </c>
      <c r="J3" t="inlineStr">
        <is>
          <t>No</t>
        </is>
      </c>
      <c r="K3" t="inlineStr">
        <is>
          <t>No</t>
        </is>
      </c>
      <c r="L3" t="inlineStr">
        <is>
          <t>No</t>
        </is>
      </c>
      <c r="M3" t="b">
        <v>0</v>
      </c>
      <c r="N3" t="inlineStr">
        <is>
          <t>FFY2025</t>
        </is>
      </c>
      <c r="O3" t="inlineStr">
        <is>
          <t>FTA Obligation</t>
        </is>
      </c>
    </row>
    <row r="4">
      <c r="A4" t="inlineStr">
        <is>
          <t>13-24-0001</t>
        </is>
      </c>
      <c r="B4" t="inlineStr">
        <is>
          <t>FTA Section (FFY 22 and 23) 5310 Enhanced Mobility for Seniors and Individuals with Disabilities (RTA 2022 &amp; 2023 Program of Projects)</t>
        </is>
      </c>
      <c r="C4" t="inlineStr">
        <is>
          <t>Projects that provide enhanced transportation services for Seniors and Individuals with Disabilities throughout the region using FTA Section 5310 funds from FFY 22 and 23.</t>
        </is>
      </c>
      <c r="D4" t="inlineStr">
        <is>
          <t>Transit Operations</t>
        </is>
      </c>
      <c r="E4" t="inlineStr">
        <is>
          <t>[O-C&amp;A] Operations - Contingency And Administration, [O-OPS] Operations - Transit Operating Assistance, [Z-OTHEX] Miscellaneous - Exempt Projects</t>
        </is>
      </c>
      <c r="F4" t="inlineStr">
        <is>
          <t>RTA</t>
        </is>
      </c>
      <c r="G4" t="inlineStr">
        <is>
          <t>IL-2024-004-00</t>
        </is>
      </c>
      <c r="H4" t="inlineStr">
        <is>
          <t>FTA 5310 Elderly/Disabled</t>
        </is>
      </c>
      <c r="I4" s="5" t="n">
        <v>200000</v>
      </c>
      <c r="J4" t="inlineStr">
        <is>
          <t>No</t>
        </is>
      </c>
      <c r="K4" t="inlineStr">
        <is>
          <t>No</t>
        </is>
      </c>
      <c r="L4" t="inlineStr">
        <is>
          <t>No</t>
        </is>
      </c>
      <c r="M4" t="b">
        <v>0</v>
      </c>
      <c r="N4" t="inlineStr">
        <is>
          <t>FFY2025</t>
        </is>
      </c>
      <c r="O4" t="inlineStr">
        <is>
          <t>FTA Obligation</t>
        </is>
      </c>
    </row>
    <row r="5">
      <c r="A5" t="inlineStr">
        <is>
          <t>13-24-0001</t>
        </is>
      </c>
      <c r="B5" t="inlineStr">
        <is>
          <t>FTA Section (FFY 22 and 23) 5310 Enhanced Mobility for Seniors and Individuals with Disabilities (RTA 2022 &amp; 2023 Program of Projects)</t>
        </is>
      </c>
      <c r="C5" t="inlineStr">
        <is>
          <t>Projects that provide enhanced transportation services for Seniors and Individuals with Disabilities throughout the region using FTA Section 5310 funds from FFY 22 and 23.</t>
        </is>
      </c>
      <c r="D5" t="inlineStr">
        <is>
          <t>Transit Operations</t>
        </is>
      </c>
      <c r="E5" t="inlineStr">
        <is>
          <t>[O-C&amp;A] Operations - Contingency And Administration, [O-OPS] Operations - Transit Operating Assistance, [Z-OTHEX] Miscellaneous - Exempt Projects</t>
        </is>
      </c>
      <c r="F5" t="inlineStr">
        <is>
          <t>RTA</t>
        </is>
      </c>
      <c r="G5" t="inlineStr">
        <is>
          <t>IL-2024-004-00</t>
        </is>
      </c>
      <c r="H5" t="inlineStr">
        <is>
          <t>FTA 5310 Elderly/Disabled</t>
        </is>
      </c>
      <c r="I5" s="5" t="n">
        <v>214583</v>
      </c>
      <c r="J5" t="inlineStr">
        <is>
          <t>No</t>
        </is>
      </c>
      <c r="K5" t="inlineStr">
        <is>
          <t>No</t>
        </is>
      </c>
      <c r="L5" t="inlineStr">
        <is>
          <t>No</t>
        </is>
      </c>
      <c r="M5" t="b">
        <v>0</v>
      </c>
      <c r="N5" t="inlineStr">
        <is>
          <t>FFY2025</t>
        </is>
      </c>
      <c r="O5" t="inlineStr">
        <is>
          <t>FTA Obligation</t>
        </is>
      </c>
    </row>
    <row r="6">
      <c r="A6" t="inlineStr">
        <is>
          <t>13-24-0001</t>
        </is>
      </c>
      <c r="B6" t="inlineStr">
        <is>
          <t>FTA Section (FFY 22 and 23) 5310 Enhanced Mobility for Seniors and Individuals with Disabilities (RTA 2022 &amp; 2023 Program of Projects)</t>
        </is>
      </c>
      <c r="C6" t="inlineStr">
        <is>
          <t>Projects that provide enhanced transportation services for Seniors and Individuals with Disabilities throughout the region using FTA Section 5310 funds from FFY 22 and 23.</t>
        </is>
      </c>
      <c r="D6" t="inlineStr">
        <is>
          <t>Transit Operations</t>
        </is>
      </c>
      <c r="E6" t="inlineStr">
        <is>
          <t>[O-C&amp;A] Operations - Contingency And Administration, [O-OPS] Operations - Transit Operating Assistance, [Z-OTHEX] Miscellaneous - Exempt Projects</t>
        </is>
      </c>
      <c r="F6" t="inlineStr">
        <is>
          <t>RTA</t>
        </is>
      </c>
      <c r="G6" t="inlineStr">
        <is>
          <t>IL-2024-004-00</t>
        </is>
      </c>
      <c r="H6" t="inlineStr">
        <is>
          <t>FTA 5310 Elderly/Disabled</t>
        </is>
      </c>
      <c r="I6" s="5" t="n">
        <v>17301</v>
      </c>
      <c r="J6" t="inlineStr">
        <is>
          <t>No</t>
        </is>
      </c>
      <c r="K6" t="inlineStr">
        <is>
          <t>No</t>
        </is>
      </c>
      <c r="L6" t="inlineStr">
        <is>
          <t>No</t>
        </is>
      </c>
      <c r="M6" t="b">
        <v>0</v>
      </c>
      <c r="N6" t="inlineStr">
        <is>
          <t>FFY2025</t>
        </is>
      </c>
      <c r="O6" t="inlineStr">
        <is>
          <t>FTA Obligation</t>
        </is>
      </c>
    </row>
    <row r="7">
      <c r="A7" t="inlineStr">
        <is>
          <t>13-24-0001</t>
        </is>
      </c>
      <c r="B7" t="inlineStr">
        <is>
          <t>FTA Section (FFY 22 and 23) 5310 Enhanced Mobility for Seniors and Individuals with Disabilities (RTA 2022 &amp; 2023 Program of Projects)</t>
        </is>
      </c>
      <c r="C7" t="inlineStr">
        <is>
          <t>Projects that provide enhanced transportation services for Seniors and Individuals with Disabilities throughout the region using FTA Section 5310 funds from FFY 22 and 23.</t>
        </is>
      </c>
      <c r="D7" t="inlineStr">
        <is>
          <t>Transit Operations</t>
        </is>
      </c>
      <c r="E7" t="inlineStr">
        <is>
          <t>[O-C&amp;A] Operations - Contingency And Administration, [O-OPS] Operations - Transit Operating Assistance, [Z-OTHEX] Miscellaneous - Exempt Projects</t>
        </is>
      </c>
      <c r="F7" t="inlineStr">
        <is>
          <t>RTA</t>
        </is>
      </c>
      <c r="G7" t="inlineStr">
        <is>
          <t>IL-2024-004-00</t>
        </is>
      </c>
      <c r="H7" t="inlineStr">
        <is>
          <t>FTA 5310 Elderly/Disabled</t>
        </is>
      </c>
      <c r="I7" s="5" t="n">
        <v>350000</v>
      </c>
      <c r="J7" t="inlineStr">
        <is>
          <t>No</t>
        </is>
      </c>
      <c r="K7" t="inlineStr">
        <is>
          <t>No</t>
        </is>
      </c>
      <c r="L7" t="inlineStr">
        <is>
          <t>No</t>
        </is>
      </c>
      <c r="M7" t="b">
        <v>0</v>
      </c>
      <c r="N7" t="inlineStr">
        <is>
          <t>FFY2025</t>
        </is>
      </c>
      <c r="O7" t="inlineStr">
        <is>
          <t>FTA Obligation</t>
        </is>
      </c>
    </row>
    <row r="8">
      <c r="A8" t="inlineStr">
        <is>
          <t>13-24-0001</t>
        </is>
      </c>
      <c r="B8" t="inlineStr">
        <is>
          <t>FTA Section (FFY 22 and 23) 5310 Enhanced Mobility for Seniors and Individuals with Disabilities (RTA 2022 &amp; 2023 Program of Projects)</t>
        </is>
      </c>
      <c r="C8" t="inlineStr">
        <is>
          <t>Projects that provide enhanced transportation services for Seniors and Individuals with Disabilities throughout the region using FTA Section 5310 funds from FFY 22 and 23.</t>
        </is>
      </c>
      <c r="D8" t="inlineStr">
        <is>
          <t>Transit Operations</t>
        </is>
      </c>
      <c r="E8" t="inlineStr">
        <is>
          <t>[O-C&amp;A] Operations - Contingency And Administration, [O-OPS] Operations - Transit Operating Assistance, [Z-OTHEX] Miscellaneous - Exempt Projects</t>
        </is>
      </c>
      <c r="F8" t="inlineStr">
        <is>
          <t>RTA</t>
        </is>
      </c>
      <c r="G8" t="inlineStr">
        <is>
          <t>IL-2024-004-00</t>
        </is>
      </c>
      <c r="H8" t="inlineStr">
        <is>
          <t>FTA 5310 Elderly/Disabled</t>
        </is>
      </c>
      <c r="I8" s="5" t="n">
        <v>22510</v>
      </c>
      <c r="J8" t="inlineStr">
        <is>
          <t>No</t>
        </is>
      </c>
      <c r="K8" t="inlineStr">
        <is>
          <t>No</t>
        </is>
      </c>
      <c r="L8" t="inlineStr">
        <is>
          <t>No</t>
        </is>
      </c>
      <c r="M8" t="b">
        <v>0</v>
      </c>
      <c r="N8" t="inlineStr">
        <is>
          <t>FFY2025</t>
        </is>
      </c>
      <c r="O8" t="inlineStr">
        <is>
          <t>FTA Obligation</t>
        </is>
      </c>
    </row>
    <row r="9">
      <c r="A9" t="inlineStr">
        <is>
          <t>13-24-0001</t>
        </is>
      </c>
      <c r="B9" t="inlineStr">
        <is>
          <t>FTA Section (FFY 22 and 23) 5310 Enhanced Mobility for Seniors and Individuals with Disabilities (RTA 2022 &amp; 2023 Program of Projects)</t>
        </is>
      </c>
      <c r="C9" t="inlineStr">
        <is>
          <t>Projects that provide enhanced transportation services for Seniors and Individuals with Disabilities throughout the region using FTA Section 5310 funds from FFY 22 and 23.</t>
        </is>
      </c>
      <c r="D9" t="inlineStr">
        <is>
          <t>Transit Operations</t>
        </is>
      </c>
      <c r="E9" t="inlineStr">
        <is>
          <t>[O-C&amp;A] Operations - Contingency And Administration, [O-OPS] Operations - Transit Operating Assistance, [Z-OTHEX] Miscellaneous - Exempt Projects</t>
        </is>
      </c>
      <c r="F9" t="inlineStr">
        <is>
          <t>RTA</t>
        </is>
      </c>
      <c r="G9" t="inlineStr">
        <is>
          <t>IL-2024-004-00</t>
        </is>
      </c>
      <c r="H9" t="inlineStr">
        <is>
          <t>FTA 5310 Elderly/Disabled</t>
        </is>
      </c>
      <c r="I9" s="5" t="n">
        <v>80000</v>
      </c>
      <c r="J9" t="inlineStr">
        <is>
          <t>No</t>
        </is>
      </c>
      <c r="K9" t="inlineStr">
        <is>
          <t>No</t>
        </is>
      </c>
      <c r="L9" t="inlineStr">
        <is>
          <t>No</t>
        </is>
      </c>
      <c r="M9" t="b">
        <v>0</v>
      </c>
      <c r="N9" t="inlineStr">
        <is>
          <t>FFY2025</t>
        </is>
      </c>
      <c r="O9" t="inlineStr">
        <is>
          <t>FTA Obligation</t>
        </is>
      </c>
    </row>
    <row r="10">
      <c r="A10" t="inlineStr">
        <is>
          <t>13-24-0001</t>
        </is>
      </c>
      <c r="B10" t="inlineStr">
        <is>
          <t>FTA Section (FFY 22 and 23) 5310 Enhanced Mobility for Seniors and Individuals with Disabilities (RTA 2022 &amp; 2023 Program of Projects)</t>
        </is>
      </c>
      <c r="C10" t="inlineStr">
        <is>
          <t>Projects that provide enhanced transportation services for Seniors and Individuals with Disabilities throughout the region using FTA Section 5310 funds from FFY 22 and 23.</t>
        </is>
      </c>
      <c r="D10" t="inlineStr">
        <is>
          <t>Transit Operations</t>
        </is>
      </c>
      <c r="E10" t="inlineStr">
        <is>
          <t>[O-C&amp;A] Operations - Contingency And Administration, [O-OPS] Operations - Transit Operating Assistance, [Z-OTHEX] Miscellaneous - Exempt Projects</t>
        </is>
      </c>
      <c r="F10" t="inlineStr">
        <is>
          <t>RTA</t>
        </is>
      </c>
      <c r="G10" t="inlineStr">
        <is>
          <t>IL-2024-004-00</t>
        </is>
      </c>
      <c r="H10" t="inlineStr">
        <is>
          <t>FTA 5310 Elderly/Disabled</t>
        </is>
      </c>
      <c r="I10" s="5" t="n">
        <v>310000</v>
      </c>
      <c r="J10" t="inlineStr">
        <is>
          <t>No</t>
        </is>
      </c>
      <c r="K10" t="inlineStr">
        <is>
          <t>No</t>
        </is>
      </c>
      <c r="L10" t="inlineStr">
        <is>
          <t>No</t>
        </is>
      </c>
      <c r="M10" t="b">
        <v>0</v>
      </c>
      <c r="N10" t="inlineStr">
        <is>
          <t>FFY2025</t>
        </is>
      </c>
      <c r="O10" t="inlineStr">
        <is>
          <t>FTA Obligation</t>
        </is>
      </c>
    </row>
    <row r="11">
      <c r="A11" t="inlineStr">
        <is>
          <t>13-24-0001</t>
        </is>
      </c>
      <c r="B11" t="inlineStr">
        <is>
          <t>FTA Section (FFY 22 and 23) 5310 Enhanced Mobility for Seniors and Individuals with Disabilities (RTA 2022 &amp; 2023 Program of Projects)</t>
        </is>
      </c>
      <c r="C11" t="inlineStr">
        <is>
          <t>Projects that provide enhanced transportation services for Seniors and Individuals with Disabilities throughout the region using FTA Section 5310 funds from FFY 22 and 23.</t>
        </is>
      </c>
      <c r="D11" t="inlineStr">
        <is>
          <t>Transit Operations</t>
        </is>
      </c>
      <c r="E11" t="inlineStr">
        <is>
          <t>[O-C&amp;A] Operations - Contingency And Administration, [O-OPS] Operations - Transit Operating Assistance, [Z-OTHEX] Miscellaneous - Exempt Projects</t>
        </is>
      </c>
      <c r="F11" t="inlineStr">
        <is>
          <t>RTA</t>
        </is>
      </c>
      <c r="G11" t="inlineStr">
        <is>
          <t>IL-2024-004-00</t>
        </is>
      </c>
      <c r="H11" t="inlineStr">
        <is>
          <t>FTA 5310 Elderly/Disabled</t>
        </is>
      </c>
      <c r="I11" s="5" t="n">
        <v>60000</v>
      </c>
      <c r="J11" t="inlineStr">
        <is>
          <t>No</t>
        </is>
      </c>
      <c r="K11" t="inlineStr">
        <is>
          <t>No</t>
        </is>
      </c>
      <c r="L11" t="inlineStr">
        <is>
          <t>No</t>
        </is>
      </c>
      <c r="M11" t="b">
        <v>0</v>
      </c>
      <c r="N11" t="inlineStr">
        <is>
          <t>FFY2025</t>
        </is>
      </c>
      <c r="O11" t="inlineStr">
        <is>
          <t>FTA Obligation</t>
        </is>
      </c>
    </row>
    <row r="12">
      <c r="A12" t="inlineStr">
        <is>
          <t>16-02-0004</t>
        </is>
      </c>
      <c r="B12" t="inlineStr">
        <is>
          <t>141.273 Reconstruct Rail Stations</t>
        </is>
      </c>
      <c r="C12" t="inlineStr">
        <is>
          <t>Project will provide for the upgrade and enhancement of CTAs rail stations system-wide. The Refreshed &amp; Renewed Program performs major improvement work at transit operations facilities for both the customer and the internal needs of the Authority. Project will also provide for Customer Assistant Kiosks.</t>
        </is>
      </c>
      <c r="D12" t="inlineStr">
        <is>
          <t>Guideway Improvements</t>
        </is>
      </c>
      <c r="E12" t="inlineStr">
        <is>
          <t>[R-MAINT] Rail Line - Maintain, Rehabilitate, Replace</t>
        </is>
      </c>
      <c r="F12" t="inlineStr">
        <is>
          <t>CTA</t>
        </is>
      </c>
      <c r="G12" t="inlineStr">
        <is>
          <t>IL-2025-028</t>
        </is>
      </c>
      <c r="H12" t="inlineStr">
        <is>
          <t>FTA 5337 Good Repair</t>
        </is>
      </c>
      <c r="I12" s="5" t="n">
        <v>3000000</v>
      </c>
      <c r="J12" t="inlineStr">
        <is>
          <t>No</t>
        </is>
      </c>
      <c r="K12" t="inlineStr">
        <is>
          <t>No</t>
        </is>
      </c>
      <c r="L12" t="inlineStr">
        <is>
          <t>No</t>
        </is>
      </c>
      <c r="M12" t="b">
        <v>0</v>
      </c>
      <c r="N12" t="inlineStr">
        <is>
          <t>FFY2025</t>
        </is>
      </c>
      <c r="O12" t="inlineStr">
        <is>
          <t>FTA Obligation</t>
        </is>
      </c>
    </row>
    <row r="13">
      <c r="A13" t="inlineStr">
        <is>
          <t>16-03-0011</t>
        </is>
      </c>
      <c r="B13" t="inlineStr">
        <is>
          <t>150.028 Implement Security Projects</t>
        </is>
      </c>
      <c r="C13" t="inlineStr">
        <is>
          <t>The HLS Program provides funding to state, local, tribal, and territorial governments, as well as transportation authorities, nonprofit organizations, and the private sector, to improve the nation's readiness in preventing, protecting against, responding to, recovering from and mitigating terrorist attacks, major disasters and other emergencies.</t>
        </is>
      </c>
      <c r="D13" t="inlineStr">
        <is>
          <t>Systems Improvements</t>
        </is>
      </c>
      <c r="E13" t="inlineStr">
        <is>
          <t>[Z-OTHEX] Miscellaneous - Exempt Projects</t>
        </is>
      </c>
      <c r="F13" t="inlineStr">
        <is>
          <t>CTA</t>
        </is>
      </c>
      <c r="G13" t="inlineStr">
        <is>
          <t>IL-2025-028</t>
        </is>
      </c>
      <c r="H13" t="inlineStr">
        <is>
          <t>FTA 5307 Urban Formula</t>
        </is>
      </c>
      <c r="I13" s="5" t="n">
        <v>6000000</v>
      </c>
      <c r="J13" t="inlineStr">
        <is>
          <t>No</t>
        </is>
      </c>
      <c r="K13" t="inlineStr">
        <is>
          <t>No</t>
        </is>
      </c>
      <c r="L13" t="inlineStr">
        <is>
          <t>No</t>
        </is>
      </c>
      <c r="M13" t="b">
        <v>1</v>
      </c>
      <c r="N13" t="inlineStr">
        <is>
          <t>FFY2025</t>
        </is>
      </c>
      <c r="O13" t="inlineStr">
        <is>
          <t>FTA Obligation</t>
        </is>
      </c>
    </row>
    <row r="14">
      <c r="A14" t="inlineStr">
        <is>
          <t>16-03-0011</t>
        </is>
      </c>
      <c r="B14" t="inlineStr">
        <is>
          <t>150.028 Implement Security Projects</t>
        </is>
      </c>
      <c r="C14" t="inlineStr">
        <is>
          <t>The HLS Program provides funding to state, local, tribal, and territorial governments, as well as transportation authorities, nonprofit organizations, and the private sector, to improve the nation's readiness in preventing, protecting against, responding to, recovering from and mitigating terrorist attacks, major disasters and other emergencies.</t>
        </is>
      </c>
      <c r="D14" t="inlineStr">
        <is>
          <t>Systems Improvements</t>
        </is>
      </c>
      <c r="E14" t="inlineStr">
        <is>
          <t>[Z-OTHEX] Miscellaneous - Exempt Projects</t>
        </is>
      </c>
      <c r="F14" t="inlineStr">
        <is>
          <t>CTA</t>
        </is>
      </c>
      <c r="G14" t="inlineStr">
        <is>
          <t>IL-2025-028</t>
        </is>
      </c>
      <c r="H14" t="inlineStr">
        <is>
          <t>FTA 5307 Urban Formula</t>
        </is>
      </c>
      <c r="I14" s="5" t="n">
        <v>5000000</v>
      </c>
      <c r="J14" t="inlineStr">
        <is>
          <t>No</t>
        </is>
      </c>
      <c r="K14" t="inlineStr">
        <is>
          <t>No</t>
        </is>
      </c>
      <c r="L14" t="inlineStr">
        <is>
          <t>No</t>
        </is>
      </c>
      <c r="M14" t="b">
        <v>1</v>
      </c>
      <c r="N14" t="inlineStr">
        <is>
          <t>FFY2025</t>
        </is>
      </c>
      <c r="O14" t="inlineStr">
        <is>
          <t>FTA Obligation</t>
        </is>
      </c>
    </row>
    <row r="15">
      <c r="A15" t="inlineStr">
        <is>
          <t>16-03-0011</t>
        </is>
      </c>
      <c r="B15" t="inlineStr">
        <is>
          <t>150.028 Implement Security Projects</t>
        </is>
      </c>
      <c r="C15" t="inlineStr">
        <is>
          <t>The HLS Program provides funding to state, local, tribal, and territorial governments, as well as transportation authorities, nonprofit organizations, and the private sector, to improve the nation's readiness in preventing, protecting against, responding to, recovering from and mitigating terrorist attacks, major disasters and other emergencies.</t>
        </is>
      </c>
      <c r="D15" t="inlineStr">
        <is>
          <t>Systems Improvements</t>
        </is>
      </c>
      <c r="E15" t="inlineStr">
        <is>
          <t>[Z-OTHEX] Miscellaneous - Exempt Projects</t>
        </is>
      </c>
      <c r="F15" t="inlineStr">
        <is>
          <t>CTA</t>
        </is>
      </c>
      <c r="G15" t="inlineStr">
        <is>
          <t>IL-2025-028</t>
        </is>
      </c>
      <c r="H15" t="inlineStr">
        <is>
          <t>FTA 5307 Urban Formula</t>
        </is>
      </c>
      <c r="I15" s="5" t="n">
        <v>4000000</v>
      </c>
      <c r="J15" t="inlineStr">
        <is>
          <t>No</t>
        </is>
      </c>
      <c r="K15" t="inlineStr">
        <is>
          <t>No</t>
        </is>
      </c>
      <c r="L15" t="inlineStr">
        <is>
          <t>No</t>
        </is>
      </c>
      <c r="M15" t="b">
        <v>1</v>
      </c>
      <c r="N15" t="inlineStr">
        <is>
          <t>FFY2025</t>
        </is>
      </c>
      <c r="O15" t="inlineStr">
        <is>
          <t>FTA Obligation</t>
        </is>
      </c>
    </row>
    <row r="16">
      <c r="A16" t="inlineStr">
        <is>
          <t>16-03-0014</t>
        </is>
      </c>
      <c r="B16" t="inlineStr">
        <is>
          <t>308.002 CTA Bond Repayment- Principal, Interest and Finance Cost</t>
        </is>
      </c>
      <c r="C16" t="inlineStr">
        <is>
          <t>Funding will provide for debt service and the cost of issuance of bonds, notes and other indebtedness incurred by CTA while utilizing either short- term or long-term financing for capital activities.</t>
        </is>
      </c>
      <c r="D16" t="inlineStr">
        <is>
          <t>Other Transit</t>
        </is>
      </c>
      <c r="E16" t="inlineStr">
        <is>
          <t>[Z-OTHEX] Miscellaneous - Exempt Projects</t>
        </is>
      </c>
      <c r="F16" t="inlineStr">
        <is>
          <t>CTA</t>
        </is>
      </c>
      <c r="G16" t="inlineStr">
        <is>
          <t>IL-2025-028</t>
        </is>
      </c>
      <c r="H16" t="inlineStr">
        <is>
          <t>FTA 5337 Good Repair</t>
        </is>
      </c>
      <c r="I16" s="5" t="n">
        <v>151601239</v>
      </c>
      <c r="J16" t="inlineStr">
        <is>
          <t>No</t>
        </is>
      </c>
      <c r="K16" t="inlineStr">
        <is>
          <t>No</t>
        </is>
      </c>
      <c r="L16" t="inlineStr">
        <is>
          <t>No</t>
        </is>
      </c>
      <c r="M16" t="b">
        <v>0</v>
      </c>
      <c r="N16" t="inlineStr">
        <is>
          <t>FFY2025</t>
        </is>
      </c>
      <c r="O16" t="inlineStr">
        <is>
          <t>FTA Obligation</t>
        </is>
      </c>
    </row>
    <row r="17">
      <c r="A17" t="inlineStr">
        <is>
          <t>16-03-0014</t>
        </is>
      </c>
      <c r="B17" t="inlineStr">
        <is>
          <t>308.002 CTA Bond Repayment- Principal, Interest and Finance Cost</t>
        </is>
      </c>
      <c r="C17" t="inlineStr">
        <is>
          <t>Funding will provide for debt service and the cost of issuance of bonds, notes and other indebtedness incurred by CTA while utilizing either short- term or long-term financing for capital activities.</t>
        </is>
      </c>
      <c r="D17" t="inlineStr">
        <is>
          <t>Other Transit</t>
        </is>
      </c>
      <c r="E17" t="inlineStr">
        <is>
          <t>[Z-OTHEX] Miscellaneous - Exempt Projects</t>
        </is>
      </c>
      <c r="F17" t="inlineStr">
        <is>
          <t>CTA</t>
        </is>
      </c>
      <c r="G17" t="inlineStr">
        <is>
          <t>IL-2025-028</t>
        </is>
      </c>
      <c r="H17" t="inlineStr">
        <is>
          <t>FTA 5307 Urban Formula</t>
        </is>
      </c>
      <c r="I17" s="5" t="n">
        <v>60532587</v>
      </c>
      <c r="J17" t="inlineStr">
        <is>
          <t>No</t>
        </is>
      </c>
      <c r="K17" t="inlineStr">
        <is>
          <t>No</t>
        </is>
      </c>
      <c r="L17" t="inlineStr">
        <is>
          <t>No</t>
        </is>
      </c>
      <c r="M17" t="b">
        <v>0</v>
      </c>
      <c r="N17" t="inlineStr">
        <is>
          <t>FFY2025</t>
        </is>
      </c>
      <c r="O17" t="inlineStr">
        <is>
          <t>FTA Obligation</t>
        </is>
      </c>
    </row>
    <row r="18">
      <c r="A18" t="inlineStr">
        <is>
          <t>16-13-0003</t>
        </is>
      </c>
      <c r="B18" t="inlineStr">
        <is>
          <t>086.500 Equipment and Non-Revenue Vehicles Replacement</t>
        </is>
      </c>
      <c r="C18" t="inlineStr">
        <is>
          <t>Funding provides for Open Fare Lease (OFL), the Purchase of Diesel Locomotives and Non-Rev Utility Vehicles. OFL provides for the principal and interest costs needed for the open fare standard equipment, hardware and software costs. Provides for the replacement of 4 diesel locomotive snow-fighters. Creates a small, multi-year program to replace, renew, or lease vehicles assigned to the Utility Group with CTA Facility Maintenance.</t>
        </is>
      </c>
      <c r="D18" t="inlineStr">
        <is>
          <t>Transit Equipment &amp; Furnishings</t>
        </is>
      </c>
      <c r="E18" t="inlineStr">
        <is>
          <t>[Z-OTHEX] Miscellaneous - Exempt Projects</t>
        </is>
      </c>
      <c r="F18" t="inlineStr">
        <is>
          <t>CTA</t>
        </is>
      </c>
      <c r="G18" t="inlineStr">
        <is>
          <t>IL-2025-028</t>
        </is>
      </c>
      <c r="H18" t="inlineStr">
        <is>
          <t>FTA 5307 Urban Formula</t>
        </is>
      </c>
      <c r="I18" s="5" t="n">
        <v>1225000</v>
      </c>
      <c r="J18" t="inlineStr">
        <is>
          <t>No</t>
        </is>
      </c>
      <c r="K18" t="inlineStr">
        <is>
          <t>No</t>
        </is>
      </c>
      <c r="L18" t="inlineStr">
        <is>
          <t>No</t>
        </is>
      </c>
      <c r="M18" t="b">
        <v>0</v>
      </c>
      <c r="N18" t="inlineStr">
        <is>
          <t>FFY2025</t>
        </is>
      </c>
      <c r="O18" t="inlineStr">
        <is>
          <t>FTA Obligation</t>
        </is>
      </c>
    </row>
    <row r="19">
      <c r="A19" t="inlineStr">
        <is>
          <t>16-15-0005</t>
        </is>
      </c>
      <c r="B19" t="inlineStr">
        <is>
          <t>132.056 Purchase Rail Cars - 7000's (Base Order 400 Cars &amp; Options)</t>
        </is>
      </c>
      <c r="C19" t="inlineStr">
        <is>
          <t>Funding will provide for a share of anticipated cash needs and obligation provisions as identified in the contract documents for the base order to procure 400 new 7000' series rail cars. Project is funded with Federal, State (Rebuild Illinois), and Service Board Funds.</t>
        </is>
      </c>
      <c r="D19" t="inlineStr">
        <is>
          <t>Transit Vehicles (Bus/Rail)</t>
        </is>
      </c>
      <c r="E19" t="inlineStr">
        <is>
          <t>[J-REP] Rolling Stock - Replace Existing Vehicles</t>
        </is>
      </c>
      <c r="F19" t="inlineStr">
        <is>
          <t>CTA</t>
        </is>
      </c>
      <c r="G19" t="inlineStr">
        <is>
          <t>IL-2025-028</t>
        </is>
      </c>
      <c r="H19" t="inlineStr">
        <is>
          <t>FTA 5307 Urban Formula</t>
        </is>
      </c>
      <c r="I19" s="5" t="n">
        <v>7761684</v>
      </c>
      <c r="J19" t="inlineStr">
        <is>
          <t>No</t>
        </is>
      </c>
      <c r="K19" t="inlineStr">
        <is>
          <t>No</t>
        </is>
      </c>
      <c r="L19" t="inlineStr">
        <is>
          <t>No</t>
        </is>
      </c>
      <c r="M19" t="b">
        <v>0</v>
      </c>
      <c r="N19" t="inlineStr">
        <is>
          <t>FFY2025</t>
        </is>
      </c>
      <c r="O19" t="inlineStr">
        <is>
          <t>FTA Obligation</t>
        </is>
      </c>
    </row>
    <row r="20">
      <c r="A20" t="inlineStr">
        <is>
          <t>16-15-0005</t>
        </is>
      </c>
      <c r="B20" t="inlineStr">
        <is>
          <t>132.056 Purchase Rail Cars - 7000's (Base Order 400 Cars &amp; Options)</t>
        </is>
      </c>
      <c r="C20" t="inlineStr">
        <is>
          <t>Funding will provide for a share of anticipated cash needs and obligation provisions as identified in the contract documents for the base order to procure 400 new 7000' series rail cars. Project is funded with Federal, State (Rebuild Illinois), and Service Board Funds.</t>
        </is>
      </c>
      <c r="D20" t="inlineStr">
        <is>
          <t>Transit Vehicles (Bus/Rail)</t>
        </is>
      </c>
      <c r="E20" t="inlineStr">
        <is>
          <t>[J-REP] Rolling Stock - Replace Existing Vehicles</t>
        </is>
      </c>
      <c r="F20" t="inlineStr">
        <is>
          <t>CTA</t>
        </is>
      </c>
      <c r="G20" t="inlineStr">
        <is>
          <t>IL-2025-028</t>
        </is>
      </c>
      <c r="H20" t="inlineStr">
        <is>
          <t>FTA 5337 Good Repair</t>
        </is>
      </c>
      <c r="I20" s="5" t="n">
        <v>7572512</v>
      </c>
      <c r="J20" t="inlineStr">
        <is>
          <t>No</t>
        </is>
      </c>
      <c r="K20" t="inlineStr">
        <is>
          <t>No</t>
        </is>
      </c>
      <c r="L20" t="inlineStr">
        <is>
          <t>No</t>
        </is>
      </c>
      <c r="M20" t="b">
        <v>0</v>
      </c>
      <c r="N20" t="inlineStr">
        <is>
          <t>FFY2025</t>
        </is>
      </c>
      <c r="O20" t="inlineStr">
        <is>
          <t>FTA Obligation</t>
        </is>
      </c>
    </row>
    <row r="21">
      <c r="A21" t="inlineStr">
        <is>
          <t>16-15-0005</t>
        </is>
      </c>
      <c r="B21" t="inlineStr">
        <is>
          <t>132.056 Purchase Rail Cars - 7000's (Base Order 400 Cars &amp; Options)</t>
        </is>
      </c>
      <c r="C21" t="inlineStr">
        <is>
          <t>Funding will provide for a share of anticipated cash needs and obligation provisions as identified in the contract documents for the base order to procure 400 new 7000' series rail cars. Project is funded with Federal, State (Rebuild Illinois), and Service Board Funds.</t>
        </is>
      </c>
      <c r="D21" t="inlineStr">
        <is>
          <t>Transit Vehicles (Bus/Rail)</t>
        </is>
      </c>
      <c r="E21" t="inlineStr">
        <is>
          <t>[J-REP] Rolling Stock - Replace Existing Vehicles</t>
        </is>
      </c>
      <c r="F21" t="inlineStr">
        <is>
          <t>CTA</t>
        </is>
      </c>
      <c r="G21" t="inlineStr">
        <is>
          <t>IL-2025-028</t>
        </is>
      </c>
      <c r="H21" t="inlineStr">
        <is>
          <t>FTA 5307 Urban Formula</t>
        </is>
      </c>
      <c r="I21" s="5" t="n">
        <v>2287001</v>
      </c>
      <c r="J21" t="inlineStr">
        <is>
          <t>No</t>
        </is>
      </c>
      <c r="K21" t="inlineStr">
        <is>
          <t>No</t>
        </is>
      </c>
      <c r="L21" t="inlineStr">
        <is>
          <t>No</t>
        </is>
      </c>
      <c r="M21" t="b">
        <v>0</v>
      </c>
      <c r="N21" t="inlineStr">
        <is>
          <t>FFY2025</t>
        </is>
      </c>
      <c r="O21" t="inlineStr">
        <is>
          <t>FTA Obligation</t>
        </is>
      </c>
    </row>
    <row r="22">
      <c r="A22" t="inlineStr">
        <is>
          <t>16-15-0005</t>
        </is>
      </c>
      <c r="B22" t="inlineStr">
        <is>
          <t>132.056 Purchase Rail Cars - 7000's (Base Order 400 Cars &amp; Options)</t>
        </is>
      </c>
      <c r="C22" t="inlineStr">
        <is>
          <t>Funding will provide for a share of anticipated cash needs and obligation provisions as identified in the contract documents for the base order to procure 400 new 7000' series rail cars. Project is funded with Federal, State (Rebuild Illinois), and Service Board Funds.</t>
        </is>
      </c>
      <c r="D22" t="inlineStr">
        <is>
          <t>Transit Vehicles (Bus/Rail)</t>
        </is>
      </c>
      <c r="E22" t="inlineStr">
        <is>
          <t>[J-REP] Rolling Stock - Replace Existing Vehicles</t>
        </is>
      </c>
      <c r="F22" t="inlineStr">
        <is>
          <t>CTA</t>
        </is>
      </c>
      <c r="G22" t="inlineStr">
        <is>
          <t>IL-2025-028</t>
        </is>
      </c>
      <c r="H22" t="inlineStr">
        <is>
          <t>FTA 5337 Good Repair</t>
        </is>
      </c>
      <c r="I22" s="5" t="n">
        <v>21120340</v>
      </c>
      <c r="J22" t="inlineStr">
        <is>
          <t>No</t>
        </is>
      </c>
      <c r="K22" t="inlineStr">
        <is>
          <t>No</t>
        </is>
      </c>
      <c r="L22" t="inlineStr">
        <is>
          <t>No</t>
        </is>
      </c>
      <c r="M22" t="b">
        <v>0</v>
      </c>
      <c r="N22" t="inlineStr">
        <is>
          <t>FFY2025</t>
        </is>
      </c>
      <c r="O22" t="inlineStr">
        <is>
          <t>FTA Obligation</t>
        </is>
      </c>
    </row>
    <row r="23">
      <c r="A23" t="inlineStr">
        <is>
          <t>16-19-0001</t>
        </is>
      </c>
      <c r="B23" t="inlineStr">
        <is>
          <t>310.001 Capital Improvement Program Management</t>
        </is>
      </c>
      <c r="C23" t="inlineStr">
        <is>
          <t>This project provides for various program administration teams to support CTA staff in the planning and management of the agency's Capital Program.</t>
        </is>
      </c>
      <c r="D23" t="inlineStr">
        <is>
          <t>Other Transit</t>
        </is>
      </c>
      <c r="E23" t="inlineStr">
        <is>
          <t>[Z-OTHEX] Miscellaneous - Exempt Projects</t>
        </is>
      </c>
      <c r="F23" t="inlineStr">
        <is>
          <t>CTA</t>
        </is>
      </c>
      <c r="G23" t="inlineStr">
        <is>
          <t>IL-2025-028</t>
        </is>
      </c>
      <c r="H23" t="inlineStr">
        <is>
          <t>FTA 5337 Good Repair</t>
        </is>
      </c>
      <c r="I23" s="5" t="n">
        <v>6606375</v>
      </c>
      <c r="J23" t="inlineStr">
        <is>
          <t>No</t>
        </is>
      </c>
      <c r="K23" t="inlineStr">
        <is>
          <t>No</t>
        </is>
      </c>
      <c r="L23" t="inlineStr">
        <is>
          <t>No</t>
        </is>
      </c>
      <c r="M23" t="b">
        <v>0</v>
      </c>
      <c r="N23" t="inlineStr">
        <is>
          <t>FFY2025</t>
        </is>
      </c>
      <c r="O23" t="inlineStr">
        <is>
          <t>FTA Obligation</t>
        </is>
      </c>
    </row>
    <row r="24">
      <c r="A24" t="inlineStr">
        <is>
          <t>16-19-0001</t>
        </is>
      </c>
      <c r="B24" t="inlineStr">
        <is>
          <t>310.001 Capital Improvement Program Management</t>
        </is>
      </c>
      <c r="C24" t="inlineStr">
        <is>
          <t>This project provides for various program administration teams to support CTA staff in the planning and management of the agency's Capital Program.</t>
        </is>
      </c>
      <c r="D24" t="inlineStr">
        <is>
          <t>Other Transit</t>
        </is>
      </c>
      <c r="E24" t="inlineStr">
        <is>
          <t>[Z-OTHEX] Miscellaneous - Exempt Projects</t>
        </is>
      </c>
      <c r="F24" t="inlineStr">
        <is>
          <t>CTA</t>
        </is>
      </c>
      <c r="G24" t="inlineStr">
        <is>
          <t>IL-2025-028</t>
        </is>
      </c>
      <c r="H24" t="inlineStr">
        <is>
          <t>FTA 5307 Urban Formula</t>
        </is>
      </c>
      <c r="I24" s="5" t="n">
        <v>1093971</v>
      </c>
      <c r="J24" t="inlineStr">
        <is>
          <t>No</t>
        </is>
      </c>
      <c r="K24" t="inlineStr">
        <is>
          <t>No</t>
        </is>
      </c>
      <c r="L24" t="inlineStr">
        <is>
          <t>No</t>
        </is>
      </c>
      <c r="M24" t="b">
        <v>0</v>
      </c>
      <c r="N24" t="inlineStr">
        <is>
          <t>FFY2025</t>
        </is>
      </c>
      <c r="O24" t="inlineStr">
        <is>
          <t>FTA Obligation</t>
        </is>
      </c>
    </row>
    <row r="25">
      <c r="A25" t="inlineStr">
        <is>
          <t>16-19-0001</t>
        </is>
      </c>
      <c r="B25" t="inlineStr">
        <is>
          <t>310.001 Capital Improvement Program Management</t>
        </is>
      </c>
      <c r="C25" t="inlineStr">
        <is>
          <t>This project provides for various program administration teams to support CTA staff in the planning and management of the agency's Capital Program.</t>
        </is>
      </c>
      <c r="D25" t="inlineStr">
        <is>
          <t>Other Transit</t>
        </is>
      </c>
      <c r="E25" t="inlineStr">
        <is>
          <t>[Z-OTHEX] Miscellaneous - Exempt Projects</t>
        </is>
      </c>
      <c r="F25" t="inlineStr">
        <is>
          <t>CTA</t>
        </is>
      </c>
      <c r="G25" t="inlineStr">
        <is>
          <t>IL-2025-028</t>
        </is>
      </c>
      <c r="H25" t="inlineStr">
        <is>
          <t>FTA 5337 Good Repair</t>
        </is>
      </c>
      <c r="I25" s="5" t="n">
        <v>1063982</v>
      </c>
      <c r="J25" t="inlineStr">
        <is>
          <t>No</t>
        </is>
      </c>
      <c r="K25" t="inlineStr">
        <is>
          <t>No</t>
        </is>
      </c>
      <c r="L25" t="inlineStr">
        <is>
          <t>No</t>
        </is>
      </c>
      <c r="M25" t="b">
        <v>0</v>
      </c>
      <c r="N25" t="inlineStr">
        <is>
          <t>FFY2025</t>
        </is>
      </c>
      <c r="O25" t="inlineStr">
        <is>
          <t>FTA Obligation</t>
        </is>
      </c>
    </row>
    <row r="26">
      <c r="A26" t="inlineStr">
        <is>
          <t>16-19-0001</t>
        </is>
      </c>
      <c r="B26" t="inlineStr">
        <is>
          <t>310.001 Capital Improvement Program Management</t>
        </is>
      </c>
      <c r="C26" t="inlineStr">
        <is>
          <t>This project provides for various program administration teams to support CTA staff in the planning and management of the agency's Capital Program.</t>
        </is>
      </c>
      <c r="D26" t="inlineStr">
        <is>
          <t>Other Transit</t>
        </is>
      </c>
      <c r="E26" t="inlineStr">
        <is>
          <t>[Z-OTHEX] Miscellaneous - Exempt Projects</t>
        </is>
      </c>
      <c r="F26" t="inlineStr">
        <is>
          <t>CTA</t>
        </is>
      </c>
      <c r="G26" t="inlineStr">
        <is>
          <t>IL-2025-028</t>
        </is>
      </c>
      <c r="H26" t="inlineStr">
        <is>
          <t>FTA 5339A Bus (Formula)</t>
        </is>
      </c>
      <c r="I26" s="5" t="n">
        <v>64261</v>
      </c>
      <c r="J26" t="inlineStr">
        <is>
          <t>No</t>
        </is>
      </c>
      <c r="K26" t="inlineStr">
        <is>
          <t>No</t>
        </is>
      </c>
      <c r="L26" t="inlineStr">
        <is>
          <t>No</t>
        </is>
      </c>
      <c r="M26" t="b">
        <v>0</v>
      </c>
      <c r="N26" t="inlineStr">
        <is>
          <t>FFY2025</t>
        </is>
      </c>
      <c r="O26" t="inlineStr">
        <is>
          <t>FTA Obligation</t>
        </is>
      </c>
    </row>
    <row r="27">
      <c r="A27" t="inlineStr">
        <is>
          <t>16-22-0007</t>
        </is>
      </c>
      <c r="B27" t="inlineStr">
        <is>
          <t>141.283 Rehabilitate Rail Stations - ASAP</t>
        </is>
      </c>
      <c r="C27" t="inlineStr">
        <is>
          <t>ASAP is a dedicated planning effort to establish the first-ever blueprint for making 42 remaining non-accessible rail stations vertically accessible over the next 20 years. FY2022 will provide funding to complete the 100% design plan for all six targeted Oak Pk, Ridgeland, Irving Pk, Belmont, Grand, and Division) Stations; and also provides for elevator replacement.</t>
        </is>
      </c>
      <c r="D27" t="inlineStr">
        <is>
          <t>Transit Station/Stop Improvements</t>
        </is>
      </c>
      <c r="E27" t="inlineStr">
        <is>
          <t>[C-MAINT] Rail Stations - Maintain, Rehabilitate, Replace, [D-FAC] ADA - Transit Facility Improvements, [E-ADAIMP] Improve ADA Infrastructure (Roadway), [E-ADAMAINT] Maintain/Repair ADA Infrastructure (Roadway), [E-ADANEW] New ADA Infrastructure (Roadway)</t>
        </is>
      </c>
      <c r="F27" t="inlineStr">
        <is>
          <t>CTA</t>
        </is>
      </c>
      <c r="G27" t="inlineStr">
        <is>
          <t>IL-2025-028</t>
        </is>
      </c>
      <c r="H27" t="inlineStr">
        <is>
          <t>FTA 5307 Urban Formula</t>
        </is>
      </c>
      <c r="I27" s="5" t="n">
        <v>7500000</v>
      </c>
      <c r="J27" t="inlineStr">
        <is>
          <t>Yes</t>
        </is>
      </c>
      <c r="K27" t="inlineStr">
        <is>
          <t>Yes</t>
        </is>
      </c>
      <c r="L27" t="inlineStr">
        <is>
          <t>No</t>
        </is>
      </c>
      <c r="M27" t="b">
        <v>1</v>
      </c>
      <c r="N27" t="inlineStr">
        <is>
          <t>FFY2025</t>
        </is>
      </c>
      <c r="O27" t="inlineStr">
        <is>
          <t>FTA Obligation</t>
        </is>
      </c>
    </row>
    <row r="28">
      <c r="A28" t="inlineStr">
        <is>
          <t>16-22-0007</t>
        </is>
      </c>
      <c r="B28" t="inlineStr">
        <is>
          <t>141.283 Rehabilitate Rail Stations - ASAP</t>
        </is>
      </c>
      <c r="C28" t="inlineStr">
        <is>
          <t>ASAP is a dedicated planning effort to establish the first-ever blueprint for making 42 remaining non-accessible rail stations vertically accessible over the next 20 years. FY2022 will provide funding to complete the 100% design plan for all six targeted Oak Pk, Ridgeland, Irving Pk, Belmont, Grand, and Division) Stations; and also provides for elevator replacement.</t>
        </is>
      </c>
      <c r="D28" t="inlineStr">
        <is>
          <t>Transit Station/Stop Improvements</t>
        </is>
      </c>
      <c r="E28" t="inlineStr">
        <is>
          <t>[C-MAINT] Rail Stations - Maintain, Rehabilitate, Replace, [D-FAC] ADA - Transit Facility Improvements, [E-ADAIMP] Improve ADA Infrastructure (Roadway), [E-ADAMAINT] Maintain/Repair ADA Infrastructure (Roadway), [E-ADANEW] New ADA Infrastructure (Roadway)</t>
        </is>
      </c>
      <c r="F28" t="inlineStr">
        <is>
          <t>CTA</t>
        </is>
      </c>
      <c r="G28" t="inlineStr">
        <is>
          <t>IL-2025-028</t>
        </is>
      </c>
      <c r="H28" t="inlineStr">
        <is>
          <t>FTA 5307 Urban Formula</t>
        </is>
      </c>
      <c r="I28" s="5" t="n">
        <v>13460000</v>
      </c>
      <c r="J28" t="inlineStr">
        <is>
          <t>Yes</t>
        </is>
      </c>
      <c r="K28" t="inlineStr">
        <is>
          <t>Yes</t>
        </is>
      </c>
      <c r="L28" t="inlineStr">
        <is>
          <t>No</t>
        </is>
      </c>
      <c r="M28" t="b">
        <v>1</v>
      </c>
      <c r="N28" t="inlineStr">
        <is>
          <t>FFY2025</t>
        </is>
      </c>
      <c r="O28" t="inlineStr">
        <is>
          <t>FTA Obligation</t>
        </is>
      </c>
    </row>
    <row r="29">
      <c r="A29" t="inlineStr">
        <is>
          <t>16-22-0011</t>
        </is>
      </c>
      <c r="B29" t="inlineStr">
        <is>
          <t>150.207 Subway Life Safety</t>
        </is>
      </c>
      <c r="C29" t="inlineStr">
        <is>
          <t>This Program includes projects that improve safety across CTA Right of Way (ROW), particularly in the subway systems and facilities to help meet life safety requirements per applicable codes. Life safety code standards encompass the construction, protection and occupancy features necessary to minimize danger to life from the effects of fire, including smoke, heat, and toxic gases created during a fire. This includes proper means of egress, lighting enhancements, subway ventilation and others.</t>
        </is>
      </c>
      <c r="D29" t="inlineStr">
        <is>
          <t>Transit Operations</t>
        </is>
      </c>
      <c r="E29" t="inlineStr">
        <is>
          <t>[A-OTH] Safety - Other</t>
        </is>
      </c>
      <c r="F29" t="inlineStr">
        <is>
          <t>CTA</t>
        </is>
      </c>
      <c r="G29" t="inlineStr">
        <is>
          <t>IL-2025-028</t>
        </is>
      </c>
      <c r="H29" t="inlineStr">
        <is>
          <t>FTA 5337 Good Repair</t>
        </is>
      </c>
      <c r="I29" s="5" t="n">
        <v>5250000</v>
      </c>
      <c r="J29" t="inlineStr">
        <is>
          <t>No</t>
        </is>
      </c>
      <c r="K29" t="inlineStr">
        <is>
          <t>No</t>
        </is>
      </c>
      <c r="L29" t="inlineStr">
        <is>
          <t>Yes</t>
        </is>
      </c>
      <c r="M29" t="b">
        <v>1</v>
      </c>
      <c r="N29" t="inlineStr">
        <is>
          <t>FFY2025</t>
        </is>
      </c>
      <c r="O29" t="inlineStr">
        <is>
          <t>FTA Obligation</t>
        </is>
      </c>
    </row>
    <row r="30">
      <c r="A30" t="inlineStr">
        <is>
          <t>16-23-0001</t>
        </is>
      </c>
      <c r="B30" t="inlineStr">
        <is>
          <t>021.806 Mid-Life Bus Overhaul - 450 of 450 Nova Series 7900</t>
        </is>
      </c>
      <c r="C30" t="inlineStr">
        <is>
          <t>Funding will provide for the mid-life overhaul of the CTA Nova buses 7900 Series.</t>
        </is>
      </c>
      <c r="D30" t="inlineStr">
        <is>
          <t>Transit Vehicles (Bus/Rail)</t>
        </is>
      </c>
      <c r="E30" t="inlineStr">
        <is>
          <t>[J-REHAB] Rolling Stock - Rehabilitate Vehicles</t>
        </is>
      </c>
      <c r="F30" t="inlineStr">
        <is>
          <t>CTA</t>
        </is>
      </c>
      <c r="G30" t="inlineStr">
        <is>
          <t>IL-2025-028</t>
        </is>
      </c>
      <c r="H30" t="inlineStr">
        <is>
          <t>FTA 5307 Urban Formula</t>
        </is>
      </c>
      <c r="I30" s="5" t="n">
        <v>36689623</v>
      </c>
      <c r="J30" t="inlineStr">
        <is>
          <t>No</t>
        </is>
      </c>
      <c r="K30" t="inlineStr">
        <is>
          <t>No</t>
        </is>
      </c>
      <c r="L30" t="inlineStr">
        <is>
          <t>No</t>
        </is>
      </c>
      <c r="M30" t="b">
        <v>0</v>
      </c>
      <c r="N30" t="inlineStr">
        <is>
          <t>FFY2025</t>
        </is>
      </c>
      <c r="O30" t="inlineStr">
        <is>
          <t>FTA Obligation</t>
        </is>
      </c>
    </row>
    <row r="31">
      <c r="A31" t="inlineStr">
        <is>
          <t>16-23-0002</t>
        </is>
      </c>
      <c r="B31" t="inlineStr">
        <is>
          <t>022.903 Life extending Overhaul 2600/3200 Series</t>
        </is>
      </c>
      <c r="C31" t="inlineStr">
        <is>
          <t>Life extending overhaul on the 258 3200 Series and 300 2600 Series cars. Work on these cars will focus on major systems starting with the proplusion/powering.</t>
        </is>
      </c>
      <c r="D31" t="inlineStr">
        <is>
          <t>Transit Vehicles (Bus/Rail)</t>
        </is>
      </c>
      <c r="E31" t="inlineStr">
        <is>
          <t>[J-REHAB] Rolling Stock - Rehabilitate Vehicles</t>
        </is>
      </c>
      <c r="F31" t="inlineStr">
        <is>
          <t>CTA</t>
        </is>
      </c>
      <c r="G31" t="inlineStr">
        <is>
          <t>IL-2025-028</t>
        </is>
      </c>
      <c r="H31" t="inlineStr">
        <is>
          <t>FTA 5337 Good Repair</t>
        </is>
      </c>
      <c r="I31" s="5" t="n">
        <v>6531997</v>
      </c>
      <c r="J31" t="inlineStr">
        <is>
          <t>No</t>
        </is>
      </c>
      <c r="K31" t="inlineStr">
        <is>
          <t>No</t>
        </is>
      </c>
      <c r="L31" t="inlineStr">
        <is>
          <t>No</t>
        </is>
      </c>
      <c r="M31" t="b">
        <v>0</v>
      </c>
      <c r="N31" t="inlineStr">
        <is>
          <t>FFY2025</t>
        </is>
      </c>
      <c r="O31" t="inlineStr">
        <is>
          <t>FTA Obligation</t>
        </is>
      </c>
    </row>
    <row r="32">
      <c r="A32" t="inlineStr">
        <is>
          <t>16-23-0002</t>
        </is>
      </c>
      <c r="B32" t="inlineStr">
        <is>
          <t>022.903 Life extending Overhaul 2600/3200 Series</t>
        </is>
      </c>
      <c r="C32" t="inlineStr">
        <is>
          <t>Life extending overhaul on the 258 3200 Series and 300 2600 Series cars. Work on these cars will focus on major systems starting with the proplusion/powering.</t>
        </is>
      </c>
      <c r="D32" t="inlineStr">
        <is>
          <t>Transit Vehicles (Bus/Rail)</t>
        </is>
      </c>
      <c r="E32" t="inlineStr">
        <is>
          <t>[J-REHAB] Rolling Stock - Rehabilitate Vehicles</t>
        </is>
      </c>
      <c r="F32" t="inlineStr">
        <is>
          <t>CTA</t>
        </is>
      </c>
      <c r="G32" t="inlineStr">
        <is>
          <t>IL-2025-028</t>
        </is>
      </c>
      <c r="H32" t="inlineStr">
        <is>
          <t>FTA 5307 Urban Formula</t>
        </is>
      </c>
      <c r="I32" s="5" t="n">
        <v>11760081</v>
      </c>
      <c r="J32" t="inlineStr">
        <is>
          <t>No</t>
        </is>
      </c>
      <c r="K32" t="inlineStr">
        <is>
          <t>No</t>
        </is>
      </c>
      <c r="L32" t="inlineStr">
        <is>
          <t>No</t>
        </is>
      </c>
      <c r="M32" t="b">
        <v>0</v>
      </c>
      <c r="N32" t="inlineStr">
        <is>
          <t>FFY2025</t>
        </is>
      </c>
      <c r="O32" t="inlineStr">
        <is>
          <t>FTA Obligation</t>
        </is>
      </c>
    </row>
    <row r="33">
      <c r="A33" t="inlineStr">
        <is>
          <t>16-23-0003</t>
        </is>
      </c>
      <c r="B33" t="inlineStr">
        <is>
          <t>022.903 Replace/Upgrade Rail Car Systems and Technology</t>
        </is>
      </c>
      <c r="C33" t="inlineStr">
        <is>
          <t>Replace existing video system on the 3200 and 5000 series rail cars with a more reliable system. Funds will also provide for various Technology upgrades, such as: Replace RETS engineer computers. Improve Skokie server capacity for storage of larger files related to new car/overhaul programs, incident investigations. New laptops are needed for instructors to properly address troubleshooting, event recorder and diagnostics. Tablets for repairers connected via WiFi to MMIS to allow easy access.</t>
        </is>
      </c>
      <c r="D33" t="inlineStr">
        <is>
          <t>Transit Operations</t>
        </is>
      </c>
      <c r="E33" t="inlineStr">
        <is>
          <t>[U-COM] CPS - Communications, [Z-OTHEX] Miscellaneous - Exempt Projects</t>
        </is>
      </c>
      <c r="F33" t="inlineStr">
        <is>
          <t>CTA</t>
        </is>
      </c>
      <c r="G33" t="inlineStr">
        <is>
          <t>IL-2025-028</t>
        </is>
      </c>
      <c r="H33" t="inlineStr">
        <is>
          <t>FTA 5337 Good Repair</t>
        </is>
      </c>
      <c r="I33" s="5" t="n">
        <v>10050000</v>
      </c>
      <c r="J33" t="inlineStr">
        <is>
          <t>No</t>
        </is>
      </c>
      <c r="K33" t="inlineStr">
        <is>
          <t>No</t>
        </is>
      </c>
      <c r="L33" t="inlineStr">
        <is>
          <t>No</t>
        </is>
      </c>
      <c r="M33" t="b">
        <v>0</v>
      </c>
      <c r="N33" t="inlineStr">
        <is>
          <t>FFY2025</t>
        </is>
      </c>
      <c r="O33" t="inlineStr">
        <is>
          <t>FTA Obligation</t>
        </is>
      </c>
    </row>
    <row r="34">
      <c r="A34" t="inlineStr">
        <is>
          <t>16-23-0004</t>
        </is>
      </c>
      <c r="B34" t="inlineStr">
        <is>
          <t>086.500 Non-Revenue Rail Vehicle Equipment Replacement (Rail-Borne)</t>
        </is>
      </c>
      <c r="C34" t="inlineStr">
        <is>
          <t>Replace various rail-borne non-revenue vehicles that have exceeded their useful lives. Equipment includes: car movers, rail borne sewer vacuum, subway washer vehicle, rail profile grinder, rail cranes, locomotive cranes 22 ton, tie cranes, tie inserters, MKVI tamper and stabilizer. Car movers needed to move rail cars in/out of shops, sewer vac needed for subway sewers, subway washer needed for subway cleanliness, other equip. needed for track maintenance.</t>
        </is>
      </c>
      <c r="D34" t="inlineStr">
        <is>
          <t>Transit Operations</t>
        </is>
      </c>
      <c r="E34" t="inlineStr">
        <is>
          <t>[D-VEH] ADA - Transit Vehicle Improvements, [F-SHOP] Facility - Shop Facilities/Equipment</t>
        </is>
      </c>
      <c r="F34" t="inlineStr">
        <is>
          <t>CTA</t>
        </is>
      </c>
      <c r="G34" t="inlineStr">
        <is>
          <t>IL-2025-028</t>
        </is>
      </c>
      <c r="H34" t="inlineStr">
        <is>
          <t>FTA 5307 Urban Formula</t>
        </is>
      </c>
      <c r="I34" s="5" t="n">
        <v>2000000</v>
      </c>
      <c r="J34" t="inlineStr">
        <is>
          <t>No</t>
        </is>
      </c>
      <c r="K34" t="inlineStr">
        <is>
          <t>Yes</t>
        </is>
      </c>
      <c r="L34" t="inlineStr">
        <is>
          <t>No</t>
        </is>
      </c>
      <c r="M34" t="b">
        <v>1</v>
      </c>
      <c r="N34" t="inlineStr">
        <is>
          <t>FFY2025</t>
        </is>
      </c>
      <c r="O34" t="inlineStr">
        <is>
          <t>FTA Obligation</t>
        </is>
      </c>
    </row>
    <row r="35">
      <c r="A35" t="inlineStr">
        <is>
          <t>16-24-0004</t>
        </is>
      </c>
      <c r="B35" t="inlineStr">
        <is>
          <t>132.056 Purchase Rail Cars - 9000' Series</t>
        </is>
      </c>
      <c r="C35" t="inlineStr">
        <is>
          <t>Planned new 9000 Series rail car contract will consist of a Base Order to purchase 300 cars and option(s) for an additional 246 cars.</t>
        </is>
      </c>
      <c r="D35" t="inlineStr">
        <is>
          <t>Transit Vehicles (Bus/Rail)</t>
        </is>
      </c>
      <c r="E35" t="inlineStr">
        <is>
          <t>[J-REP] Rolling Stock - Replace Existing Vehicles</t>
        </is>
      </c>
      <c r="F35" t="inlineStr">
        <is>
          <t>CTA</t>
        </is>
      </c>
      <c r="G35" t="inlineStr">
        <is>
          <t>IL-2025-028</t>
        </is>
      </c>
      <c r="H35" t="inlineStr">
        <is>
          <t>FTA 5307 Urban Formula</t>
        </is>
      </c>
      <c r="I35" s="5" t="n">
        <v>1598832</v>
      </c>
      <c r="J35" t="inlineStr">
        <is>
          <t>No</t>
        </is>
      </c>
      <c r="K35" t="inlineStr">
        <is>
          <t>No</t>
        </is>
      </c>
      <c r="L35" t="inlineStr">
        <is>
          <t>No</t>
        </is>
      </c>
      <c r="M35" t="b">
        <v>0</v>
      </c>
      <c r="N35" t="inlineStr">
        <is>
          <t>FFY2025</t>
        </is>
      </c>
      <c r="O35" t="inlineStr">
        <is>
          <t>FTA Obligation</t>
        </is>
      </c>
    </row>
    <row r="36">
      <c r="A36" t="inlineStr">
        <is>
          <t>16-25-0021</t>
        </is>
      </c>
      <c r="B36" t="inlineStr">
        <is>
          <t>041.500 Bus Turnaround Improvements</t>
        </is>
      </c>
      <c r="C36" t="inlineStr">
        <is>
          <t>Project will provide for rehab/replacement of bus turnarounds at priority locations, project will also provide for permanent restroom facilities at certain bus turnarounds; project will also focus on Bus Turnaround ADA &amp; Site Improvements- Halsted and 79th Street.</t>
        </is>
      </c>
      <c r="D36" t="inlineStr">
        <is>
          <t>Transit Station/Stop Improvements</t>
        </is>
      </c>
      <c r="E36" t="inlineStr">
        <is>
          <t>[E-ADANEW] New ADA Infrastructure (Roadway), [F-TRN] Facility - Bus Turnaround</t>
        </is>
      </c>
      <c r="F36" t="inlineStr">
        <is>
          <t>CTA</t>
        </is>
      </c>
      <c r="G36" t="inlineStr">
        <is>
          <t>IL-2025-028</t>
        </is>
      </c>
      <c r="H36" t="inlineStr">
        <is>
          <t>FTA 5307 Urban Formula</t>
        </is>
      </c>
      <c r="I36" s="5" t="n">
        <v>3344922</v>
      </c>
      <c r="J36" t="inlineStr">
        <is>
          <t>Yes</t>
        </is>
      </c>
      <c r="K36" t="inlineStr">
        <is>
          <t>Yes</t>
        </is>
      </c>
      <c r="L36" t="inlineStr">
        <is>
          <t>No</t>
        </is>
      </c>
      <c r="M36" t="b">
        <v>1</v>
      </c>
      <c r="N36" t="inlineStr">
        <is>
          <t>FFY2025</t>
        </is>
      </c>
      <c r="O36" t="inlineStr">
        <is>
          <t>FTA Obligation</t>
        </is>
      </c>
    </row>
    <row r="37">
      <c r="A37" t="inlineStr">
        <is>
          <t>16-96-0061</t>
        </is>
      </c>
      <c r="B37" t="inlineStr">
        <is>
          <t>031.054 Replace Buses</t>
        </is>
      </c>
      <c r="C37" t="inlineStr">
        <is>
          <t>Project will provide for the Standard Bus Procurement of up to 600 Buses.</t>
        </is>
      </c>
      <c r="D37" t="inlineStr">
        <is>
          <t>Transit Vehicles (Bus/Rail)</t>
        </is>
      </c>
      <c r="E37" t="inlineStr">
        <is>
          <t>[J-REP] Rolling Stock - Replace Existing Vehicles</t>
        </is>
      </c>
      <c r="F37" t="inlineStr">
        <is>
          <t>CTA</t>
        </is>
      </c>
      <c r="G37" t="inlineStr">
        <is>
          <t>IL-2025-028</t>
        </is>
      </c>
      <c r="H37" t="inlineStr">
        <is>
          <t>FTA 5339A Bus (Formula)</t>
        </is>
      </c>
      <c r="I37" s="5" t="n">
        <v>7265</v>
      </c>
      <c r="J37" t="inlineStr">
        <is>
          <t>No</t>
        </is>
      </c>
      <c r="K37" t="inlineStr">
        <is>
          <t>No</t>
        </is>
      </c>
      <c r="L37" t="inlineStr">
        <is>
          <t>No</t>
        </is>
      </c>
      <c r="M37" t="b">
        <v>0</v>
      </c>
      <c r="N37" t="inlineStr">
        <is>
          <t>FFY2025</t>
        </is>
      </c>
      <c r="O37" t="inlineStr">
        <is>
          <t>FTA Obligation</t>
        </is>
      </c>
    </row>
    <row r="38">
      <c r="A38" t="inlineStr">
        <is>
          <t>16-96-0061</t>
        </is>
      </c>
      <c r="B38" t="inlineStr">
        <is>
          <t>031.054 Replace Buses</t>
        </is>
      </c>
      <c r="C38" t="inlineStr">
        <is>
          <t>Project will provide for the Standard Bus Procurement of up to 600 Buses.</t>
        </is>
      </c>
      <c r="D38" t="inlineStr">
        <is>
          <t>Transit Vehicles (Bus/Rail)</t>
        </is>
      </c>
      <c r="E38" t="inlineStr">
        <is>
          <t>[J-REP] Rolling Stock - Replace Existing Vehicles</t>
        </is>
      </c>
      <c r="F38" t="inlineStr">
        <is>
          <t>CTA</t>
        </is>
      </c>
      <c r="G38" t="inlineStr">
        <is>
          <t>IL-2025-028</t>
        </is>
      </c>
      <c r="H38" t="inlineStr">
        <is>
          <t>FTA 5339A Bus (Formula)</t>
        </is>
      </c>
      <c r="I38" s="5" t="n">
        <v>12787969</v>
      </c>
      <c r="J38" t="inlineStr">
        <is>
          <t>No</t>
        </is>
      </c>
      <c r="K38" t="inlineStr">
        <is>
          <t>No</t>
        </is>
      </c>
      <c r="L38" t="inlineStr">
        <is>
          <t>No</t>
        </is>
      </c>
      <c r="M38" t="b">
        <v>0</v>
      </c>
      <c r="N38" t="inlineStr">
        <is>
          <t>FFY2025</t>
        </is>
      </c>
      <c r="O38" t="inlineStr">
        <is>
          <t>FTA Obligation</t>
        </is>
      </c>
    </row>
    <row r="39">
      <c r="A39" t="inlineStr">
        <is>
          <t>16-96-0061</t>
        </is>
      </c>
      <c r="B39" t="inlineStr">
        <is>
          <t>031.054 Replace Buses</t>
        </is>
      </c>
      <c r="C39" t="inlineStr">
        <is>
          <t>Project will provide for the Standard Bus Procurement of up to 600 Buses.</t>
        </is>
      </c>
      <c r="D39" t="inlineStr">
        <is>
          <t>Transit Vehicles (Bus/Rail)</t>
        </is>
      </c>
      <c r="E39" t="inlineStr">
        <is>
          <t>[J-REP] Rolling Stock - Replace Existing Vehicles</t>
        </is>
      </c>
      <c r="F39" t="inlineStr">
        <is>
          <t>CTA</t>
        </is>
      </c>
      <c r="G39" t="inlineStr">
        <is>
          <t>IL-2025-028</t>
        </is>
      </c>
      <c r="H39" t="inlineStr">
        <is>
          <t>FTA 5307 Urban Formula</t>
        </is>
      </c>
      <c r="I39" s="5" t="n">
        <v>38088390</v>
      </c>
      <c r="J39" t="inlineStr">
        <is>
          <t>No</t>
        </is>
      </c>
      <c r="K39" t="inlineStr">
        <is>
          <t>No</t>
        </is>
      </c>
      <c r="L39" t="inlineStr">
        <is>
          <t>No</t>
        </is>
      </c>
      <c r="M39" t="b">
        <v>0</v>
      </c>
      <c r="N39" t="inlineStr">
        <is>
          <t>FFY2025</t>
        </is>
      </c>
      <c r="O39" t="inlineStr">
        <is>
          <t>FTA Obligation</t>
        </is>
      </c>
    </row>
    <row r="40">
      <c r="A40" t="inlineStr">
        <is>
          <t>16-98-0003</t>
        </is>
      </c>
      <c r="B40" t="inlineStr">
        <is>
          <t>061.059 Implement Computer System</t>
        </is>
      </c>
      <c r="C40" t="inlineStr">
        <is>
          <t>Funds will provide for periodic replacement of systems, computers and associated components as well as annual funds for IT's state-of-good- repair maintenance program. This state of good repair maintenance program will provide for the repair, replacement, and upgrade of IT systems and/or devices, software, emergency restoration, subject matter expertise support, system monitoring, and cyber security solutions. Funds will also provide for enhancements to the asset management system.</t>
        </is>
      </c>
      <c r="D40" t="inlineStr">
        <is>
          <t>Transit Support Facilities</t>
        </is>
      </c>
      <c r="E40" t="inlineStr">
        <is>
          <t>[F-OFC] Facility - Office Facilities/Equipment, [U-COM] CPS - Communications</t>
        </is>
      </c>
      <c r="F40" t="inlineStr">
        <is>
          <t>CTA</t>
        </is>
      </c>
      <c r="G40" t="inlineStr">
        <is>
          <t>IL-2025-028</t>
        </is>
      </c>
      <c r="H40" t="inlineStr">
        <is>
          <t>FTA 5307 Urban Formula</t>
        </is>
      </c>
      <c r="I40" s="5" t="n">
        <v>4200000</v>
      </c>
      <c r="J40" t="inlineStr">
        <is>
          <t>No</t>
        </is>
      </c>
      <c r="K40" t="inlineStr">
        <is>
          <t>No</t>
        </is>
      </c>
      <c r="L40" t="inlineStr">
        <is>
          <t>No</t>
        </is>
      </c>
      <c r="M40" t="b">
        <v>0</v>
      </c>
      <c r="N40" t="inlineStr">
        <is>
          <t>FFY2025</t>
        </is>
      </c>
      <c r="O40" t="inlineStr">
        <is>
          <t>FTA Obligation</t>
        </is>
      </c>
    </row>
    <row r="41">
      <c r="A41" t="inlineStr">
        <is>
          <t>16-99-0002</t>
        </is>
      </c>
      <c r="B41" t="inlineStr">
        <is>
          <t>073.500 Improve Facilities - Systemwide</t>
        </is>
      </c>
      <c r="C41" t="inlineStr">
        <is>
          <t>Planned work includes renewal initiatives for the following: (1) Facilities Maintenance funding will be targeted at preventive maintenance projects at various CTA facilities system-wide. (2) Modernization of rail yards and (3) Critical repairs at CTA facilities system-wide; it will also provides for (4) Office Building Lease payments principal and interest; and (5) Sheds for the new Diesel Locomotives.</t>
        </is>
      </c>
      <c r="D41" t="inlineStr">
        <is>
          <t>Transit Station/Stop Improvements</t>
        </is>
      </c>
      <c r="E41" t="inlineStr">
        <is>
          <t>[C-MAINT] Rail Stations - Maintain, Rehabilitate, Replace, [D-FAC] ADA - Transit Facility Improvements, [M-MAINT] Multi-Modal Center - Maintain, Rehabilitate, Replace, [V-MAINT] Vehicle Facility - Maintenance</t>
        </is>
      </c>
      <c r="F41" t="inlineStr">
        <is>
          <t>CTA</t>
        </is>
      </c>
      <c r="G41" t="inlineStr">
        <is>
          <t>IL-2025-028</t>
        </is>
      </c>
      <c r="H41" t="inlineStr">
        <is>
          <t>FTA 5307 Urban Formula</t>
        </is>
      </c>
      <c r="I41" s="5" t="n">
        <v>6187981</v>
      </c>
      <c r="J41" t="inlineStr">
        <is>
          <t>No</t>
        </is>
      </c>
      <c r="K41" t="inlineStr">
        <is>
          <t>Yes</t>
        </is>
      </c>
      <c r="L41" t="inlineStr">
        <is>
          <t>No</t>
        </is>
      </c>
      <c r="M41" t="b">
        <v>1</v>
      </c>
      <c r="N41" t="inlineStr">
        <is>
          <t>FFY2025</t>
        </is>
      </c>
      <c r="O41" t="inlineStr">
        <is>
          <t>FTA Obligation</t>
        </is>
      </c>
    </row>
    <row r="42">
      <c r="A42" t="inlineStr">
        <is>
          <t>16-99-0002</t>
        </is>
      </c>
      <c r="B42" t="inlineStr">
        <is>
          <t>073.500 Improve Facilities - Systemwide</t>
        </is>
      </c>
      <c r="C42" t="inlineStr">
        <is>
          <t>Planned work includes renewal initiatives for the following: (1) Facilities Maintenance funding will be targeted at preventive maintenance projects at various CTA facilities system-wide. (2) Modernization of rail yards and (3) Critical repairs at CTA facilities system-wide; it will also provides for (4) Office Building Lease payments principal and interest; and (5) Sheds for the new Diesel Locomotives.</t>
        </is>
      </c>
      <c r="D42" t="inlineStr">
        <is>
          <t>Transit Station/Stop Improvements</t>
        </is>
      </c>
      <c r="E42" t="inlineStr">
        <is>
          <t>[C-MAINT] Rail Stations - Maintain, Rehabilitate, Replace, [D-FAC] ADA - Transit Facility Improvements, [M-MAINT] Multi-Modal Center - Maintain, Rehabilitate, Replace, [V-MAINT] Vehicle Facility - Maintenance</t>
        </is>
      </c>
      <c r="F42" t="inlineStr">
        <is>
          <t>CTA</t>
        </is>
      </c>
      <c r="G42" t="inlineStr">
        <is>
          <t>IL-2025-028</t>
        </is>
      </c>
      <c r="H42" t="inlineStr">
        <is>
          <t>FTA 5307 Urban Formula</t>
        </is>
      </c>
      <c r="I42" s="5" t="n">
        <v>1064121</v>
      </c>
      <c r="J42" t="inlineStr">
        <is>
          <t>No</t>
        </is>
      </c>
      <c r="K42" t="inlineStr">
        <is>
          <t>Yes</t>
        </is>
      </c>
      <c r="L42" t="inlineStr">
        <is>
          <t>No</t>
        </is>
      </c>
      <c r="M42" t="b">
        <v>1</v>
      </c>
      <c r="N42" t="inlineStr">
        <is>
          <t>FFY2025</t>
        </is>
      </c>
      <c r="O42" t="inlineStr">
        <is>
          <t>FTA Obligation</t>
        </is>
      </c>
    </row>
    <row r="43">
      <c r="A43" t="inlineStr">
        <is>
          <t>16-99-0002</t>
        </is>
      </c>
      <c r="B43" t="inlineStr">
        <is>
          <t>073.500 Improve Facilities - Systemwide</t>
        </is>
      </c>
      <c r="C43" t="inlineStr">
        <is>
          <t>Planned work includes renewal initiatives for the following: (1) Facilities Maintenance funding will be targeted at preventive maintenance projects at various CTA facilities system-wide. (2) Modernization of rail yards and (3) Critical repairs at CTA facilities system-wide; it will also provides for (4) Office Building Lease payments principal and interest; and (5) Sheds for the new Diesel Locomotives.</t>
        </is>
      </c>
      <c r="D43" t="inlineStr">
        <is>
          <t>Transit Station/Stop Improvements</t>
        </is>
      </c>
      <c r="E43" t="inlineStr">
        <is>
          <t>[C-MAINT] Rail Stations - Maintain, Rehabilitate, Replace, [D-FAC] ADA - Transit Facility Improvements, [M-MAINT] Multi-Modal Center - Maintain, Rehabilitate, Replace, [V-MAINT] Vehicle Facility - Maintenance</t>
        </is>
      </c>
      <c r="F43" t="inlineStr">
        <is>
          <t>CTA</t>
        </is>
      </c>
      <c r="G43" t="inlineStr">
        <is>
          <t>IL-2025-028</t>
        </is>
      </c>
      <c r="H43" t="inlineStr">
        <is>
          <t>FTA 5307 Urban Formula</t>
        </is>
      </c>
      <c r="I43" s="5" t="n">
        <v>5000000</v>
      </c>
      <c r="J43" t="inlineStr">
        <is>
          <t>No</t>
        </is>
      </c>
      <c r="K43" t="inlineStr">
        <is>
          <t>Yes</t>
        </is>
      </c>
      <c r="L43" t="inlineStr">
        <is>
          <t>No</t>
        </is>
      </c>
      <c r="M43" t="b">
        <v>1</v>
      </c>
      <c r="N43" t="inlineStr">
        <is>
          <t>FFY2025</t>
        </is>
      </c>
      <c r="O43" t="inlineStr">
        <is>
          <t>FTA Obligation</t>
        </is>
      </c>
    </row>
    <row r="44">
      <c r="A44" t="inlineStr">
        <is>
          <t>17-24-0001</t>
        </is>
      </c>
      <c r="B44" t="inlineStr">
        <is>
          <t>Enhanced Mobility of Seniors &amp; Individuals with Disabilities program for Mobility as a Service (MaaS)</t>
        </is>
      </c>
      <c r="C44" t="inlineStr">
        <is>
          <t>Mobility as a Service (MaaS) is a two-year pilot project designed to support customer access to one click real-time trip planning throughout Pace's six-county service area for Pace's Fixed Route, On-Demand and Paratransit family of services.</t>
        </is>
      </c>
      <c r="D44" t="inlineStr">
        <is>
          <t>Transit Operations</t>
        </is>
      </c>
      <c r="E44" t="inlineStr">
        <is>
          <t>[Z-OTHEX] Miscellaneous - Exempt Projects</t>
        </is>
      </c>
      <c r="F44" t="inlineStr">
        <is>
          <t>Pace</t>
        </is>
      </c>
      <c r="G44" t="inlineStr">
        <is>
          <t>IL-2024-011-01-00</t>
        </is>
      </c>
      <c r="H44" t="inlineStr">
        <is>
          <t>FTA 5310 Elderly/Disabled</t>
        </is>
      </c>
      <c r="I44" s="5" t="n">
        <v>1199000</v>
      </c>
      <c r="J44" t="inlineStr">
        <is>
          <t>No</t>
        </is>
      </c>
      <c r="K44" t="inlineStr">
        <is>
          <t>No</t>
        </is>
      </c>
      <c r="L44" t="inlineStr">
        <is>
          <t>No</t>
        </is>
      </c>
      <c r="M44" t="b">
        <v>0</v>
      </c>
      <c r="N44" t="inlineStr">
        <is>
          <t>FFY2025</t>
        </is>
      </c>
      <c r="O44" t="inlineStr">
        <is>
          <t>FTA Obligation</t>
        </is>
      </c>
    </row>
    <row r="45">
      <c r="A45" t="inlineStr">
        <is>
          <t>17-94-0008</t>
        </is>
      </c>
      <c r="B45" t="inlineStr">
        <is>
          <t>Pace - Purchase/Replace Fixed Rte Buses</t>
        </is>
      </c>
      <c r="C45" t="inlineStr">
        <is>
          <t>2021 and 2022 funding will purchase 13 replacement 40 ft. hybrid buses, 10 expansion 40 ft. hybrid buses for Pulse Dempster and 24 replacement 35 ft. hybrid buses. Pace will also purchase an additional 33 replacement 35 ft. hybrid buses using FY2024 Low-No discretionary funds. Pace's 2025 capital budget includes the purchase of 13 over-the-road coach buses and 8 hybrid buses.</t>
        </is>
      </c>
      <c r="D45" t="inlineStr">
        <is>
          <t>Transit Vehicles (Bus/Rail)</t>
        </is>
      </c>
      <c r="E45" t="inlineStr">
        <is>
          <t>[J-EXP] Rolling Stock - Expand Fleet, [J-FUEL] Rolling Stock - Alternate Fuels, [J-REP] Rolling Stock - Replace Existing Vehicles</t>
        </is>
      </c>
      <c r="F45" t="inlineStr">
        <is>
          <t>Pace</t>
        </is>
      </c>
      <c r="G45" t="inlineStr">
        <is>
          <t>IL-2025-006</t>
        </is>
      </c>
      <c r="H45" t="inlineStr">
        <is>
          <t>FTA 5339C Low or No Emission Bus</t>
        </is>
      </c>
      <c r="I45" s="5" t="n">
        <v>30911000</v>
      </c>
      <c r="J45" t="inlineStr">
        <is>
          <t>No</t>
        </is>
      </c>
      <c r="K45" t="inlineStr">
        <is>
          <t>No</t>
        </is>
      </c>
      <c r="L45" t="inlineStr">
        <is>
          <t>No</t>
        </is>
      </c>
      <c r="M45" t="b">
        <v>0</v>
      </c>
      <c r="N45" t="inlineStr">
        <is>
          <t>FFY2025</t>
        </is>
      </c>
      <c r="O45" t="inlineStr">
        <is>
          <t>FTA Obligation</t>
        </is>
      </c>
    </row>
    <row r="46">
      <c r="A46" t="inlineStr">
        <is>
          <t>17-94-0008</t>
        </is>
      </c>
      <c r="B46" t="inlineStr">
        <is>
          <t>Pace - Purchase/Replace Fixed Rte Buses</t>
        </is>
      </c>
      <c r="C46" t="inlineStr">
        <is>
          <t>2021 and 2022 funding will purchase 13 replacement 40 ft. hybrid buses, 10 expansion 40 ft. hybrid buses for Pulse Dempster and 24 replacement 35 ft. hybrid buses. Pace will also purchase an additional 33 replacement 35 ft. hybrid buses using FY2024 Low-No discretionary funds. Pace's 2025 capital budget includes the purchase of 13 over-the-road coach buses and 8 hybrid buses.</t>
        </is>
      </c>
      <c r="D46" t="inlineStr">
        <is>
          <t>Transit Vehicles (Bus/Rail)</t>
        </is>
      </c>
      <c r="E46" t="inlineStr">
        <is>
          <t>[J-EXP] Rolling Stock - Expand Fleet, [J-FUEL] Rolling Stock - Alternate Fuels, [J-REP] Rolling Stock - Replace Existing Vehicles</t>
        </is>
      </c>
      <c r="F46" t="inlineStr">
        <is>
          <t>Pace</t>
        </is>
      </c>
      <c r="G46" t="inlineStr">
        <is>
          <t>IL-2025-026</t>
        </is>
      </c>
      <c r="H46" t="inlineStr">
        <is>
          <t>FTA 5307 Urban Formula</t>
        </is>
      </c>
      <c r="I46" s="5" t="n">
        <v>12450000</v>
      </c>
      <c r="J46" t="inlineStr">
        <is>
          <t>No</t>
        </is>
      </c>
      <c r="K46" t="inlineStr">
        <is>
          <t>No</t>
        </is>
      </c>
      <c r="L46" t="inlineStr">
        <is>
          <t>No</t>
        </is>
      </c>
      <c r="M46" t="b">
        <v>0</v>
      </c>
      <c r="N46" t="inlineStr">
        <is>
          <t>FFY2025</t>
        </is>
      </c>
      <c r="O46" t="inlineStr">
        <is>
          <t>FTA Obligation</t>
        </is>
      </c>
    </row>
    <row r="47">
      <c r="A47" t="inlineStr">
        <is>
          <t>17-94-0008</t>
        </is>
      </c>
      <c r="B47" t="inlineStr">
        <is>
          <t>Pace - Purchase/Replace Fixed Rte Buses</t>
        </is>
      </c>
      <c r="C47" t="inlineStr">
        <is>
          <t>2021 and 2022 funding will purchase 13 replacement 40 ft. hybrid buses, 10 expansion 40 ft. hybrid buses for Pulse Dempster and 24 replacement 35 ft. hybrid buses. Pace will also purchase an additional 33 replacement 35 ft. hybrid buses using FY2024 Low-No discretionary funds. Pace's 2025 capital budget includes the purchase of 13 over-the-road coach buses and 8 hybrid buses.</t>
        </is>
      </c>
      <c r="D47" t="inlineStr">
        <is>
          <t>Transit Vehicles (Bus/Rail)</t>
        </is>
      </c>
      <c r="E47" t="inlineStr">
        <is>
          <t>[J-EXP] Rolling Stock - Expand Fleet, [J-FUEL] Rolling Stock - Alternate Fuels, [J-REP] Rolling Stock - Replace Existing Vehicles</t>
        </is>
      </c>
      <c r="F47" t="inlineStr">
        <is>
          <t>Pace</t>
        </is>
      </c>
      <c r="G47" t="inlineStr">
        <is>
          <t>IL-2025-026</t>
        </is>
      </c>
      <c r="H47" t="inlineStr">
        <is>
          <t>FTA 5307 Urban Formula</t>
        </is>
      </c>
      <c r="I47" s="5" t="n">
        <v>9600000</v>
      </c>
      <c r="J47" t="inlineStr">
        <is>
          <t>No</t>
        </is>
      </c>
      <c r="K47" t="inlineStr">
        <is>
          <t>No</t>
        </is>
      </c>
      <c r="L47" t="inlineStr">
        <is>
          <t>No</t>
        </is>
      </c>
      <c r="M47" t="b">
        <v>0</v>
      </c>
      <c r="N47" t="inlineStr">
        <is>
          <t>FFY2025</t>
        </is>
      </c>
      <c r="O47" t="inlineStr">
        <is>
          <t>FTA Obligation</t>
        </is>
      </c>
    </row>
    <row r="48">
      <c r="A48" t="inlineStr">
        <is>
          <t>17-94-0009</t>
        </is>
      </c>
      <c r="B48" t="inlineStr">
        <is>
          <t>Pace-Purchase/Replace Paratransit Vehicles</t>
        </is>
      </c>
      <c r="C48" t="inlineStr">
        <is>
          <t>Purchase Paratransit Vehicles including associated equipment</t>
        </is>
      </c>
      <c r="D48" t="inlineStr">
        <is>
          <t>Transit Vehicles (Bus/Rail)</t>
        </is>
      </c>
      <c r="E48" t="inlineStr">
        <is>
          <t>[J-REP] Rolling Stock - Replace Existing Vehicles</t>
        </is>
      </c>
      <c r="F48" t="inlineStr">
        <is>
          <t>Pace</t>
        </is>
      </c>
      <c r="G48" t="inlineStr">
        <is>
          <t>IL-2025-026</t>
        </is>
      </c>
      <c r="H48" t="inlineStr">
        <is>
          <t>FTA 5307 Urban Formula</t>
        </is>
      </c>
      <c r="I48" s="5" t="n">
        <v>247670</v>
      </c>
      <c r="J48" t="inlineStr">
        <is>
          <t>No</t>
        </is>
      </c>
      <c r="K48" t="inlineStr">
        <is>
          <t>No</t>
        </is>
      </c>
      <c r="L48" t="inlineStr">
        <is>
          <t>No</t>
        </is>
      </c>
      <c r="M48" t="b">
        <v>0</v>
      </c>
      <c r="N48" t="inlineStr">
        <is>
          <t>FFY2025</t>
        </is>
      </c>
      <c r="O48" t="inlineStr">
        <is>
          <t>FTA Obligation</t>
        </is>
      </c>
    </row>
    <row r="49">
      <c r="A49" t="inlineStr">
        <is>
          <t>17-94-0009</t>
        </is>
      </c>
      <c r="B49" t="inlineStr">
        <is>
          <t>Pace-Purchase/Replace Paratransit Vehicles</t>
        </is>
      </c>
      <c r="C49" t="inlineStr">
        <is>
          <t>Purchase Paratransit Vehicles including associated equipment</t>
        </is>
      </c>
      <c r="D49" t="inlineStr">
        <is>
          <t>Transit Vehicles (Bus/Rail)</t>
        </is>
      </c>
      <c r="E49" t="inlineStr">
        <is>
          <t>[J-REP] Rolling Stock - Replace Existing Vehicles</t>
        </is>
      </c>
      <c r="F49" t="inlineStr">
        <is>
          <t>Pace</t>
        </is>
      </c>
      <c r="G49" t="inlineStr">
        <is>
          <t>IL-2025-026</t>
        </is>
      </c>
      <c r="H49" t="inlineStr">
        <is>
          <t>FTA 5339A Bus (Formula)</t>
        </is>
      </c>
      <c r="I49" s="5" t="n">
        <v>2036861</v>
      </c>
      <c r="J49" t="inlineStr">
        <is>
          <t>No</t>
        </is>
      </c>
      <c r="K49" t="inlineStr">
        <is>
          <t>No</t>
        </is>
      </c>
      <c r="L49" t="inlineStr">
        <is>
          <t>No</t>
        </is>
      </c>
      <c r="M49" t="b">
        <v>0</v>
      </c>
      <c r="N49" t="inlineStr">
        <is>
          <t>FFY2025</t>
        </is>
      </c>
      <c r="O49" t="inlineStr">
        <is>
          <t>FTA Obligation</t>
        </is>
      </c>
    </row>
    <row r="50">
      <c r="A50" t="inlineStr">
        <is>
          <t>17-96-0005</t>
        </is>
      </c>
      <c r="B50" t="inlineStr">
        <is>
          <t>Pace-Expand Existing Garage from 76th St and Industrial Dr (Southwest Garage Expansion)</t>
        </is>
      </c>
      <c r="C50" t="inlineStr">
        <is>
          <t>Southwest Division was built in 1994 and is currently at capacity and an expansion is needed to support future growth, including Rapid Transit service on the Pulse Network and the Tri-State Express Bus service. Additionally, necessary improvements would be made to the existing 80,000 square foot building which would reduce maintenance and operating costs.</t>
        </is>
      </c>
      <c r="D50" t="inlineStr">
        <is>
          <t>Transit Support Facilities</t>
        </is>
      </c>
      <c r="E50" t="inlineStr">
        <is>
          <t>[J-INF] Alternative Fuel Infrastructure, [V-MAINT] Vehicle Facility - Maintenance, [V-STOR] Vehicle Facility - Storage</t>
        </is>
      </c>
      <c r="F50" t="inlineStr">
        <is>
          <t>Pace</t>
        </is>
      </c>
      <c r="G50" t="inlineStr">
        <is>
          <t>IL-2025-026</t>
        </is>
      </c>
      <c r="H50" t="inlineStr">
        <is>
          <t>FTA 5307 Urban Formula</t>
        </is>
      </c>
      <c r="I50" s="5" t="n">
        <v>31500000</v>
      </c>
      <c r="J50" t="inlineStr">
        <is>
          <t>No</t>
        </is>
      </c>
      <c r="K50" t="inlineStr">
        <is>
          <t>No</t>
        </is>
      </c>
      <c r="L50" t="inlineStr">
        <is>
          <t>No</t>
        </is>
      </c>
      <c r="M50" t="b">
        <v>0</v>
      </c>
      <c r="N50" t="inlineStr">
        <is>
          <t>FFY2025</t>
        </is>
      </c>
      <c r="O50" t="inlineStr">
        <is>
          <t>FTA Obligation</t>
        </is>
      </c>
    </row>
    <row r="51">
      <c r="A51" t="inlineStr">
        <is>
          <t>18-10-0006</t>
        </is>
      </c>
      <c r="B51" t="inlineStr">
        <is>
          <t>Metra Regionwide Rolling Stock Improvement</t>
        </is>
      </c>
      <c r="C51" t="inlineStr">
        <is>
          <t>Metra Rolling Stock Improvement</t>
        </is>
      </c>
      <c r="D51" t="inlineStr">
        <is>
          <t>Transit Vehicles (Bus/Rail)</t>
        </is>
      </c>
      <c r="E51" t="inlineStr">
        <is>
          <t>[C-MAINT] Rail Stations - Maintain, Rehabilitate, Replace, [J-REHAB] Rolling Stock - Rehabilitate Vehicles</t>
        </is>
      </c>
      <c r="F51" t="inlineStr">
        <is>
          <t>Metra</t>
        </is>
      </c>
      <c r="G51" t="inlineStr">
        <is>
          <t>IL-2025-027-01-00</t>
        </is>
      </c>
      <c r="H51" t="inlineStr">
        <is>
          <t>FTA 5337 Good Repair</t>
        </is>
      </c>
      <c r="I51" s="5" t="n">
        <v>6035000</v>
      </c>
      <c r="J51" t="inlineStr">
        <is>
          <t>No</t>
        </is>
      </c>
      <c r="K51" t="inlineStr">
        <is>
          <t>No</t>
        </is>
      </c>
      <c r="L51" t="inlineStr">
        <is>
          <t>No</t>
        </is>
      </c>
      <c r="M51" t="b">
        <v>0</v>
      </c>
      <c r="N51" t="inlineStr">
        <is>
          <t>FFY2025</t>
        </is>
      </c>
      <c r="O51" t="inlineStr">
        <is>
          <t>FTA Obligation</t>
        </is>
      </c>
    </row>
    <row r="52">
      <c r="A52" t="inlineStr">
        <is>
          <t>18-10-0026</t>
        </is>
      </c>
      <c r="B52" t="inlineStr">
        <is>
          <t>Metra - Interlockings Regionwide</t>
        </is>
      </c>
      <c r="C52" t="inlineStr">
        <is>
          <t>Upgrades and improvements to the signal system and tracks at switches, crossovers, and larger interlocking plants. Locations include 16th Street on the Rock Island, A-20 Interlocking on the Milwaukee District North, Morgan Interlocking on the Milwaukee District, Western Interlocking on the Rock Island, and the interlockings at Chicago Union Station.</t>
        </is>
      </c>
      <c r="D52" t="inlineStr">
        <is>
          <t>Systems Improvements</t>
        </is>
      </c>
      <c r="E52" t="inlineStr">
        <is>
          <t>[U-SIGS] CPS - Signals</t>
        </is>
      </c>
      <c r="F52" t="inlineStr">
        <is>
          <t>Metra</t>
        </is>
      </c>
      <c r="G52" t="inlineStr">
        <is>
          <t>IL-2024-025-01-00</t>
        </is>
      </c>
      <c r="H52" t="inlineStr">
        <is>
          <t>FTA 5337 Good Repair</t>
        </is>
      </c>
      <c r="I52" s="5" t="n">
        <v>710000</v>
      </c>
      <c r="J52" t="inlineStr">
        <is>
          <t>No</t>
        </is>
      </c>
      <c r="K52" t="inlineStr">
        <is>
          <t>No</t>
        </is>
      </c>
      <c r="L52" t="inlineStr">
        <is>
          <t>No</t>
        </is>
      </c>
      <c r="M52" t="b">
        <v>1</v>
      </c>
      <c r="N52" t="inlineStr">
        <is>
          <t>FFY2025</t>
        </is>
      </c>
      <c r="O52" t="inlineStr">
        <is>
          <t>FTA Obligation</t>
        </is>
      </c>
    </row>
    <row r="53">
      <c r="A53" t="inlineStr">
        <is>
          <t>18-10-0026</t>
        </is>
      </c>
      <c r="B53" t="inlineStr">
        <is>
          <t>Metra - Interlockings Regionwide</t>
        </is>
      </c>
      <c r="C53" t="inlineStr">
        <is>
          <t>Upgrades and improvements to the signal system and tracks at switches, crossovers, and larger interlocking plants. Locations include 16th Street on the Rock Island, A-20 Interlocking on the Milwaukee District North, Morgan Interlocking on the Milwaukee District, Western Interlocking on the Rock Island, and the interlockings at Chicago Union Station.</t>
        </is>
      </c>
      <c r="D53" t="inlineStr">
        <is>
          <t>Systems Improvements</t>
        </is>
      </c>
      <c r="E53" t="inlineStr">
        <is>
          <t>[U-SIGS] CPS - Signals</t>
        </is>
      </c>
      <c r="F53" t="inlineStr">
        <is>
          <t>Metra</t>
        </is>
      </c>
      <c r="G53" t="inlineStr">
        <is>
          <t>IL-2025-027-01-00</t>
        </is>
      </c>
      <c r="H53" t="inlineStr">
        <is>
          <t>FTA 5337 Good Repair</t>
        </is>
      </c>
      <c r="I53" s="5" t="n">
        <v>500000</v>
      </c>
      <c r="J53" t="inlineStr">
        <is>
          <t>No</t>
        </is>
      </c>
      <c r="K53" t="inlineStr">
        <is>
          <t>No</t>
        </is>
      </c>
      <c r="L53" t="inlineStr">
        <is>
          <t>No</t>
        </is>
      </c>
      <c r="M53" t="b">
        <v>1</v>
      </c>
      <c r="N53" t="inlineStr">
        <is>
          <t>FFY2025</t>
        </is>
      </c>
      <c r="O53" t="inlineStr">
        <is>
          <t>FTA Obligation</t>
        </is>
      </c>
    </row>
    <row r="54">
      <c r="A54" t="inlineStr">
        <is>
          <t>18-16-0001</t>
        </is>
      </c>
      <c r="B54" t="inlineStr">
        <is>
          <t>Catenary Structures on Metra Electric line</t>
        </is>
      </c>
      <c r="C54" t="inlineStr">
        <is>
          <t>Catenary Structures on MED line.</t>
        </is>
      </c>
      <c r="D54" t="inlineStr">
        <is>
          <t>Guideway Improvements</t>
        </is>
      </c>
      <c r="E54" t="inlineStr">
        <is>
          <t>[R-MAINT] Rail Line - Maintain, Rehabilitate, Replace</t>
        </is>
      </c>
      <c r="F54" t="inlineStr">
        <is>
          <t>Metra</t>
        </is>
      </c>
      <c r="G54" t="inlineStr">
        <is>
          <t>IL-2025-027-01-00</t>
        </is>
      </c>
      <c r="H54" t="inlineStr">
        <is>
          <t>FTA 5337 Good Repair</t>
        </is>
      </c>
      <c r="I54" s="5" t="n">
        <v>1611000</v>
      </c>
      <c r="J54" t="inlineStr">
        <is>
          <t>No</t>
        </is>
      </c>
      <c r="K54" t="inlineStr">
        <is>
          <t>No</t>
        </is>
      </c>
      <c r="L54" t="inlineStr">
        <is>
          <t>No</t>
        </is>
      </c>
      <c r="M54" t="b">
        <v>0</v>
      </c>
      <c r="N54" t="inlineStr">
        <is>
          <t>FFY2025</t>
        </is>
      </c>
      <c r="O54" t="inlineStr">
        <is>
          <t>FTA Obligation</t>
        </is>
      </c>
    </row>
    <row r="55">
      <c r="A55" t="inlineStr">
        <is>
          <t>18-16-0002</t>
        </is>
      </c>
      <c r="B55" t="inlineStr">
        <is>
          <t>Locomotive Rehab, Traction Motor Rebuild</t>
        </is>
      </c>
      <c r="C55" t="inlineStr">
        <is>
          <t>5011 Loco Rehab (Used F59), Traction Motor Rebuild</t>
        </is>
      </c>
      <c r="D55" t="inlineStr">
        <is>
          <t>Transit Vehicles (Bus/Rail)</t>
        </is>
      </c>
      <c r="E55" t="inlineStr">
        <is>
          <t>[J-RETRO] Rolling Stock - Retrofit Engine</t>
        </is>
      </c>
      <c r="F55" t="inlineStr">
        <is>
          <t>Metra</t>
        </is>
      </c>
      <c r="G55" t="inlineStr">
        <is>
          <t>IL-2025-027-01-00</t>
        </is>
      </c>
      <c r="H55" t="inlineStr">
        <is>
          <t>FTA 5337 Good Repair</t>
        </is>
      </c>
      <c r="I55" s="5" t="n">
        <v>250000</v>
      </c>
      <c r="J55" t="inlineStr">
        <is>
          <t>No</t>
        </is>
      </c>
      <c r="K55" t="inlineStr">
        <is>
          <t>No</t>
        </is>
      </c>
      <c r="L55" t="inlineStr">
        <is>
          <t>No</t>
        </is>
      </c>
      <c r="M55" t="b">
        <v>0</v>
      </c>
      <c r="N55" t="inlineStr">
        <is>
          <t>FFY2025</t>
        </is>
      </c>
      <c r="O55" t="inlineStr">
        <is>
          <t>FTA Obligation</t>
        </is>
      </c>
    </row>
    <row r="56">
      <c r="A56" t="inlineStr">
        <is>
          <t>18-16-0003</t>
        </is>
      </c>
      <c r="B56" t="inlineStr">
        <is>
          <t>Digital Recording System, HVAC Refrigerant Conversion</t>
        </is>
      </c>
      <c r="C56" t="inlineStr">
        <is>
          <t>5010 Digital Recording System &amp; Cameras, 5004 HVAC Refrigerant Conversion</t>
        </is>
      </c>
      <c r="D56" t="inlineStr">
        <is>
          <t>Transit Vehicles (Bus/Rail)</t>
        </is>
      </c>
      <c r="E56" t="inlineStr">
        <is>
          <t>[J-REHAB] Rolling Stock - Rehabilitate Vehicles, [Z-OTHEX] Miscellaneous - Exempt Projects</t>
        </is>
      </c>
      <c r="F56" t="inlineStr">
        <is>
          <t>Metra</t>
        </is>
      </c>
      <c r="G56" t="inlineStr">
        <is>
          <t>IL-2025-027-01-00</t>
        </is>
      </c>
      <c r="H56" t="inlineStr">
        <is>
          <t>FTA 5337 Good Repair</t>
        </is>
      </c>
      <c r="I56" s="5" t="n">
        <v>2000000</v>
      </c>
      <c r="J56" t="inlineStr">
        <is>
          <t>No</t>
        </is>
      </c>
      <c r="K56" t="inlineStr">
        <is>
          <t>No</t>
        </is>
      </c>
      <c r="L56" t="inlineStr">
        <is>
          <t>No</t>
        </is>
      </c>
      <c r="M56" t="b">
        <v>0</v>
      </c>
      <c r="N56" t="inlineStr">
        <is>
          <t>FFY2025</t>
        </is>
      </c>
      <c r="O56" t="inlineStr">
        <is>
          <t>FTA Obligation</t>
        </is>
      </c>
    </row>
    <row r="57">
      <c r="A57" t="inlineStr">
        <is>
          <t>18-16-0004</t>
        </is>
      </c>
      <c r="B57" t="inlineStr">
        <is>
          <t>Train Car Improvements and Rehab</t>
        </is>
      </c>
      <c r="C57" t="inlineStr">
        <is>
          <t>5008 MU Car Imps, 5009 Car Rehab Nippon Sharyo</t>
        </is>
      </c>
      <c r="D57" t="inlineStr">
        <is>
          <t>Transit Vehicles (Bus/Rail)</t>
        </is>
      </c>
      <c r="E57" t="inlineStr">
        <is>
          <t>[J-REHAB] Rolling Stock - Rehabilitate Vehicles</t>
        </is>
      </c>
      <c r="F57" t="inlineStr">
        <is>
          <t>Metra</t>
        </is>
      </c>
      <c r="G57" t="inlineStr">
        <is>
          <t>IL-2025-027-02-00</t>
        </is>
      </c>
      <c r="H57" t="inlineStr">
        <is>
          <t>FTA 5307 Urban Formula</t>
        </is>
      </c>
      <c r="I57" s="5" t="n">
        <v>855244</v>
      </c>
      <c r="J57" t="inlineStr">
        <is>
          <t>No</t>
        </is>
      </c>
      <c r="K57" t="inlineStr">
        <is>
          <t>No</t>
        </is>
      </c>
      <c r="L57" t="inlineStr">
        <is>
          <t>No</t>
        </is>
      </c>
      <c r="M57" t="b">
        <v>0</v>
      </c>
      <c r="N57" t="inlineStr">
        <is>
          <t>FFY2025</t>
        </is>
      </c>
      <c r="O57" t="inlineStr">
        <is>
          <t>FTA Obligation</t>
        </is>
      </c>
    </row>
    <row r="58">
      <c r="A58" t="inlineStr">
        <is>
          <t>18-16-0004</t>
        </is>
      </c>
      <c r="B58" t="inlineStr">
        <is>
          <t>Train Car Improvements and Rehab</t>
        </is>
      </c>
      <c r="C58" t="inlineStr">
        <is>
          <t>5008 MU Car Imps, 5009 Car Rehab Nippon Sharyo</t>
        </is>
      </c>
      <c r="D58" t="inlineStr">
        <is>
          <t>Transit Vehicles (Bus/Rail)</t>
        </is>
      </c>
      <c r="E58" t="inlineStr">
        <is>
          <t>[J-REHAB] Rolling Stock - Rehabilitate Vehicles</t>
        </is>
      </c>
      <c r="F58" t="inlineStr">
        <is>
          <t>Metra</t>
        </is>
      </c>
      <c r="G58" t="inlineStr">
        <is>
          <t>IL-2025-027-01-00</t>
        </is>
      </c>
      <c r="H58" t="inlineStr">
        <is>
          <t>FTA 5337 Good Repair</t>
        </is>
      </c>
      <c r="I58" s="5" t="n">
        <v>21144756</v>
      </c>
      <c r="J58" t="inlineStr">
        <is>
          <t>No</t>
        </is>
      </c>
      <c r="K58" t="inlineStr">
        <is>
          <t>No</t>
        </is>
      </c>
      <c r="L58" t="inlineStr">
        <is>
          <t>No</t>
        </is>
      </c>
      <c r="M58" t="b">
        <v>0</v>
      </c>
      <c r="N58" t="inlineStr">
        <is>
          <t>FFY2025</t>
        </is>
      </c>
      <c r="O58" t="inlineStr">
        <is>
          <t>FTA Obligation</t>
        </is>
      </c>
    </row>
    <row r="59">
      <c r="A59" t="inlineStr">
        <is>
          <t>18-16-0005</t>
        </is>
      </c>
      <c r="B59" t="inlineStr">
        <is>
          <t>Locomotive and Car Improvements, Wheel Replacements</t>
        </is>
      </c>
      <c r="C59" t="inlineStr">
        <is>
          <t>Loco and Car Improvements, Wheel Replacement</t>
        </is>
      </c>
      <c r="D59" t="inlineStr">
        <is>
          <t>Transit Vehicles (Bus/Rail)</t>
        </is>
      </c>
      <c r="E59" t="inlineStr">
        <is>
          <t>[J-REHAB] Rolling Stock - Rehabilitate Vehicles</t>
        </is>
      </c>
      <c r="F59" t="inlineStr">
        <is>
          <t>Metra</t>
        </is>
      </c>
      <c r="G59" t="inlineStr">
        <is>
          <t>IL-2025-027-02-00</t>
        </is>
      </c>
      <c r="H59" t="inlineStr">
        <is>
          <t>FTA 5307 Urban Formula</t>
        </is>
      </c>
      <c r="I59" s="5" t="n">
        <v>200000</v>
      </c>
      <c r="J59" t="inlineStr">
        <is>
          <t>No</t>
        </is>
      </c>
      <c r="K59" t="inlineStr">
        <is>
          <t>No</t>
        </is>
      </c>
      <c r="L59" t="inlineStr">
        <is>
          <t>No</t>
        </is>
      </c>
      <c r="M59" t="b">
        <v>0</v>
      </c>
      <c r="N59" t="inlineStr">
        <is>
          <t>FFY2025</t>
        </is>
      </c>
      <c r="O59" t="inlineStr">
        <is>
          <t>FTA Obligation</t>
        </is>
      </c>
    </row>
    <row r="60">
      <c r="A60" t="inlineStr">
        <is>
          <t>18-16-0005</t>
        </is>
      </c>
      <c r="B60" t="inlineStr">
        <is>
          <t>Locomotive and Car Improvements, Wheel Replacements</t>
        </is>
      </c>
      <c r="C60" t="inlineStr">
        <is>
          <t>Loco and Car Improvements, Wheel Replacement</t>
        </is>
      </c>
      <c r="D60" t="inlineStr">
        <is>
          <t>Transit Vehicles (Bus/Rail)</t>
        </is>
      </c>
      <c r="E60" t="inlineStr">
        <is>
          <t>[J-REHAB] Rolling Stock - Rehabilitate Vehicles</t>
        </is>
      </c>
      <c r="F60" t="inlineStr">
        <is>
          <t>Metra</t>
        </is>
      </c>
      <c r="G60" t="inlineStr">
        <is>
          <t>IL-2025-027-01-00</t>
        </is>
      </c>
      <c r="H60" t="inlineStr">
        <is>
          <t>FTA 5337 Good Repair</t>
        </is>
      </c>
      <c r="I60" s="5" t="n">
        <v>6000000</v>
      </c>
      <c r="J60" t="inlineStr">
        <is>
          <t>No</t>
        </is>
      </c>
      <c r="K60" t="inlineStr">
        <is>
          <t>No</t>
        </is>
      </c>
      <c r="L60" t="inlineStr">
        <is>
          <t>No</t>
        </is>
      </c>
      <c r="M60" t="b">
        <v>0</v>
      </c>
      <c r="N60" t="inlineStr">
        <is>
          <t>FFY2025</t>
        </is>
      </c>
      <c r="O60" t="inlineStr">
        <is>
          <t>FTA Obligation</t>
        </is>
      </c>
    </row>
    <row r="61">
      <c r="A61" t="inlineStr">
        <is>
          <t>18-16-0007</t>
        </is>
      </c>
      <c r="B61" t="inlineStr">
        <is>
          <t>Ties and Ballast</t>
        </is>
      </c>
      <c r="C61" t="inlineStr">
        <is>
          <t>5012, 5018, 5112, 5113, 5115, 5212, 5213, 5214, 5215, 5312, 5313, 5314, 5315, 5316, 5412, 5413, 5512, 5513, 5514, 5614, 5616, 5816</t>
        </is>
      </c>
      <c r="D61" t="inlineStr">
        <is>
          <t>Guideway Improvements</t>
        </is>
      </c>
      <c r="E61" t="inlineStr">
        <is>
          <t>[R-MAINT] Rail Line - Maintain, Rehabilitate, Replace</t>
        </is>
      </c>
      <c r="F61" t="inlineStr">
        <is>
          <t>Metra</t>
        </is>
      </c>
      <c r="G61" t="inlineStr">
        <is>
          <t>IL-2025-027-01-00</t>
        </is>
      </c>
      <c r="H61" t="inlineStr">
        <is>
          <t>FTA 5337 Good Repair</t>
        </is>
      </c>
      <c r="I61" s="5" t="n">
        <v>3975000</v>
      </c>
      <c r="J61" t="inlineStr">
        <is>
          <t>No</t>
        </is>
      </c>
      <c r="K61" t="inlineStr">
        <is>
          <t>No</t>
        </is>
      </c>
      <c r="L61" t="inlineStr">
        <is>
          <t>No</t>
        </is>
      </c>
      <c r="M61" t="b">
        <v>0</v>
      </c>
      <c r="N61" t="inlineStr">
        <is>
          <t>FFY2025</t>
        </is>
      </c>
      <c r="O61" t="inlineStr">
        <is>
          <t>FTA Obligation</t>
        </is>
      </c>
    </row>
    <row r="62">
      <c r="A62" t="inlineStr">
        <is>
          <t>18-16-0007</t>
        </is>
      </c>
      <c r="B62" t="inlineStr">
        <is>
          <t>Ties and Ballast</t>
        </is>
      </c>
      <c r="C62" t="inlineStr">
        <is>
          <t>5012, 5018, 5112, 5113, 5115, 5212, 5213, 5214, 5215, 5312, 5313, 5314, 5315, 5316, 5412, 5413, 5512, 5513, 5514, 5614, 5616, 5816</t>
        </is>
      </c>
      <c r="D62" t="inlineStr">
        <is>
          <t>Guideway Improvements</t>
        </is>
      </c>
      <c r="E62" t="inlineStr">
        <is>
          <t>[R-MAINT] Rail Line - Maintain, Rehabilitate, Replace</t>
        </is>
      </c>
      <c r="F62" t="inlineStr">
        <is>
          <t>Metra</t>
        </is>
      </c>
      <c r="G62" t="inlineStr">
        <is>
          <t>IL-2025-027-02-00</t>
        </is>
      </c>
      <c r="H62" t="inlineStr">
        <is>
          <t>FTA 5307 Urban Formula</t>
        </is>
      </c>
      <c r="I62" s="5" t="n">
        <v>200000</v>
      </c>
      <c r="J62" t="inlineStr">
        <is>
          <t>No</t>
        </is>
      </c>
      <c r="K62" t="inlineStr">
        <is>
          <t>No</t>
        </is>
      </c>
      <c r="L62" t="inlineStr">
        <is>
          <t>No</t>
        </is>
      </c>
      <c r="M62" t="b">
        <v>0</v>
      </c>
      <c r="N62" t="inlineStr">
        <is>
          <t>FFY2025</t>
        </is>
      </c>
      <c r="O62" t="inlineStr">
        <is>
          <t>FTA Obligation</t>
        </is>
      </c>
    </row>
    <row r="63">
      <c r="A63" t="inlineStr">
        <is>
          <t>18-16-0008</t>
        </is>
      </c>
      <c r="B63" t="inlineStr">
        <is>
          <t>Renewal of Rail Highway Grade Crossings</t>
        </is>
      </c>
      <c r="C63" t="inlineStr">
        <is>
          <t>Crossings (Road &amp; Track) 5023, 5024, 5432, 5433, 5134, 5431, 5135, 5143, 5432, 5433, 5136, 5434, 5137, 5435, 5234, 5236, 5237, 5238, 5235, 5331, 5332, 5333, 5334, 5335, 5532, 5533, 5534, 5535, 5631, 5632, 5634, 5731, 5732, 5734, 5735</t>
        </is>
      </c>
      <c r="D63" t="inlineStr">
        <is>
          <t>Guideway Improvements</t>
        </is>
      </c>
      <c r="E63" t="inlineStr">
        <is>
          <t>[R-MAINT] Rail Line - Maintain, Rehabilitate, Replace</t>
        </is>
      </c>
      <c r="F63" t="inlineStr">
        <is>
          <t>Metra</t>
        </is>
      </c>
      <c r="G63" t="inlineStr">
        <is>
          <t>IL-2025-027-01-00</t>
        </is>
      </c>
      <c r="H63" t="inlineStr">
        <is>
          <t>FTA 5337 Good Repair</t>
        </is>
      </c>
      <c r="I63" s="5" t="n">
        <v>1584000</v>
      </c>
      <c r="J63" t="inlineStr">
        <is>
          <t>No</t>
        </is>
      </c>
      <c r="K63" t="inlineStr">
        <is>
          <t>No</t>
        </is>
      </c>
      <c r="L63" t="inlineStr">
        <is>
          <t>No</t>
        </is>
      </c>
      <c r="M63" t="b">
        <v>0</v>
      </c>
      <c r="N63" t="inlineStr">
        <is>
          <t>FFY2025</t>
        </is>
      </c>
      <c r="O63" t="inlineStr">
        <is>
          <t>FTA Obligation</t>
        </is>
      </c>
    </row>
    <row r="64">
      <c r="A64" t="inlineStr">
        <is>
          <t>18-16-0008</t>
        </is>
      </c>
      <c r="B64" t="inlineStr">
        <is>
          <t>Renewal of Rail Highway Grade Crossings</t>
        </is>
      </c>
      <c r="C64" t="inlineStr">
        <is>
          <t>Crossings (Road &amp; Track) 5023, 5024, 5432, 5433, 5134, 5431, 5135, 5143, 5432, 5433, 5136, 5434, 5137, 5435, 5234, 5236, 5237, 5238, 5235, 5331, 5332, 5333, 5334, 5335, 5532, 5533, 5534, 5535, 5631, 5632, 5634, 5731, 5732, 5734, 5735</t>
        </is>
      </c>
      <c r="D64" t="inlineStr">
        <is>
          <t>Guideway Improvements</t>
        </is>
      </c>
      <c r="E64" t="inlineStr">
        <is>
          <t>[R-MAINT] Rail Line - Maintain, Rehabilitate, Replace</t>
        </is>
      </c>
      <c r="F64" t="inlineStr">
        <is>
          <t>Metra</t>
        </is>
      </c>
      <c r="G64" t="inlineStr">
        <is>
          <t>IL-2025-027-01-00</t>
        </is>
      </c>
      <c r="H64" t="inlineStr">
        <is>
          <t>FTA 5337 Good Repair</t>
        </is>
      </c>
      <c r="I64" s="5" t="n">
        <v>1890000</v>
      </c>
      <c r="J64" t="inlineStr">
        <is>
          <t>No</t>
        </is>
      </c>
      <c r="K64" t="inlineStr">
        <is>
          <t>No</t>
        </is>
      </c>
      <c r="L64" t="inlineStr">
        <is>
          <t>No</t>
        </is>
      </c>
      <c r="M64" t="b">
        <v>0</v>
      </c>
      <c r="N64" t="inlineStr">
        <is>
          <t>FFY2025</t>
        </is>
      </c>
      <c r="O64" t="inlineStr">
        <is>
          <t>FTA Obligation</t>
        </is>
      </c>
    </row>
    <row r="65">
      <c r="A65" t="inlineStr">
        <is>
          <t>18-16-0008</t>
        </is>
      </c>
      <c r="B65" t="inlineStr">
        <is>
          <t>Renewal of Rail Highway Grade Crossings</t>
        </is>
      </c>
      <c r="C65" t="inlineStr">
        <is>
          <t>Crossings (Road &amp; Track) 5023, 5024, 5432, 5433, 5134, 5431, 5135, 5143, 5432, 5433, 5136, 5434, 5137, 5435, 5234, 5236, 5237, 5238, 5235, 5331, 5332, 5333, 5334, 5335, 5532, 5533, 5534, 5535, 5631, 5632, 5634, 5731, 5732, 5734, 5735</t>
        </is>
      </c>
      <c r="D65" t="inlineStr">
        <is>
          <t>Guideway Improvements</t>
        </is>
      </c>
      <c r="E65" t="inlineStr">
        <is>
          <t>[R-MAINT] Rail Line - Maintain, Rehabilitate, Replace</t>
        </is>
      </c>
      <c r="F65" t="inlineStr">
        <is>
          <t>Metra</t>
        </is>
      </c>
      <c r="G65" t="inlineStr">
        <is>
          <t>IL-2025-027-01-00</t>
        </is>
      </c>
      <c r="H65" t="inlineStr">
        <is>
          <t>FTA 5337 Good Repair</t>
        </is>
      </c>
      <c r="I65" s="5" t="n">
        <v>1800000</v>
      </c>
      <c r="J65" t="inlineStr">
        <is>
          <t>No</t>
        </is>
      </c>
      <c r="K65" t="inlineStr">
        <is>
          <t>No</t>
        </is>
      </c>
      <c r="L65" t="inlineStr">
        <is>
          <t>No</t>
        </is>
      </c>
      <c r="M65" t="b">
        <v>0</v>
      </c>
      <c r="N65" t="inlineStr">
        <is>
          <t>FFY2025</t>
        </is>
      </c>
      <c r="O65" t="inlineStr">
        <is>
          <t>FTA Obligation</t>
        </is>
      </c>
    </row>
    <row r="66">
      <c r="A66" t="inlineStr">
        <is>
          <t>18-16-0008</t>
        </is>
      </c>
      <c r="B66" t="inlineStr">
        <is>
          <t>Renewal of Rail Highway Grade Crossings</t>
        </is>
      </c>
      <c r="C66" t="inlineStr">
        <is>
          <t>Crossings (Road &amp; Track) 5023, 5024, 5432, 5433, 5134, 5431, 5135, 5143, 5432, 5433, 5136, 5434, 5137, 5435, 5234, 5236, 5237, 5238, 5235, 5331, 5332, 5333, 5334, 5335, 5532, 5533, 5534, 5535, 5631, 5632, 5634, 5731, 5732, 5734, 5735</t>
        </is>
      </c>
      <c r="D66" t="inlineStr">
        <is>
          <t>Guideway Improvements</t>
        </is>
      </c>
      <c r="E66" t="inlineStr">
        <is>
          <t>[R-MAINT] Rail Line - Maintain, Rehabilitate, Replace</t>
        </is>
      </c>
      <c r="F66" t="inlineStr">
        <is>
          <t>Metra</t>
        </is>
      </c>
      <c r="G66" t="inlineStr">
        <is>
          <t>IL-2025-027-02-00</t>
        </is>
      </c>
      <c r="H66" t="inlineStr">
        <is>
          <t>FTA 5307 Urban Formula</t>
        </is>
      </c>
      <c r="I66" s="5" t="n">
        <v>585000</v>
      </c>
      <c r="J66" t="inlineStr">
        <is>
          <t>No</t>
        </is>
      </c>
      <c r="K66" t="inlineStr">
        <is>
          <t>No</t>
        </is>
      </c>
      <c r="L66" t="inlineStr">
        <is>
          <t>No</t>
        </is>
      </c>
      <c r="M66" t="b">
        <v>0</v>
      </c>
      <c r="N66" t="inlineStr">
        <is>
          <t>FFY2025</t>
        </is>
      </c>
      <c r="O66" t="inlineStr">
        <is>
          <t>FTA Obligation</t>
        </is>
      </c>
    </row>
    <row r="67">
      <c r="A67" t="inlineStr">
        <is>
          <t>18-16-0009</t>
        </is>
      </c>
      <c r="B67" t="inlineStr">
        <is>
          <t>Rail Renewal</t>
        </is>
      </c>
      <c r="C67" t="inlineStr">
        <is>
          <t>Rail Renewal 5017, 5428, 5028, 5426, 5033, 5427, 5027, 5117, 5127, 5128, 5129, 5130, 5131, 5132, 5227, 5228, 5230, 5231, 5232, 5325, 5326, 5327, 5328, 5329, 5525, 5526, 5527, 5528, 5529, 5625, 5626, 5627, 5628, 5725, 5726, 5727, 5728, 5729</t>
        </is>
      </c>
      <c r="D67" t="inlineStr">
        <is>
          <t>Guideway Improvements</t>
        </is>
      </c>
      <c r="E67" t="inlineStr">
        <is>
          <t>[R-MAINT] Rail Line - Maintain, Rehabilitate, Replace</t>
        </is>
      </c>
      <c r="F67" t="inlineStr">
        <is>
          <t>Metra</t>
        </is>
      </c>
      <c r="G67" t="inlineStr">
        <is>
          <t>IL-2025-027-01-00</t>
        </is>
      </c>
      <c r="H67" t="inlineStr">
        <is>
          <t>FTA 5337 Good Repair</t>
        </is>
      </c>
      <c r="I67" s="5" t="n">
        <v>2100000</v>
      </c>
      <c r="J67" t="inlineStr">
        <is>
          <t>No</t>
        </is>
      </c>
      <c r="K67" t="inlineStr">
        <is>
          <t>No</t>
        </is>
      </c>
      <c r="L67" t="inlineStr">
        <is>
          <t>No</t>
        </is>
      </c>
      <c r="M67" t="b">
        <v>0</v>
      </c>
      <c r="N67" t="inlineStr">
        <is>
          <t>FFY2025</t>
        </is>
      </c>
      <c r="O67" t="inlineStr">
        <is>
          <t>FTA Obligation</t>
        </is>
      </c>
    </row>
    <row r="68">
      <c r="A68" t="inlineStr">
        <is>
          <t>18-16-0009</t>
        </is>
      </c>
      <c r="B68" t="inlineStr">
        <is>
          <t>Rail Renewal</t>
        </is>
      </c>
      <c r="C68" t="inlineStr">
        <is>
          <t>Rail Renewal 5017, 5428, 5028, 5426, 5033, 5427, 5027, 5117, 5127, 5128, 5129, 5130, 5131, 5132, 5227, 5228, 5230, 5231, 5232, 5325, 5326, 5327, 5328, 5329, 5525, 5526, 5527, 5528, 5529, 5625, 5626, 5627, 5628, 5725, 5726, 5727, 5728, 5729</t>
        </is>
      </c>
      <c r="D68" t="inlineStr">
        <is>
          <t>Guideway Improvements</t>
        </is>
      </c>
      <c r="E68" t="inlineStr">
        <is>
          <t>[R-MAINT] Rail Line - Maintain, Rehabilitate, Replace</t>
        </is>
      </c>
      <c r="F68" t="inlineStr">
        <is>
          <t>Metra</t>
        </is>
      </c>
      <c r="G68" t="inlineStr">
        <is>
          <t>IL-2025-027-01-00</t>
        </is>
      </c>
      <c r="H68" t="inlineStr">
        <is>
          <t>FTA 5337 Good Repair</t>
        </is>
      </c>
      <c r="I68" s="5" t="n">
        <v>2560000</v>
      </c>
      <c r="J68" t="inlineStr">
        <is>
          <t>No</t>
        </is>
      </c>
      <c r="K68" t="inlineStr">
        <is>
          <t>No</t>
        </is>
      </c>
      <c r="L68" t="inlineStr">
        <is>
          <t>No</t>
        </is>
      </c>
      <c r="M68" t="b">
        <v>0</v>
      </c>
      <c r="N68" t="inlineStr">
        <is>
          <t>FFY2025</t>
        </is>
      </c>
      <c r="O68" t="inlineStr">
        <is>
          <t>FTA Obligation</t>
        </is>
      </c>
    </row>
    <row r="69">
      <c r="A69" t="inlineStr">
        <is>
          <t>18-16-0009</t>
        </is>
      </c>
      <c r="B69" t="inlineStr">
        <is>
          <t>Rail Renewal</t>
        </is>
      </c>
      <c r="C69" t="inlineStr">
        <is>
          <t>Rail Renewal 5017, 5428, 5028, 5426, 5033, 5427, 5027, 5117, 5127, 5128, 5129, 5130, 5131, 5132, 5227, 5228, 5230, 5231, 5232, 5325, 5326, 5327, 5328, 5329, 5525, 5526, 5527, 5528, 5529, 5625, 5626, 5627, 5628, 5725, 5726, 5727, 5728, 5729</t>
        </is>
      </c>
      <c r="D69" t="inlineStr">
        <is>
          <t>Guideway Improvements</t>
        </is>
      </c>
      <c r="E69" t="inlineStr">
        <is>
          <t>[R-MAINT] Rail Line - Maintain, Rehabilitate, Replace</t>
        </is>
      </c>
      <c r="F69" t="inlineStr">
        <is>
          <t>Metra</t>
        </is>
      </c>
      <c r="G69" t="inlineStr">
        <is>
          <t>IL-2025-027-01-00</t>
        </is>
      </c>
      <c r="H69" t="inlineStr">
        <is>
          <t>FTA 5337 Good Repair</t>
        </is>
      </c>
      <c r="I69" s="5" t="n">
        <v>2670000</v>
      </c>
      <c r="J69" t="inlineStr">
        <is>
          <t>No</t>
        </is>
      </c>
      <c r="K69" t="inlineStr">
        <is>
          <t>No</t>
        </is>
      </c>
      <c r="L69" t="inlineStr">
        <is>
          <t>No</t>
        </is>
      </c>
      <c r="M69" t="b">
        <v>0</v>
      </c>
      <c r="N69" t="inlineStr">
        <is>
          <t>FFY2025</t>
        </is>
      </c>
      <c r="O69" t="inlineStr">
        <is>
          <t>FTA Obligation</t>
        </is>
      </c>
    </row>
    <row r="70">
      <c r="A70" t="inlineStr">
        <is>
          <t>18-16-0009</t>
        </is>
      </c>
      <c r="B70" t="inlineStr">
        <is>
          <t>Rail Renewal</t>
        </is>
      </c>
      <c r="C70" t="inlineStr">
        <is>
          <t>Rail Renewal 5017, 5428, 5028, 5426, 5033, 5427, 5027, 5117, 5127, 5128, 5129, 5130, 5131, 5132, 5227, 5228, 5230, 5231, 5232, 5325, 5326, 5327, 5328, 5329, 5525, 5526, 5527, 5528, 5529, 5625, 5626, 5627, 5628, 5725, 5726, 5727, 5728, 5729</t>
        </is>
      </c>
      <c r="D70" t="inlineStr">
        <is>
          <t>Guideway Improvements</t>
        </is>
      </c>
      <c r="E70" t="inlineStr">
        <is>
          <t>[R-MAINT] Rail Line - Maintain, Rehabilitate, Replace</t>
        </is>
      </c>
      <c r="F70" t="inlineStr">
        <is>
          <t>Metra</t>
        </is>
      </c>
      <c r="G70" t="inlineStr">
        <is>
          <t>IL-2025-027-01-00</t>
        </is>
      </c>
      <c r="H70" t="inlineStr">
        <is>
          <t>FTA 5337 Good Repair</t>
        </is>
      </c>
      <c r="I70" s="5" t="n">
        <v>1900000</v>
      </c>
      <c r="J70" t="inlineStr">
        <is>
          <t>No</t>
        </is>
      </c>
      <c r="K70" t="inlineStr">
        <is>
          <t>No</t>
        </is>
      </c>
      <c r="L70" t="inlineStr">
        <is>
          <t>No</t>
        </is>
      </c>
      <c r="M70" t="b">
        <v>0</v>
      </c>
      <c r="N70" t="inlineStr">
        <is>
          <t>FFY2025</t>
        </is>
      </c>
      <c r="O70" t="inlineStr">
        <is>
          <t>FTA Obligation</t>
        </is>
      </c>
    </row>
    <row r="71">
      <c r="A71" t="inlineStr">
        <is>
          <t>18-16-0009</t>
        </is>
      </c>
      <c r="B71" t="inlineStr">
        <is>
          <t>Rail Renewal</t>
        </is>
      </c>
      <c r="C71" t="inlineStr">
        <is>
          <t>Rail Renewal 5017, 5428, 5028, 5426, 5033, 5427, 5027, 5117, 5127, 5128, 5129, 5130, 5131, 5132, 5227, 5228, 5230, 5231, 5232, 5325, 5326, 5327, 5328, 5329, 5525, 5526, 5527, 5528, 5529, 5625, 5626, 5627, 5628, 5725, 5726, 5727, 5728, 5729</t>
        </is>
      </c>
      <c r="D71" t="inlineStr">
        <is>
          <t>Guideway Improvements</t>
        </is>
      </c>
      <c r="E71" t="inlineStr">
        <is>
          <t>[R-MAINT] Rail Line - Maintain, Rehabilitate, Replace</t>
        </is>
      </c>
      <c r="F71" t="inlineStr">
        <is>
          <t>Metra</t>
        </is>
      </c>
      <c r="G71" t="inlineStr">
        <is>
          <t>IL-2025-027-01-00</t>
        </is>
      </c>
      <c r="H71" t="inlineStr">
        <is>
          <t>FTA 5337 Good Repair</t>
        </is>
      </c>
      <c r="I71" s="5" t="n">
        <v>1150000</v>
      </c>
      <c r="J71" t="inlineStr">
        <is>
          <t>No</t>
        </is>
      </c>
      <c r="K71" t="inlineStr">
        <is>
          <t>No</t>
        </is>
      </c>
      <c r="L71" t="inlineStr">
        <is>
          <t>No</t>
        </is>
      </c>
      <c r="M71" t="b">
        <v>0</v>
      </c>
      <c r="N71" t="inlineStr">
        <is>
          <t>FFY2025</t>
        </is>
      </c>
      <c r="O71" t="inlineStr">
        <is>
          <t>FTA Obligation</t>
        </is>
      </c>
    </row>
    <row r="72">
      <c r="A72" t="inlineStr">
        <is>
          <t>18-16-0009</t>
        </is>
      </c>
      <c r="B72" t="inlineStr">
        <is>
          <t>Rail Renewal</t>
        </is>
      </c>
      <c r="C72" t="inlineStr">
        <is>
          <t>Rail Renewal 5017, 5428, 5028, 5426, 5033, 5427, 5027, 5117, 5127, 5128, 5129, 5130, 5131, 5132, 5227, 5228, 5230, 5231, 5232, 5325, 5326, 5327, 5328, 5329, 5525, 5526, 5527, 5528, 5529, 5625, 5626, 5627, 5628, 5725, 5726, 5727, 5728, 5729</t>
        </is>
      </c>
      <c r="D72" t="inlineStr">
        <is>
          <t>Guideway Improvements</t>
        </is>
      </c>
      <c r="E72" t="inlineStr">
        <is>
          <t>[R-MAINT] Rail Line - Maintain, Rehabilitate, Replace</t>
        </is>
      </c>
      <c r="F72" t="inlineStr">
        <is>
          <t>Metra</t>
        </is>
      </c>
      <c r="G72" t="inlineStr">
        <is>
          <t>IL-2025-027-02-00</t>
        </is>
      </c>
      <c r="H72" t="inlineStr">
        <is>
          <t>FTA 5307 Urban Formula</t>
        </is>
      </c>
      <c r="I72" s="5" t="n">
        <v>200000</v>
      </c>
      <c r="J72" t="inlineStr">
        <is>
          <t>No</t>
        </is>
      </c>
      <c r="K72" t="inlineStr">
        <is>
          <t>No</t>
        </is>
      </c>
      <c r="L72" t="inlineStr">
        <is>
          <t>No</t>
        </is>
      </c>
      <c r="M72" t="b">
        <v>0</v>
      </c>
      <c r="N72" t="inlineStr">
        <is>
          <t>FFY2025</t>
        </is>
      </c>
      <c r="O72" t="inlineStr">
        <is>
          <t>FTA Obligation</t>
        </is>
      </c>
    </row>
    <row r="73">
      <c r="A73" t="inlineStr">
        <is>
          <t>18-16-0012</t>
        </is>
      </c>
      <c r="B73" t="inlineStr">
        <is>
          <t>Bridge and Retaining Wall Improvements</t>
        </is>
      </c>
      <c r="C73" t="inlineStr">
        <is>
          <t>Bridge and Retaining Wall Improvements 5038, 5138, 5239, 5336, 5436, 5536, 5440, 5540, 5636, 5637, 5638, 5639, 5736, 5737, 5738, 5739, 5740</t>
        </is>
      </c>
      <c r="D73" t="inlineStr">
        <is>
          <t>Guideway Improvements</t>
        </is>
      </c>
      <c r="E73" t="inlineStr">
        <is>
          <t>[B-REPAIR] Bridge/Structure - Reconst/Rehab No Chng in #, Wdth, or Lane</t>
        </is>
      </c>
      <c r="F73" t="inlineStr">
        <is>
          <t>Metra</t>
        </is>
      </c>
      <c r="G73" t="inlineStr">
        <is>
          <t>IL-2025-027-01-00</t>
        </is>
      </c>
      <c r="H73" t="inlineStr">
        <is>
          <t>FTA 5337 Good Repair</t>
        </is>
      </c>
      <c r="I73" s="5" t="n">
        <v>3500000</v>
      </c>
      <c r="J73" t="inlineStr">
        <is>
          <t>No</t>
        </is>
      </c>
      <c r="K73" t="inlineStr">
        <is>
          <t>No</t>
        </is>
      </c>
      <c r="L73" t="inlineStr">
        <is>
          <t>No</t>
        </is>
      </c>
      <c r="M73" t="b">
        <v>0</v>
      </c>
      <c r="N73" t="inlineStr">
        <is>
          <t>FFY2025</t>
        </is>
      </c>
      <c r="O73" t="inlineStr">
        <is>
          <t>FTA Obligation</t>
        </is>
      </c>
    </row>
    <row r="74">
      <c r="A74" t="inlineStr">
        <is>
          <t>18-16-0012</t>
        </is>
      </c>
      <c r="B74" t="inlineStr">
        <is>
          <t>Bridge and Retaining Wall Improvements</t>
        </is>
      </c>
      <c r="C74" t="inlineStr">
        <is>
          <t>Bridge and Retaining Wall Improvements 5038, 5138, 5239, 5336, 5436, 5536, 5440, 5540, 5636, 5637, 5638, 5639, 5736, 5737, 5738, 5739, 5740</t>
        </is>
      </c>
      <c r="D74" t="inlineStr">
        <is>
          <t>Guideway Improvements</t>
        </is>
      </c>
      <c r="E74" t="inlineStr">
        <is>
          <t>[B-REPAIR] Bridge/Structure - Reconst/Rehab No Chng in #, Wdth, or Lane</t>
        </is>
      </c>
      <c r="F74" t="inlineStr">
        <is>
          <t>Metra</t>
        </is>
      </c>
      <c r="G74" t="inlineStr">
        <is>
          <t>IL-2025-027-01-00</t>
        </is>
      </c>
      <c r="H74" t="inlineStr">
        <is>
          <t>FTA 5337 Good Repair</t>
        </is>
      </c>
      <c r="I74" s="5" t="n">
        <v>2200000</v>
      </c>
      <c r="J74" t="inlineStr">
        <is>
          <t>No</t>
        </is>
      </c>
      <c r="K74" t="inlineStr">
        <is>
          <t>No</t>
        </is>
      </c>
      <c r="L74" t="inlineStr">
        <is>
          <t>No</t>
        </is>
      </c>
      <c r="M74" t="b">
        <v>0</v>
      </c>
      <c r="N74" t="inlineStr">
        <is>
          <t>FFY2025</t>
        </is>
      </c>
      <c r="O74" t="inlineStr">
        <is>
          <t>FTA Obligation</t>
        </is>
      </c>
    </row>
    <row r="75">
      <c r="A75" t="inlineStr">
        <is>
          <t>18-16-0012</t>
        </is>
      </c>
      <c r="B75" t="inlineStr">
        <is>
          <t>Bridge and Retaining Wall Improvements</t>
        </is>
      </c>
      <c r="C75" t="inlineStr">
        <is>
          <t>Bridge and Retaining Wall Improvements 5038, 5138, 5239, 5336, 5436, 5536, 5440, 5540, 5636, 5637, 5638, 5639, 5736, 5737, 5738, 5739, 5740</t>
        </is>
      </c>
      <c r="D75" t="inlineStr">
        <is>
          <t>Guideway Improvements</t>
        </is>
      </c>
      <c r="E75" t="inlineStr">
        <is>
          <t>[B-REPAIR] Bridge/Structure - Reconst/Rehab No Chng in #, Wdth, or Lane</t>
        </is>
      </c>
      <c r="F75" t="inlineStr">
        <is>
          <t>Metra</t>
        </is>
      </c>
      <c r="G75" t="inlineStr">
        <is>
          <t>IL-2025-027-01-00</t>
        </is>
      </c>
      <c r="H75" t="inlineStr">
        <is>
          <t>FTA 5337 Good Repair</t>
        </is>
      </c>
      <c r="I75" s="5" t="n">
        <v>1350000</v>
      </c>
      <c r="J75" t="inlineStr">
        <is>
          <t>No</t>
        </is>
      </c>
      <c r="K75" t="inlineStr">
        <is>
          <t>No</t>
        </is>
      </c>
      <c r="L75" t="inlineStr">
        <is>
          <t>No</t>
        </is>
      </c>
      <c r="M75" t="b">
        <v>0</v>
      </c>
      <c r="N75" t="inlineStr">
        <is>
          <t>FFY2025</t>
        </is>
      </c>
      <c r="O75" t="inlineStr">
        <is>
          <t>FTA Obligation</t>
        </is>
      </c>
    </row>
    <row r="76">
      <c r="A76" t="inlineStr">
        <is>
          <t>18-16-0012</t>
        </is>
      </c>
      <c r="B76" t="inlineStr">
        <is>
          <t>Bridge and Retaining Wall Improvements</t>
        </is>
      </c>
      <c r="C76" t="inlineStr">
        <is>
          <t>Bridge and Retaining Wall Improvements 5038, 5138, 5239, 5336, 5436, 5536, 5440, 5540, 5636, 5637, 5638, 5639, 5736, 5737, 5738, 5739, 5740</t>
        </is>
      </c>
      <c r="D76" t="inlineStr">
        <is>
          <t>Guideway Improvements</t>
        </is>
      </c>
      <c r="E76" t="inlineStr">
        <is>
          <t>[B-REPAIR] Bridge/Structure - Reconst/Rehab No Chng in #, Wdth, or Lane</t>
        </is>
      </c>
      <c r="F76" t="inlineStr">
        <is>
          <t>Metra</t>
        </is>
      </c>
      <c r="G76" t="inlineStr">
        <is>
          <t>IL-2025-027-01-00</t>
        </is>
      </c>
      <c r="H76" t="inlineStr">
        <is>
          <t>FTA 5337 Good Repair</t>
        </is>
      </c>
      <c r="I76" s="5" t="n">
        <v>1980000</v>
      </c>
      <c r="J76" t="inlineStr">
        <is>
          <t>No</t>
        </is>
      </c>
      <c r="K76" t="inlineStr">
        <is>
          <t>No</t>
        </is>
      </c>
      <c r="L76" t="inlineStr">
        <is>
          <t>No</t>
        </is>
      </c>
      <c r="M76" t="b">
        <v>0</v>
      </c>
      <c r="N76" t="inlineStr">
        <is>
          <t>FFY2025</t>
        </is>
      </c>
      <c r="O76" t="inlineStr">
        <is>
          <t>FTA Obligation</t>
        </is>
      </c>
    </row>
    <row r="77">
      <c r="A77" t="inlineStr">
        <is>
          <t>18-16-0012</t>
        </is>
      </c>
      <c r="B77" t="inlineStr">
        <is>
          <t>Bridge and Retaining Wall Improvements</t>
        </is>
      </c>
      <c r="C77" t="inlineStr">
        <is>
          <t>Bridge and Retaining Wall Improvements 5038, 5138, 5239, 5336, 5436, 5536, 5440, 5540, 5636, 5637, 5638, 5639, 5736, 5737, 5738, 5739, 5740</t>
        </is>
      </c>
      <c r="D77" t="inlineStr">
        <is>
          <t>Guideway Improvements</t>
        </is>
      </c>
      <c r="E77" t="inlineStr">
        <is>
          <t>[B-REPAIR] Bridge/Structure - Reconst/Rehab No Chng in #, Wdth, or Lane</t>
        </is>
      </c>
      <c r="F77" t="inlineStr">
        <is>
          <t>Metra</t>
        </is>
      </c>
      <c r="G77" t="inlineStr">
        <is>
          <t>IL-2025-027-01-00</t>
        </is>
      </c>
      <c r="H77" t="inlineStr">
        <is>
          <t>FTA 5337 Good Repair</t>
        </is>
      </c>
      <c r="I77" s="5" t="n">
        <v>1350000</v>
      </c>
      <c r="J77" t="inlineStr">
        <is>
          <t>No</t>
        </is>
      </c>
      <c r="K77" t="inlineStr">
        <is>
          <t>No</t>
        </is>
      </c>
      <c r="L77" t="inlineStr">
        <is>
          <t>No</t>
        </is>
      </c>
      <c r="M77" t="b">
        <v>0</v>
      </c>
      <c r="N77" t="inlineStr">
        <is>
          <t>FFY2025</t>
        </is>
      </c>
      <c r="O77" t="inlineStr">
        <is>
          <t>FTA Obligation</t>
        </is>
      </c>
    </row>
    <row r="78">
      <c r="A78" t="inlineStr">
        <is>
          <t>18-16-0015</t>
        </is>
      </c>
      <c r="B78" t="inlineStr">
        <is>
          <t>Signal System Upgrades</t>
        </is>
      </c>
      <c r="C78" t="inlineStr">
        <is>
          <t>Signal System Upgrades; 5034, 5035, 5056, 5145, 5146, 5147, 5253, 5244, 5255, 5256, 5353, 5354, 5355, 5447; 5551, 5552, 5553, 5560 Signal Standards 5352; Switch Layout Standards 5554, 5560, 5747, 5748, 5749</t>
        </is>
      </c>
      <c r="D78" t="inlineStr">
        <is>
          <t>Guideway Improvements</t>
        </is>
      </c>
      <c r="E78" t="inlineStr">
        <is>
          <t>[U-SIGS] CPS - Signals</t>
        </is>
      </c>
      <c r="F78" t="inlineStr">
        <is>
          <t>Metra</t>
        </is>
      </c>
      <c r="G78" t="inlineStr">
        <is>
          <t>IL-2025-027-02-00</t>
        </is>
      </c>
      <c r="H78" t="inlineStr">
        <is>
          <t>FTA 5307 Urban Formula</t>
        </is>
      </c>
      <c r="I78" s="5" t="n">
        <v>1620000</v>
      </c>
      <c r="J78" t="inlineStr">
        <is>
          <t>No</t>
        </is>
      </c>
      <c r="K78" t="inlineStr">
        <is>
          <t>No</t>
        </is>
      </c>
      <c r="L78" t="inlineStr">
        <is>
          <t>No</t>
        </is>
      </c>
      <c r="M78" t="b">
        <v>0</v>
      </c>
      <c r="N78" t="inlineStr">
        <is>
          <t>FFY2025</t>
        </is>
      </c>
      <c r="O78" t="inlineStr">
        <is>
          <t>FTA Obligation</t>
        </is>
      </c>
    </row>
    <row r="79">
      <c r="A79" t="inlineStr">
        <is>
          <t>18-16-0015</t>
        </is>
      </c>
      <c r="B79" t="inlineStr">
        <is>
          <t>Signal System Upgrades</t>
        </is>
      </c>
      <c r="C79" t="inlineStr">
        <is>
          <t>Signal System Upgrades; 5034, 5035, 5056, 5145, 5146, 5147, 5253, 5244, 5255, 5256, 5353, 5354, 5355, 5447; 5551, 5552, 5553, 5560 Signal Standards 5352; Switch Layout Standards 5554, 5560, 5747, 5748, 5749</t>
        </is>
      </c>
      <c r="D79" t="inlineStr">
        <is>
          <t>Guideway Improvements</t>
        </is>
      </c>
      <c r="E79" t="inlineStr">
        <is>
          <t>[U-SIGS] CPS - Signals</t>
        </is>
      </c>
      <c r="F79" t="inlineStr">
        <is>
          <t>Metra</t>
        </is>
      </c>
      <c r="G79" t="inlineStr">
        <is>
          <t>IL-2025-027-01-00</t>
        </is>
      </c>
      <c r="H79" t="inlineStr">
        <is>
          <t>FTA 5337 Good Repair</t>
        </is>
      </c>
      <c r="I79" s="5" t="n">
        <v>2800000</v>
      </c>
      <c r="J79" t="inlineStr">
        <is>
          <t>No</t>
        </is>
      </c>
      <c r="K79" t="inlineStr">
        <is>
          <t>No</t>
        </is>
      </c>
      <c r="L79" t="inlineStr">
        <is>
          <t>No</t>
        </is>
      </c>
      <c r="M79" t="b">
        <v>0</v>
      </c>
      <c r="N79" t="inlineStr">
        <is>
          <t>FFY2025</t>
        </is>
      </c>
      <c r="O79" t="inlineStr">
        <is>
          <t>FTA Obligation</t>
        </is>
      </c>
    </row>
    <row r="80">
      <c r="A80" t="inlineStr">
        <is>
          <t>18-16-0015</t>
        </is>
      </c>
      <c r="B80" t="inlineStr">
        <is>
          <t>Signal System Upgrades</t>
        </is>
      </c>
      <c r="C80" t="inlineStr">
        <is>
          <t>Signal System Upgrades; 5034, 5035, 5056, 5145, 5146, 5147, 5253, 5244, 5255, 5256, 5353, 5354, 5355, 5447; 5551, 5552, 5553, 5560 Signal Standards 5352; Switch Layout Standards 5554, 5560, 5747, 5748, 5749</t>
        </is>
      </c>
      <c r="D80" t="inlineStr">
        <is>
          <t>Guideway Improvements</t>
        </is>
      </c>
      <c r="E80" t="inlineStr">
        <is>
          <t>[U-SIGS] CPS - Signals</t>
        </is>
      </c>
      <c r="F80" t="inlineStr">
        <is>
          <t>Metra</t>
        </is>
      </c>
      <c r="G80" t="inlineStr">
        <is>
          <t>IL-2025-027-01-00</t>
        </is>
      </c>
      <c r="H80" t="inlineStr">
        <is>
          <t>FTA 5337 Good Repair</t>
        </is>
      </c>
      <c r="I80" s="5" t="n">
        <v>1500000</v>
      </c>
      <c r="J80" t="inlineStr">
        <is>
          <t>No</t>
        </is>
      </c>
      <c r="K80" t="inlineStr">
        <is>
          <t>No</t>
        </is>
      </c>
      <c r="L80" t="inlineStr">
        <is>
          <t>No</t>
        </is>
      </c>
      <c r="M80" t="b">
        <v>0</v>
      </c>
      <c r="N80" t="inlineStr">
        <is>
          <t>FFY2025</t>
        </is>
      </c>
      <c r="O80" t="inlineStr">
        <is>
          <t>FTA Obligation</t>
        </is>
      </c>
    </row>
    <row r="81">
      <c r="A81" t="inlineStr">
        <is>
          <t>18-16-0015</t>
        </is>
      </c>
      <c r="B81" t="inlineStr">
        <is>
          <t>Signal System Upgrades</t>
        </is>
      </c>
      <c r="C81" t="inlineStr">
        <is>
          <t>Signal System Upgrades; 5034, 5035, 5056, 5145, 5146, 5147, 5253, 5244, 5255, 5256, 5353, 5354, 5355, 5447; 5551, 5552, 5553, 5560 Signal Standards 5352; Switch Layout Standards 5554, 5560, 5747, 5748, 5749</t>
        </is>
      </c>
      <c r="D81" t="inlineStr">
        <is>
          <t>Guideway Improvements</t>
        </is>
      </c>
      <c r="E81" t="inlineStr">
        <is>
          <t>[U-SIGS] CPS - Signals</t>
        </is>
      </c>
      <c r="F81" t="inlineStr">
        <is>
          <t>Metra</t>
        </is>
      </c>
      <c r="G81" t="inlineStr">
        <is>
          <t>IL-2025-027-01-00</t>
        </is>
      </c>
      <c r="H81" t="inlineStr">
        <is>
          <t>FTA 5337 Good Repair</t>
        </is>
      </c>
      <c r="I81" s="5" t="n">
        <v>1500000</v>
      </c>
      <c r="J81" t="inlineStr">
        <is>
          <t>No</t>
        </is>
      </c>
      <c r="K81" t="inlineStr">
        <is>
          <t>No</t>
        </is>
      </c>
      <c r="L81" t="inlineStr">
        <is>
          <t>No</t>
        </is>
      </c>
      <c r="M81" t="b">
        <v>0</v>
      </c>
      <c r="N81" t="inlineStr">
        <is>
          <t>FFY2025</t>
        </is>
      </c>
      <c r="O81" t="inlineStr">
        <is>
          <t>FTA Obligation</t>
        </is>
      </c>
    </row>
    <row r="82">
      <c r="A82" t="inlineStr">
        <is>
          <t>18-16-0015</t>
        </is>
      </c>
      <c r="B82" t="inlineStr">
        <is>
          <t>Signal System Upgrades</t>
        </is>
      </c>
      <c r="C82" t="inlineStr">
        <is>
          <t>Signal System Upgrades; 5034, 5035, 5056, 5145, 5146, 5147, 5253, 5244, 5255, 5256, 5353, 5354, 5355, 5447; 5551, 5552, 5553, 5560 Signal Standards 5352; Switch Layout Standards 5554, 5560, 5747, 5748, 5749</t>
        </is>
      </c>
      <c r="D82" t="inlineStr">
        <is>
          <t>Guideway Improvements</t>
        </is>
      </c>
      <c r="E82" t="inlineStr">
        <is>
          <t>[U-SIGS] CPS - Signals</t>
        </is>
      </c>
      <c r="F82" t="inlineStr">
        <is>
          <t>Metra</t>
        </is>
      </c>
      <c r="G82" t="inlineStr">
        <is>
          <t>IL-2025-027-01-00</t>
        </is>
      </c>
      <c r="H82" t="inlineStr">
        <is>
          <t>FTA 5337 Good Repair</t>
        </is>
      </c>
      <c r="I82" s="5" t="n">
        <v>1500000</v>
      </c>
      <c r="J82" t="inlineStr">
        <is>
          <t>No</t>
        </is>
      </c>
      <c r="K82" t="inlineStr">
        <is>
          <t>No</t>
        </is>
      </c>
      <c r="L82" t="inlineStr">
        <is>
          <t>No</t>
        </is>
      </c>
      <c r="M82" t="b">
        <v>0</v>
      </c>
      <c r="N82" t="inlineStr">
        <is>
          <t>FFY2025</t>
        </is>
      </c>
      <c r="O82" t="inlineStr">
        <is>
          <t>FTA Obligation</t>
        </is>
      </c>
    </row>
    <row r="83">
      <c r="A83" t="inlineStr">
        <is>
          <t>18-16-0015</t>
        </is>
      </c>
      <c r="B83" t="inlineStr">
        <is>
          <t>Signal System Upgrades</t>
        </is>
      </c>
      <c r="C83" t="inlineStr">
        <is>
          <t>Signal System Upgrades; 5034, 5035, 5056, 5145, 5146, 5147, 5253, 5244, 5255, 5256, 5353, 5354, 5355, 5447; 5551, 5552, 5553, 5560 Signal Standards 5352; Switch Layout Standards 5554, 5560, 5747, 5748, 5749</t>
        </is>
      </c>
      <c r="D83" t="inlineStr">
        <is>
          <t>Guideway Improvements</t>
        </is>
      </c>
      <c r="E83" t="inlineStr">
        <is>
          <t>[U-SIGS] CPS - Signals</t>
        </is>
      </c>
      <c r="F83" t="inlineStr">
        <is>
          <t>Metra</t>
        </is>
      </c>
      <c r="G83" t="inlineStr">
        <is>
          <t>IL-2025-027-01-00</t>
        </is>
      </c>
      <c r="H83" t="inlineStr">
        <is>
          <t>FTA 5337 Good Repair</t>
        </is>
      </c>
      <c r="I83" s="5" t="n">
        <v>910000</v>
      </c>
      <c r="J83" t="inlineStr">
        <is>
          <t>No</t>
        </is>
      </c>
      <c r="K83" t="inlineStr">
        <is>
          <t>No</t>
        </is>
      </c>
      <c r="L83" t="inlineStr">
        <is>
          <t>No</t>
        </is>
      </c>
      <c r="M83" t="b">
        <v>0</v>
      </c>
      <c r="N83" t="inlineStr">
        <is>
          <t>FFY2025</t>
        </is>
      </c>
      <c r="O83" t="inlineStr">
        <is>
          <t>FTA Obligation</t>
        </is>
      </c>
    </row>
    <row r="84">
      <c r="A84" t="inlineStr">
        <is>
          <t>18-16-0015</t>
        </is>
      </c>
      <c r="B84" t="inlineStr">
        <is>
          <t>Signal System Upgrades</t>
        </is>
      </c>
      <c r="C84" t="inlineStr">
        <is>
          <t>Signal System Upgrades; 5034, 5035, 5056, 5145, 5146, 5147, 5253, 5244, 5255, 5256, 5353, 5354, 5355, 5447; 5551, 5552, 5553, 5560 Signal Standards 5352; Switch Layout Standards 5554, 5560, 5747, 5748, 5749</t>
        </is>
      </c>
      <c r="D84" t="inlineStr">
        <is>
          <t>Guideway Improvements</t>
        </is>
      </c>
      <c r="E84" t="inlineStr">
        <is>
          <t>[U-SIGS] CPS - Signals</t>
        </is>
      </c>
      <c r="F84" t="inlineStr">
        <is>
          <t>Metra</t>
        </is>
      </c>
      <c r="G84" t="inlineStr">
        <is>
          <t>IL-2025-027-01-00</t>
        </is>
      </c>
      <c r="H84" t="inlineStr">
        <is>
          <t>FTA 5337 Good Repair</t>
        </is>
      </c>
      <c r="I84" s="5" t="n">
        <v>2500000</v>
      </c>
      <c r="J84" t="inlineStr">
        <is>
          <t>No</t>
        </is>
      </c>
      <c r="K84" t="inlineStr">
        <is>
          <t>No</t>
        </is>
      </c>
      <c r="L84" t="inlineStr">
        <is>
          <t>No</t>
        </is>
      </c>
      <c r="M84" t="b">
        <v>0</v>
      </c>
      <c r="N84" t="inlineStr">
        <is>
          <t>FFY2025</t>
        </is>
      </c>
      <c r="O84" t="inlineStr">
        <is>
          <t>FTA Obligation</t>
        </is>
      </c>
    </row>
    <row r="85">
      <c r="A85" t="inlineStr">
        <is>
          <t>18-16-0017</t>
        </is>
      </c>
      <c r="B85" t="inlineStr">
        <is>
          <t>Impedance Bonds, Stray Current Protection</t>
        </is>
      </c>
      <c r="C85" t="inlineStr">
        <is>
          <t>4746 Impedance Bonds, 4742 Stray Current Protection</t>
        </is>
      </c>
      <c r="D85" t="inlineStr">
        <is>
          <t>Guideway Improvements</t>
        </is>
      </c>
      <c r="E85" t="inlineStr">
        <is>
          <t>[R-MAINT] Rail Line - Maintain, Rehabilitate, Replace</t>
        </is>
      </c>
      <c r="F85" t="inlineStr">
        <is>
          <t>Metra</t>
        </is>
      </c>
      <c r="G85" t="inlineStr">
        <is>
          <t>IL-2025-027-01-00</t>
        </is>
      </c>
      <c r="H85" t="inlineStr">
        <is>
          <t>FTA 5337 Good Repair</t>
        </is>
      </c>
      <c r="I85" s="5" t="n">
        <v>960000</v>
      </c>
      <c r="J85" t="inlineStr">
        <is>
          <t>No</t>
        </is>
      </c>
      <c r="K85" t="inlineStr">
        <is>
          <t>No</t>
        </is>
      </c>
      <c r="L85" t="inlineStr">
        <is>
          <t>No</t>
        </is>
      </c>
      <c r="M85" t="b">
        <v>0</v>
      </c>
      <c r="N85" t="inlineStr">
        <is>
          <t>FFY2025</t>
        </is>
      </c>
      <c r="O85" t="inlineStr">
        <is>
          <t>FTA Obligation</t>
        </is>
      </c>
    </row>
    <row r="86">
      <c r="A86" t="inlineStr">
        <is>
          <t>18-16-0018</t>
        </is>
      </c>
      <c r="B86" t="inlineStr">
        <is>
          <t>Yard Improvements</t>
        </is>
      </c>
      <c r="C86" t="inlineStr">
        <is>
          <t>Systemwide Yard Improvements</t>
        </is>
      </c>
      <c r="D86" t="inlineStr">
        <is>
          <t>Transit Support Facilities</t>
        </is>
      </c>
      <c r="E86" t="inlineStr">
        <is>
          <t>[F-YRDS] Facility - Towers And Yards</t>
        </is>
      </c>
      <c r="F86" t="inlineStr">
        <is>
          <t>Metra</t>
        </is>
      </c>
      <c r="G86" t="inlineStr">
        <is>
          <t>IL-2025-027-01-00</t>
        </is>
      </c>
      <c r="H86" t="inlineStr">
        <is>
          <t>FTA 5337 Good Repair</t>
        </is>
      </c>
      <c r="I86" s="5" t="n">
        <v>400000</v>
      </c>
      <c r="J86" t="inlineStr">
        <is>
          <t>No</t>
        </is>
      </c>
      <c r="K86" t="inlineStr">
        <is>
          <t>No</t>
        </is>
      </c>
      <c r="L86" t="inlineStr">
        <is>
          <t>No</t>
        </is>
      </c>
      <c r="M86" t="b">
        <v>0</v>
      </c>
      <c r="N86" t="inlineStr">
        <is>
          <t>FFY2025</t>
        </is>
      </c>
      <c r="O86" t="inlineStr">
        <is>
          <t>FTA Obligation</t>
        </is>
      </c>
    </row>
    <row r="87">
      <c r="A87" t="inlineStr">
        <is>
          <t>18-16-0018</t>
        </is>
      </c>
      <c r="B87" t="inlineStr">
        <is>
          <t>Yard Improvements</t>
        </is>
      </c>
      <c r="C87" t="inlineStr">
        <is>
          <t>Systemwide Yard Improvements</t>
        </is>
      </c>
      <c r="D87" t="inlineStr">
        <is>
          <t>Transit Support Facilities</t>
        </is>
      </c>
      <c r="E87" t="inlineStr">
        <is>
          <t>[F-YRDS] Facility - Towers And Yards</t>
        </is>
      </c>
      <c r="F87" t="inlineStr">
        <is>
          <t>Metra</t>
        </is>
      </c>
      <c r="G87" t="inlineStr">
        <is>
          <t>IL-2025-027-02-00</t>
        </is>
      </c>
      <c r="H87" t="inlineStr">
        <is>
          <t>FTA 5307 Urban Formula</t>
        </is>
      </c>
      <c r="I87" s="5" t="n">
        <v>150000</v>
      </c>
      <c r="J87" t="inlineStr">
        <is>
          <t>No</t>
        </is>
      </c>
      <c r="K87" t="inlineStr">
        <is>
          <t>No</t>
        </is>
      </c>
      <c r="L87" t="inlineStr">
        <is>
          <t>No</t>
        </is>
      </c>
      <c r="M87" t="b">
        <v>0</v>
      </c>
      <c r="N87" t="inlineStr">
        <is>
          <t>FFY2025</t>
        </is>
      </c>
      <c r="O87" t="inlineStr">
        <is>
          <t>FTA Obligation</t>
        </is>
      </c>
    </row>
    <row r="88">
      <c r="A88" t="inlineStr">
        <is>
          <t>18-16-0019</t>
        </is>
      </c>
      <c r="B88" t="inlineStr">
        <is>
          <t>Right of Way Equipment, Equipment and Vehicle-Mech, Police Vehicles</t>
        </is>
      </c>
      <c r="C88" t="inlineStr">
        <is>
          <t>5065 Right of Way Equipment, 5068 Equipment and Vehicle-Mech, 5070 Police Vehicles; 5161 ROW Equipment, 5162 Equipment and Vehicles- Mech, 5163 Police Vehicles, 5268 Police Vehicles, 5269 ROW Equipment, 5271 Equip &amp; Vehicle-Mech, 5772 Right of Way Equipment, 5773 Vehicles and Equipment</t>
        </is>
      </c>
      <c r="D88" t="inlineStr">
        <is>
          <t>Transit Equipment &amp; Furnishings</t>
        </is>
      </c>
      <c r="E88" t="inlineStr">
        <is>
          <t>[F-SHOP] Facility - Shop Facilities/Equipment, [R-MAINT] Rail Line - Maintain, Rehabilitate, Replace</t>
        </is>
      </c>
      <c r="F88" t="inlineStr">
        <is>
          <t>Metra</t>
        </is>
      </c>
      <c r="G88" t="inlineStr">
        <is>
          <t>IL-2025-027-01-00</t>
        </is>
      </c>
      <c r="H88" t="inlineStr">
        <is>
          <t>FTA 5337 Good Repair</t>
        </is>
      </c>
      <c r="I88" s="5" t="n">
        <v>3500000</v>
      </c>
      <c r="J88" t="inlineStr">
        <is>
          <t>No</t>
        </is>
      </c>
      <c r="K88" t="inlineStr">
        <is>
          <t>No</t>
        </is>
      </c>
      <c r="L88" t="inlineStr">
        <is>
          <t>No</t>
        </is>
      </c>
      <c r="M88" t="b">
        <v>0</v>
      </c>
      <c r="N88" t="inlineStr">
        <is>
          <t>FFY2025</t>
        </is>
      </c>
      <c r="O88" t="inlineStr">
        <is>
          <t>FTA Obligation</t>
        </is>
      </c>
    </row>
    <row r="89">
      <c r="A89" t="inlineStr">
        <is>
          <t>18-16-0019</t>
        </is>
      </c>
      <c r="B89" t="inlineStr">
        <is>
          <t>Right of Way Equipment, Equipment and Vehicle-Mech, Police Vehicles</t>
        </is>
      </c>
      <c r="C89" t="inlineStr">
        <is>
          <t>5065 Right of Way Equipment, 5068 Equipment and Vehicle-Mech, 5070 Police Vehicles; 5161 ROW Equipment, 5162 Equipment and Vehicles- Mech, 5163 Police Vehicles, 5268 Police Vehicles, 5269 ROW Equipment, 5271 Equip &amp; Vehicle-Mech, 5772 Right of Way Equipment, 5773 Vehicles and Equipment</t>
        </is>
      </c>
      <c r="D89" t="inlineStr">
        <is>
          <t>Transit Equipment &amp; Furnishings</t>
        </is>
      </c>
      <c r="E89" t="inlineStr">
        <is>
          <t>[F-SHOP] Facility - Shop Facilities/Equipment, [R-MAINT] Rail Line - Maintain, Rehabilitate, Replace</t>
        </is>
      </c>
      <c r="F89" t="inlineStr">
        <is>
          <t>Metra</t>
        </is>
      </c>
      <c r="G89" t="inlineStr">
        <is>
          <t>IL-2025-027-01-00</t>
        </is>
      </c>
      <c r="H89" t="inlineStr">
        <is>
          <t>FTA 5337 Good Repair</t>
        </is>
      </c>
      <c r="I89" s="5" t="n">
        <v>750000</v>
      </c>
      <c r="J89" t="inlineStr">
        <is>
          <t>No</t>
        </is>
      </c>
      <c r="K89" t="inlineStr">
        <is>
          <t>No</t>
        </is>
      </c>
      <c r="L89" t="inlineStr">
        <is>
          <t>No</t>
        </is>
      </c>
      <c r="M89" t="b">
        <v>0</v>
      </c>
      <c r="N89" t="inlineStr">
        <is>
          <t>FFY2025</t>
        </is>
      </c>
      <c r="O89" t="inlineStr">
        <is>
          <t>FTA Obligation</t>
        </is>
      </c>
    </row>
    <row r="90">
      <c r="A90" t="inlineStr">
        <is>
          <t>18-16-0019</t>
        </is>
      </c>
      <c r="B90" t="inlineStr">
        <is>
          <t>Right of Way Equipment, Equipment and Vehicle-Mech, Police Vehicles</t>
        </is>
      </c>
      <c r="C90" t="inlineStr">
        <is>
          <t>5065 Right of Way Equipment, 5068 Equipment and Vehicle-Mech, 5070 Police Vehicles; 5161 ROW Equipment, 5162 Equipment and Vehicles- Mech, 5163 Police Vehicles, 5268 Police Vehicles, 5269 ROW Equipment, 5271 Equip &amp; Vehicle-Mech, 5772 Right of Way Equipment, 5773 Vehicles and Equipment</t>
        </is>
      </c>
      <c r="D90" t="inlineStr">
        <is>
          <t>Transit Equipment &amp; Furnishings</t>
        </is>
      </c>
      <c r="E90" t="inlineStr">
        <is>
          <t>[F-SHOP] Facility - Shop Facilities/Equipment, [R-MAINT] Rail Line - Maintain, Rehabilitate, Replace</t>
        </is>
      </c>
      <c r="F90" t="inlineStr">
        <is>
          <t>Metra</t>
        </is>
      </c>
      <c r="G90" t="inlineStr">
        <is>
          <t>IL-2025-027-01-00</t>
        </is>
      </c>
      <c r="H90" t="inlineStr">
        <is>
          <t>FTA 5337 Good Repair</t>
        </is>
      </c>
      <c r="I90" s="5" t="n">
        <v>1890000</v>
      </c>
      <c r="J90" t="inlineStr">
        <is>
          <t>No</t>
        </is>
      </c>
      <c r="K90" t="inlineStr">
        <is>
          <t>No</t>
        </is>
      </c>
      <c r="L90" t="inlineStr">
        <is>
          <t>No</t>
        </is>
      </c>
      <c r="M90" t="b">
        <v>0</v>
      </c>
      <c r="N90" t="inlineStr">
        <is>
          <t>FFY2025</t>
        </is>
      </c>
      <c r="O90" t="inlineStr">
        <is>
          <t>FTA Obligation</t>
        </is>
      </c>
    </row>
    <row r="91">
      <c r="A91" t="inlineStr">
        <is>
          <t>18-16-0020</t>
        </is>
      </c>
      <c r="B91" t="inlineStr">
        <is>
          <t>IT Components and Services</t>
        </is>
      </c>
      <c r="C91" t="inlineStr">
        <is>
          <t>5064, 5165, 5272, 5573; IT Components and Services; 5555 CCF Generation; 5574 Troi Net, 5274, 5671, 5750, 5759, 5774</t>
        </is>
      </c>
      <c r="D91" t="inlineStr">
        <is>
          <t>Transit Equipment &amp; Furnishings</t>
        </is>
      </c>
      <c r="E91" t="inlineStr">
        <is>
          <t>[F-OFC] Facility - Office Facilities/Equipment</t>
        </is>
      </c>
      <c r="F91" t="inlineStr">
        <is>
          <t>Metra</t>
        </is>
      </c>
      <c r="G91" t="inlineStr">
        <is>
          <t>IL-2025-027-02-00</t>
        </is>
      </c>
      <c r="H91" t="inlineStr">
        <is>
          <t>FTA 5307 Urban Formula</t>
        </is>
      </c>
      <c r="I91" s="5" t="n">
        <v>400000</v>
      </c>
      <c r="J91" t="inlineStr">
        <is>
          <t>No</t>
        </is>
      </c>
      <c r="K91" t="inlineStr">
        <is>
          <t>No</t>
        </is>
      </c>
      <c r="L91" t="inlineStr">
        <is>
          <t>No</t>
        </is>
      </c>
      <c r="M91" t="b">
        <v>0</v>
      </c>
      <c r="N91" t="inlineStr">
        <is>
          <t>FFY2025</t>
        </is>
      </c>
      <c r="O91" t="inlineStr">
        <is>
          <t>FTA Obligation</t>
        </is>
      </c>
    </row>
    <row r="92">
      <c r="A92" t="inlineStr">
        <is>
          <t>18-16-0020</t>
        </is>
      </c>
      <c r="B92" t="inlineStr">
        <is>
          <t>IT Components and Services</t>
        </is>
      </c>
      <c r="C92" t="inlineStr">
        <is>
          <t>5064, 5165, 5272, 5573; IT Components and Services; 5555 CCF Generation; 5574 Troi Net, 5274, 5671, 5750, 5759, 5774</t>
        </is>
      </c>
      <c r="D92" t="inlineStr">
        <is>
          <t>Transit Equipment &amp; Furnishings</t>
        </is>
      </c>
      <c r="E92" t="inlineStr">
        <is>
          <t>[F-OFC] Facility - Office Facilities/Equipment</t>
        </is>
      </c>
      <c r="F92" t="inlineStr">
        <is>
          <t>Metra</t>
        </is>
      </c>
      <c r="G92" t="inlineStr">
        <is>
          <t>IL-2025-027-01-00</t>
        </is>
      </c>
      <c r="H92" t="inlineStr">
        <is>
          <t>FTA 5337 Good Repair</t>
        </is>
      </c>
      <c r="I92" s="5" t="n">
        <v>130000</v>
      </c>
      <c r="J92" t="inlineStr">
        <is>
          <t>No</t>
        </is>
      </c>
      <c r="K92" t="inlineStr">
        <is>
          <t>No</t>
        </is>
      </c>
      <c r="L92" t="inlineStr">
        <is>
          <t>No</t>
        </is>
      </c>
      <c r="M92" t="b">
        <v>0</v>
      </c>
      <c r="N92" t="inlineStr">
        <is>
          <t>FFY2025</t>
        </is>
      </c>
      <c r="O92" t="inlineStr">
        <is>
          <t>FTA Obligation</t>
        </is>
      </c>
    </row>
    <row r="93">
      <c r="A93" t="inlineStr">
        <is>
          <t>18-16-0020</t>
        </is>
      </c>
      <c r="B93" t="inlineStr">
        <is>
          <t>IT Components and Services</t>
        </is>
      </c>
      <c r="C93" t="inlineStr">
        <is>
          <t>5064, 5165, 5272, 5573; IT Components and Services; 5555 CCF Generation; 5574 Troi Net, 5274, 5671, 5750, 5759, 5774</t>
        </is>
      </c>
      <c r="D93" t="inlineStr">
        <is>
          <t>Transit Equipment &amp; Furnishings</t>
        </is>
      </c>
      <c r="E93" t="inlineStr">
        <is>
          <t>[F-OFC] Facility - Office Facilities/Equipment</t>
        </is>
      </c>
      <c r="F93" t="inlineStr">
        <is>
          <t>Metra</t>
        </is>
      </c>
      <c r="G93" t="inlineStr">
        <is>
          <t>IL-2025-027-02-00</t>
        </is>
      </c>
      <c r="H93" t="inlineStr">
        <is>
          <t>FTA 5307 Urban Formula</t>
        </is>
      </c>
      <c r="I93" s="5" t="n">
        <v>600000</v>
      </c>
      <c r="J93" t="inlineStr">
        <is>
          <t>No</t>
        </is>
      </c>
      <c r="K93" t="inlineStr">
        <is>
          <t>No</t>
        </is>
      </c>
      <c r="L93" t="inlineStr">
        <is>
          <t>No</t>
        </is>
      </c>
      <c r="M93" t="b">
        <v>0</v>
      </c>
      <c r="N93" t="inlineStr">
        <is>
          <t>FFY2025</t>
        </is>
      </c>
      <c r="O93" t="inlineStr">
        <is>
          <t>FTA Obligation</t>
        </is>
      </c>
    </row>
    <row r="94">
      <c r="A94" t="inlineStr">
        <is>
          <t>18-16-0022</t>
        </is>
      </c>
      <c r="B94" t="inlineStr">
        <is>
          <t>Office Equipment</t>
        </is>
      </c>
      <c r="C94" t="inlineStr">
        <is>
          <t>5066 Office Equipment; 5164 Office Equipment, 5270 Office Equipment, 5572 Office Equipment, 5775, 5870</t>
        </is>
      </c>
      <c r="D94" t="inlineStr">
        <is>
          <t>Transit Support Facilities</t>
        </is>
      </c>
      <c r="E94" t="inlineStr">
        <is>
          <t>[F-OFC] Facility - Office Facilities/Equipment</t>
        </is>
      </c>
      <c r="F94" t="inlineStr">
        <is>
          <t>Metra</t>
        </is>
      </c>
      <c r="G94" t="inlineStr">
        <is>
          <t>IL-2025-027-02-00</t>
        </is>
      </c>
      <c r="H94" t="inlineStr">
        <is>
          <t>FTA 5307 Urban Formula</t>
        </is>
      </c>
      <c r="I94" s="5" t="n">
        <v>250000</v>
      </c>
      <c r="J94" t="inlineStr">
        <is>
          <t>No</t>
        </is>
      </c>
      <c r="K94" t="inlineStr">
        <is>
          <t>No</t>
        </is>
      </c>
      <c r="L94" t="inlineStr">
        <is>
          <t>No</t>
        </is>
      </c>
      <c r="M94" t="b">
        <v>0</v>
      </c>
      <c r="N94" t="inlineStr">
        <is>
          <t>FFY2025</t>
        </is>
      </c>
      <c r="O94" t="inlineStr">
        <is>
          <t>FTA Obligation</t>
        </is>
      </c>
    </row>
    <row r="95">
      <c r="A95" t="inlineStr">
        <is>
          <t>18-16-0023</t>
        </is>
      </c>
      <c r="B95" t="inlineStr">
        <is>
          <t>Station Improvements - Systemwide</t>
        </is>
      </c>
      <c r="C95" t="inlineStr">
        <is>
          <t>Station Improvements throughout the system (Van Buren St, West Chicago, Westmont, Millennium, River Forest, Roger Park, Round Lake, Congress, Western Ave, University Park, Kenilworth, LaGrange, West Hinsdale, 95th, Homewood, Kedzie, Olympia Fields, 79th St, 115th St, Elmhurst). RTA Schedule IIB doc. ID's: 4479, 4878, 4981, 5041, 5042, 5043, 5044, 5054, 5057, 5058, 5059, 5067, 5075, 5077, 5078, 5079, 5084, 5085, 5086, 5087; 5175, 5177, 5179; 5176, 5184, 5280, 5281, 5282, 5283, 5678, 5679, 5675</t>
        </is>
      </c>
      <c r="D95" t="inlineStr">
        <is>
          <t>Transit Station/Stop Improvements</t>
        </is>
      </c>
      <c r="E95" t="inlineStr">
        <is>
          <t>[P-MAINT] Parking - Maintain, Rehabilitate, Replace Commuter Parking</t>
        </is>
      </c>
      <c r="F95" t="inlineStr">
        <is>
          <t>Metra</t>
        </is>
      </c>
      <c r="G95" t="inlineStr">
        <is>
          <t>IL-2025-027-01-00</t>
        </is>
      </c>
      <c r="H95" t="inlineStr">
        <is>
          <t>FTA 5337 Good Repair</t>
        </is>
      </c>
      <c r="I95" s="5" t="n">
        <v>720000</v>
      </c>
      <c r="J95" t="inlineStr">
        <is>
          <t>No</t>
        </is>
      </c>
      <c r="K95" t="inlineStr">
        <is>
          <t>No</t>
        </is>
      </c>
      <c r="L95" t="inlineStr">
        <is>
          <t>No</t>
        </is>
      </c>
      <c r="M95" t="b">
        <v>0</v>
      </c>
      <c r="N95" t="inlineStr">
        <is>
          <t>FFY2025</t>
        </is>
      </c>
      <c r="O95" t="inlineStr">
        <is>
          <t>FTA Obligation</t>
        </is>
      </c>
    </row>
    <row r="96">
      <c r="A96" t="inlineStr">
        <is>
          <t>18-16-0023</t>
        </is>
      </c>
      <c r="B96" t="inlineStr">
        <is>
          <t>Station Improvements - Systemwide</t>
        </is>
      </c>
      <c r="C96" t="inlineStr">
        <is>
          <t>Station Improvements throughout the system (Van Buren St, West Chicago, Westmont, Millennium, River Forest, Roger Park, Round Lake, Congress, Western Ave, University Park, Kenilworth, LaGrange, West Hinsdale, 95th, Homewood, Kedzie, Olympia Fields, 79th St, 115th St, Elmhurst). RTA Schedule IIB doc. ID's: 4479, 4878, 4981, 5041, 5042, 5043, 5044, 5054, 5057, 5058, 5059, 5067, 5075, 5077, 5078, 5079, 5084, 5085, 5086, 5087; 5175, 5177, 5179; 5176, 5184, 5280, 5281, 5282, 5283, 5678, 5679, 5675</t>
        </is>
      </c>
      <c r="D96" t="inlineStr">
        <is>
          <t>Transit Station/Stop Improvements</t>
        </is>
      </c>
      <c r="E96" t="inlineStr">
        <is>
          <t>[P-MAINT] Parking - Maintain, Rehabilitate, Replace Commuter Parking</t>
        </is>
      </c>
      <c r="F96" t="inlineStr">
        <is>
          <t>Metra</t>
        </is>
      </c>
      <c r="G96" t="inlineStr">
        <is>
          <t>IL-2025-027-01-00</t>
        </is>
      </c>
      <c r="H96" t="inlineStr">
        <is>
          <t>FTA 5337 Good Repair</t>
        </is>
      </c>
      <c r="I96" s="5" t="n">
        <v>1000000</v>
      </c>
      <c r="J96" t="inlineStr">
        <is>
          <t>No</t>
        </is>
      </c>
      <c r="K96" t="inlineStr">
        <is>
          <t>No</t>
        </is>
      </c>
      <c r="L96" t="inlineStr">
        <is>
          <t>No</t>
        </is>
      </c>
      <c r="M96" t="b">
        <v>0</v>
      </c>
      <c r="N96" t="inlineStr">
        <is>
          <t>FFY2025</t>
        </is>
      </c>
      <c r="O96" t="inlineStr">
        <is>
          <t>FTA Obligation</t>
        </is>
      </c>
    </row>
    <row r="97">
      <c r="A97" t="inlineStr">
        <is>
          <t>18-16-0023</t>
        </is>
      </c>
      <c r="B97" t="inlineStr">
        <is>
          <t>Station Improvements - Systemwide</t>
        </is>
      </c>
      <c r="C97" t="inlineStr">
        <is>
          <t>Station Improvements throughout the system (Van Buren St, West Chicago, Westmont, Millennium, River Forest, Roger Park, Round Lake, Congress, Western Ave, University Park, Kenilworth, LaGrange, West Hinsdale, 95th, Homewood, Kedzie, Olympia Fields, 79th St, 115th St, Elmhurst). RTA Schedule IIB doc. ID's: 4479, 4878, 4981, 5041, 5042, 5043, 5044, 5054, 5057, 5058, 5059, 5067, 5075, 5077, 5078, 5079, 5084, 5085, 5086, 5087; 5175, 5177, 5179; 5176, 5184, 5280, 5281, 5282, 5283, 5678, 5679, 5675</t>
        </is>
      </c>
      <c r="D97" t="inlineStr">
        <is>
          <t>Transit Station/Stop Improvements</t>
        </is>
      </c>
      <c r="E97" t="inlineStr">
        <is>
          <t>[P-MAINT] Parking - Maintain, Rehabilitate, Replace Commuter Parking</t>
        </is>
      </c>
      <c r="F97" t="inlineStr">
        <is>
          <t>Metra</t>
        </is>
      </c>
      <c r="G97" t="inlineStr">
        <is>
          <t>IL-2025-027-01-00</t>
        </is>
      </c>
      <c r="H97" t="inlineStr">
        <is>
          <t>FTA 5337 Good Repair</t>
        </is>
      </c>
      <c r="I97" s="5" t="n">
        <v>500000</v>
      </c>
      <c r="J97" t="inlineStr">
        <is>
          <t>No</t>
        </is>
      </c>
      <c r="K97" t="inlineStr">
        <is>
          <t>No</t>
        </is>
      </c>
      <c r="L97" t="inlineStr">
        <is>
          <t>No</t>
        </is>
      </c>
      <c r="M97" t="b">
        <v>0</v>
      </c>
      <c r="N97" t="inlineStr">
        <is>
          <t>FFY2025</t>
        </is>
      </c>
      <c r="O97" t="inlineStr">
        <is>
          <t>FTA Obligation</t>
        </is>
      </c>
    </row>
    <row r="98">
      <c r="A98" t="inlineStr">
        <is>
          <t>18-16-0023</t>
        </is>
      </c>
      <c r="B98" t="inlineStr">
        <is>
          <t>Station Improvements - Systemwide</t>
        </is>
      </c>
      <c r="C98" t="inlineStr">
        <is>
          <t>Station Improvements throughout the system (Van Buren St, West Chicago, Westmont, Millennium, River Forest, Roger Park, Round Lake, Congress, Western Ave, University Park, Kenilworth, LaGrange, West Hinsdale, 95th, Homewood, Kedzie, Olympia Fields, 79th St, 115th St, Elmhurst). RTA Schedule IIB doc. ID's: 4479, 4878, 4981, 5041, 5042, 5043, 5044, 5054, 5057, 5058, 5059, 5067, 5075, 5077, 5078, 5079, 5084, 5085, 5086, 5087; 5175, 5177, 5179; 5176, 5184, 5280, 5281, 5282, 5283, 5678, 5679, 5675</t>
        </is>
      </c>
      <c r="D98" t="inlineStr">
        <is>
          <t>Transit Station/Stop Improvements</t>
        </is>
      </c>
      <c r="E98" t="inlineStr">
        <is>
          <t>[P-MAINT] Parking - Maintain, Rehabilitate, Replace Commuter Parking</t>
        </is>
      </c>
      <c r="F98" t="inlineStr">
        <is>
          <t>Metra</t>
        </is>
      </c>
      <c r="G98" t="inlineStr">
        <is>
          <t>IL-2025-027-01-00</t>
        </is>
      </c>
      <c r="H98" t="inlineStr">
        <is>
          <t>FTA 5337 Good Repair</t>
        </is>
      </c>
      <c r="I98" s="5" t="n">
        <v>1000000</v>
      </c>
      <c r="J98" t="inlineStr">
        <is>
          <t>No</t>
        </is>
      </c>
      <c r="K98" t="inlineStr">
        <is>
          <t>No</t>
        </is>
      </c>
      <c r="L98" t="inlineStr">
        <is>
          <t>No</t>
        </is>
      </c>
      <c r="M98" t="b">
        <v>0</v>
      </c>
      <c r="N98" t="inlineStr">
        <is>
          <t>FFY2025</t>
        </is>
      </c>
      <c r="O98" t="inlineStr">
        <is>
          <t>FTA Obligation</t>
        </is>
      </c>
    </row>
    <row r="99">
      <c r="A99" t="inlineStr">
        <is>
          <t>18-16-0023</t>
        </is>
      </c>
      <c r="B99" t="inlineStr">
        <is>
          <t>Station Improvements - Systemwide</t>
        </is>
      </c>
      <c r="C99" t="inlineStr">
        <is>
          <t>Station Improvements throughout the system (Van Buren St, West Chicago, Westmont, Millennium, River Forest, Roger Park, Round Lake, Congress, Western Ave, University Park, Kenilworth, LaGrange, West Hinsdale, 95th, Homewood, Kedzie, Olympia Fields, 79th St, 115th St, Elmhurst). RTA Schedule IIB doc. ID's: 4479, 4878, 4981, 5041, 5042, 5043, 5044, 5054, 5057, 5058, 5059, 5067, 5075, 5077, 5078, 5079, 5084, 5085, 5086, 5087; 5175, 5177, 5179; 5176, 5184, 5280, 5281, 5282, 5283, 5678, 5679, 5675</t>
        </is>
      </c>
      <c r="D99" t="inlineStr">
        <is>
          <t>Transit Station/Stop Improvements</t>
        </is>
      </c>
      <c r="E99" t="inlineStr">
        <is>
          <t>[P-MAINT] Parking - Maintain, Rehabilitate, Replace Commuter Parking</t>
        </is>
      </c>
      <c r="F99" t="inlineStr">
        <is>
          <t>Metra</t>
        </is>
      </c>
      <c r="G99" t="inlineStr">
        <is>
          <t>IL-2025-027-01-00</t>
        </is>
      </c>
      <c r="H99" t="inlineStr">
        <is>
          <t>FTA 5337 Good Repair</t>
        </is>
      </c>
      <c r="I99" s="5" t="n">
        <v>1785000</v>
      </c>
      <c r="J99" t="inlineStr">
        <is>
          <t>No</t>
        </is>
      </c>
      <c r="K99" t="inlineStr">
        <is>
          <t>No</t>
        </is>
      </c>
      <c r="L99" t="inlineStr">
        <is>
          <t>No</t>
        </is>
      </c>
      <c r="M99" t="b">
        <v>0</v>
      </c>
      <c r="N99" t="inlineStr">
        <is>
          <t>FFY2025</t>
        </is>
      </c>
      <c r="O99" t="inlineStr">
        <is>
          <t>FTA Obligation</t>
        </is>
      </c>
    </row>
    <row r="100">
      <c r="A100" t="inlineStr">
        <is>
          <t>18-16-0026</t>
        </is>
      </c>
      <c r="B100" t="inlineStr">
        <is>
          <t>Infrastructure Engineering and other Engineering Studies</t>
        </is>
      </c>
      <c r="C100" t="inlineStr">
        <is>
          <t>Infrastructure Engineering: 5063, 5089, 5090, 5093, 5094; 5189, 5190, 5191, 5192, 5193, 5194, 5290, 5291, 5292, 5293, 5294, 5295, 5490, 5491, 5492, 5493, 5494, 5495, 5694, 5794; Constant Tension Catenary Study 5556; O'Hare NCS Station Concept Study</t>
        </is>
      </c>
      <c r="D100" t="inlineStr">
        <is>
          <t>Transit Station/Stop Improvements</t>
        </is>
      </c>
      <c r="E100" t="inlineStr">
        <is>
          <t>[R-MAINT] Rail Line - Maintain, Rehabilitate, Replace</t>
        </is>
      </c>
      <c r="F100" t="inlineStr">
        <is>
          <t>Metra</t>
        </is>
      </c>
      <c r="G100" t="inlineStr">
        <is>
          <t>IL-2025-027-01-00</t>
        </is>
      </c>
      <c r="H100" t="inlineStr">
        <is>
          <t>FTA 5337 Good Repair</t>
        </is>
      </c>
      <c r="I100" s="5" t="n">
        <v>4800000</v>
      </c>
      <c r="J100" t="inlineStr">
        <is>
          <t>No</t>
        </is>
      </c>
      <c r="K100" t="inlineStr">
        <is>
          <t>No</t>
        </is>
      </c>
      <c r="L100" t="inlineStr">
        <is>
          <t>No</t>
        </is>
      </c>
      <c r="M100" t="b">
        <v>0</v>
      </c>
      <c r="N100" t="inlineStr">
        <is>
          <t>FFY2025</t>
        </is>
      </c>
      <c r="O100" t="inlineStr">
        <is>
          <t>FTA Obligation</t>
        </is>
      </c>
    </row>
    <row r="101">
      <c r="A101" t="inlineStr">
        <is>
          <t>18-16-0026</t>
        </is>
      </c>
      <c r="B101" t="inlineStr">
        <is>
          <t>Infrastructure Engineering and other Engineering Studies</t>
        </is>
      </c>
      <c r="C101" t="inlineStr">
        <is>
          <t>Infrastructure Engineering: 5063, 5089, 5090, 5093, 5094; 5189, 5190, 5191, 5192, 5193, 5194, 5290, 5291, 5292, 5293, 5294, 5295, 5490, 5491, 5492, 5493, 5494, 5495, 5694, 5794; Constant Tension Catenary Study 5556; O'Hare NCS Station Concept Study</t>
        </is>
      </c>
      <c r="D101" t="inlineStr">
        <is>
          <t>Transit Station/Stop Improvements</t>
        </is>
      </c>
      <c r="E101" t="inlineStr">
        <is>
          <t>[R-MAINT] Rail Line - Maintain, Rehabilitate, Replace</t>
        </is>
      </c>
      <c r="F101" t="inlineStr">
        <is>
          <t>Metra</t>
        </is>
      </c>
      <c r="G101" t="inlineStr">
        <is>
          <t>IL-2025-027-02-00</t>
        </is>
      </c>
      <c r="H101" t="inlineStr">
        <is>
          <t>FTA 5307 Urban Formula</t>
        </is>
      </c>
      <c r="I101" s="5" t="n">
        <v>200000</v>
      </c>
      <c r="J101" t="inlineStr">
        <is>
          <t>No</t>
        </is>
      </c>
      <c r="K101" t="inlineStr">
        <is>
          <t>No</t>
        </is>
      </c>
      <c r="L101" t="inlineStr">
        <is>
          <t>No</t>
        </is>
      </c>
      <c r="M101" t="b">
        <v>0</v>
      </c>
      <c r="N101" t="inlineStr">
        <is>
          <t>FFY2025</t>
        </is>
      </c>
      <c r="O101" t="inlineStr">
        <is>
          <t>FTA Obligation</t>
        </is>
      </c>
    </row>
    <row r="102">
      <c r="A102" t="inlineStr">
        <is>
          <t>18-16-0027</t>
        </is>
      </c>
      <c r="B102" t="inlineStr">
        <is>
          <t>Project Administration and Contingencies</t>
        </is>
      </c>
      <c r="C102" t="inlineStr">
        <is>
          <t>5098 Project Administration, 5099 Contingencies; 5198 Project Administration, 5199 Contingencies, 5298 Project Administration, 5299 Contingencies, 5398, 5399, 5799, Project Administration 5498, 5798, Contingencies 5499</t>
        </is>
      </c>
      <c r="D102" t="inlineStr">
        <is>
          <t>Transit Station/Stop Improvements</t>
        </is>
      </c>
      <c r="E102" t="inlineStr">
        <is>
          <t>[Z-OTHEX] Miscellaneous - Exempt Projects</t>
        </is>
      </c>
      <c r="F102" t="inlineStr">
        <is>
          <t>Metra</t>
        </is>
      </c>
      <c r="G102" t="inlineStr">
        <is>
          <t>IL-2025-027-01-00</t>
        </is>
      </c>
      <c r="H102" t="inlineStr">
        <is>
          <t>FTA 5337 Good Repair</t>
        </is>
      </c>
      <c r="I102" s="5" t="n">
        <v>1000000</v>
      </c>
      <c r="J102" t="inlineStr">
        <is>
          <t>No</t>
        </is>
      </c>
      <c r="K102" t="inlineStr">
        <is>
          <t>No</t>
        </is>
      </c>
      <c r="L102" t="inlineStr">
        <is>
          <t>No</t>
        </is>
      </c>
      <c r="M102" t="b">
        <v>0</v>
      </c>
      <c r="N102" t="inlineStr">
        <is>
          <t>FFY2025</t>
        </is>
      </c>
      <c r="O102" t="inlineStr">
        <is>
          <t>FTA Obligation</t>
        </is>
      </c>
    </row>
    <row r="103">
      <c r="A103" t="inlineStr">
        <is>
          <t>18-16-0027</t>
        </is>
      </c>
      <c r="B103" t="inlineStr">
        <is>
          <t>Project Administration and Contingencies</t>
        </is>
      </c>
      <c r="C103" t="inlineStr">
        <is>
          <t>5098 Project Administration, 5099 Contingencies; 5198 Project Administration, 5199 Contingencies, 5298 Project Administration, 5299 Contingencies, 5398, 5399, 5799, Project Administration 5498, 5798, Contingencies 5499</t>
        </is>
      </c>
      <c r="D103" t="inlineStr">
        <is>
          <t>Transit Station/Stop Improvements</t>
        </is>
      </c>
      <c r="E103" t="inlineStr">
        <is>
          <t>[Z-OTHEX] Miscellaneous - Exempt Projects</t>
        </is>
      </c>
      <c r="F103" t="inlineStr">
        <is>
          <t>Metra</t>
        </is>
      </c>
      <c r="G103" t="inlineStr">
        <is>
          <t>IL-2025-027-02-00</t>
        </is>
      </c>
      <c r="H103" t="inlineStr">
        <is>
          <t>FTA 5307 Urban Formula</t>
        </is>
      </c>
      <c r="I103" s="5" t="n">
        <v>200000</v>
      </c>
      <c r="J103" t="inlineStr">
        <is>
          <t>No</t>
        </is>
      </c>
      <c r="K103" t="inlineStr">
        <is>
          <t>No</t>
        </is>
      </c>
      <c r="L103" t="inlineStr">
        <is>
          <t>No</t>
        </is>
      </c>
      <c r="M103" t="b">
        <v>0</v>
      </c>
      <c r="N103" t="inlineStr">
        <is>
          <t>FFY2025</t>
        </is>
      </c>
      <c r="O103" t="inlineStr">
        <is>
          <t>FTA Obligation</t>
        </is>
      </c>
    </row>
    <row r="104">
      <c r="A104" t="inlineStr">
        <is>
          <t>18-16-0027</t>
        </is>
      </c>
      <c r="B104" t="inlineStr">
        <is>
          <t>Project Administration and Contingencies</t>
        </is>
      </c>
      <c r="C104" t="inlineStr">
        <is>
          <t>5098 Project Administration, 5099 Contingencies; 5198 Project Administration, 5199 Contingencies, 5298 Project Administration, 5299 Contingencies, 5398, 5399, 5799, Project Administration 5498, 5798, Contingencies 5499</t>
        </is>
      </c>
      <c r="D104" t="inlineStr">
        <is>
          <t>Transit Station/Stop Improvements</t>
        </is>
      </c>
      <c r="E104" t="inlineStr">
        <is>
          <t>[Z-OTHEX] Miscellaneous - Exempt Projects</t>
        </is>
      </c>
      <c r="F104" t="inlineStr">
        <is>
          <t>Metra</t>
        </is>
      </c>
      <c r="G104" t="inlineStr">
        <is>
          <t>IL-2025-027-01-00</t>
        </is>
      </c>
      <c r="H104" t="inlineStr">
        <is>
          <t>FTA 5337 Good Repair</t>
        </is>
      </c>
      <c r="I104" s="5" t="n">
        <v>3029656</v>
      </c>
      <c r="J104" t="inlineStr">
        <is>
          <t>No</t>
        </is>
      </c>
      <c r="K104" t="inlineStr">
        <is>
          <t>No</t>
        </is>
      </c>
      <c r="L104" t="inlineStr">
        <is>
          <t>No</t>
        </is>
      </c>
      <c r="M104" t="b">
        <v>0</v>
      </c>
      <c r="N104" t="inlineStr">
        <is>
          <t>FFY2025</t>
        </is>
      </c>
      <c r="O104" t="inlineStr">
        <is>
          <t>FTA Obligation</t>
        </is>
      </c>
    </row>
    <row r="105">
      <c r="A105" t="inlineStr">
        <is>
          <t>18-17-0006</t>
        </is>
      </c>
      <c r="B105" t="inlineStr">
        <is>
          <t>Storage Equipment</t>
        </is>
      </c>
      <c r="C105" t="inlineStr">
        <is>
          <t>Storage Equipment for use in store houses - 5169, 5307</t>
        </is>
      </c>
      <c r="D105" t="inlineStr">
        <is>
          <t>Transit Support Facilities</t>
        </is>
      </c>
      <c r="E105" t="inlineStr">
        <is>
          <t>[F-YRDS] Facility - Towers And Yards</t>
        </is>
      </c>
      <c r="F105" t="inlineStr">
        <is>
          <t>Metra</t>
        </is>
      </c>
      <c r="G105" t="inlineStr">
        <is>
          <t>IL-2025-027-01-00</t>
        </is>
      </c>
      <c r="H105" t="inlineStr">
        <is>
          <t>FTA 5337 Good Repair</t>
        </is>
      </c>
      <c r="I105" s="5" t="n">
        <v>460000</v>
      </c>
      <c r="J105" t="inlineStr">
        <is>
          <t>No</t>
        </is>
      </c>
      <c r="K105" t="inlineStr">
        <is>
          <t>No</t>
        </is>
      </c>
      <c r="L105" t="inlineStr">
        <is>
          <t>No</t>
        </is>
      </c>
      <c r="M105" t="b">
        <v>0</v>
      </c>
      <c r="N105" t="inlineStr">
        <is>
          <t>FFY2025</t>
        </is>
      </c>
      <c r="O105" t="inlineStr">
        <is>
          <t>FTA Obligation</t>
        </is>
      </c>
    </row>
    <row r="106">
      <c r="A106" t="inlineStr">
        <is>
          <t>18-17-0008</t>
        </is>
      </c>
      <c r="B106" t="inlineStr">
        <is>
          <t>Undercutting &amp; Surfacing</t>
        </is>
      </c>
      <c r="C106" t="inlineStr">
        <is>
          <t>Undercutting and Surfacing - 5122, 5123, 5124, 5125, 5126, 5222, 5223, 5224, 5225, 5226, 5421, 5422, 5423, 5521, 5522, 5523, 5524, 5621, 5622, 5623, 5624, 5722, 5723, 5724</t>
        </is>
      </c>
      <c r="D106" t="inlineStr">
        <is>
          <t>Guideway Improvements</t>
        </is>
      </c>
      <c r="E106" t="inlineStr">
        <is>
          <t>[R-MAINT] Rail Line - Maintain, Rehabilitate, Replace</t>
        </is>
      </c>
      <c r="F106" t="inlineStr">
        <is>
          <t>Metra</t>
        </is>
      </c>
      <c r="G106" t="inlineStr">
        <is>
          <t>IL-2025-027-01-00</t>
        </is>
      </c>
      <c r="H106" t="inlineStr">
        <is>
          <t>FTA 5337 Good Repair</t>
        </is>
      </c>
      <c r="I106" s="5" t="n">
        <v>2900000</v>
      </c>
      <c r="J106" t="inlineStr">
        <is>
          <t>No</t>
        </is>
      </c>
      <c r="K106" t="inlineStr">
        <is>
          <t>No</t>
        </is>
      </c>
      <c r="L106" t="inlineStr">
        <is>
          <t>No</t>
        </is>
      </c>
      <c r="M106" t="b">
        <v>0</v>
      </c>
      <c r="N106" t="inlineStr">
        <is>
          <t>FFY2025</t>
        </is>
      </c>
      <c r="O106" t="inlineStr">
        <is>
          <t>FTA Obligation</t>
        </is>
      </c>
    </row>
    <row r="107">
      <c r="A107" t="inlineStr">
        <is>
          <t>18-18-0003</t>
        </is>
      </c>
      <c r="B107" t="inlineStr">
        <is>
          <t>Locomotive Rehabilitation (5204, 5205, 5406)</t>
        </is>
      </c>
      <c r="C107" t="inlineStr">
        <is>
          <t>Locomotive Rehabilitation (5204, 5205, 5406)</t>
        </is>
      </c>
      <c r="D107" t="inlineStr">
        <is>
          <t>Transit Vehicles (Bus/Rail)</t>
        </is>
      </c>
      <c r="E107" t="inlineStr">
        <is>
          <t>[J-REHAB] Rolling Stock - Rehabilitate Vehicles</t>
        </is>
      </c>
      <c r="F107" t="inlineStr">
        <is>
          <t>Metra</t>
        </is>
      </c>
      <c r="G107" t="inlineStr">
        <is>
          <t>IL-2025-027-01-00</t>
        </is>
      </c>
      <c r="H107" t="inlineStr">
        <is>
          <t>FTA 5337 Good Repair</t>
        </is>
      </c>
      <c r="I107" s="5" t="n">
        <v>4225000</v>
      </c>
      <c r="J107" t="inlineStr">
        <is>
          <t>No</t>
        </is>
      </c>
      <c r="K107" t="inlineStr">
        <is>
          <t>No</t>
        </is>
      </c>
      <c r="L107" t="inlineStr">
        <is>
          <t>No</t>
        </is>
      </c>
      <c r="M107" t="b">
        <v>0</v>
      </c>
      <c r="N107" t="inlineStr">
        <is>
          <t>FFY2025</t>
        </is>
      </c>
      <c r="O107" t="inlineStr">
        <is>
          <t>FTA Obligation</t>
        </is>
      </c>
    </row>
    <row r="108">
      <c r="A108" t="inlineStr">
        <is>
          <t>18-19-0005</t>
        </is>
      </c>
      <c r="B108" t="inlineStr">
        <is>
          <t>Rectifier Replacement, Electrical Upgrades, Substation Improvements 5363, 5454</t>
        </is>
      </c>
      <c r="C108" t="inlineStr">
        <is>
          <t>Rectifier Replacement, Electrical Upgrades, Substation Improvements on MED 5363, 5454. 5751, 5752, 5753, 5754, 5755, 5756, 5757, 5758,5766</t>
        </is>
      </c>
      <c r="D108" t="inlineStr">
        <is>
          <t>Transit Equipment &amp; Furnishings</t>
        </is>
      </c>
      <c r="E108" t="inlineStr">
        <is>
          <t>[R-MAINT] Rail Line - Maintain, Rehabilitate, Replace</t>
        </is>
      </c>
      <c r="F108" t="inlineStr">
        <is>
          <t>Metra</t>
        </is>
      </c>
      <c r="G108" t="inlineStr">
        <is>
          <t>IL-2025-027-02-00</t>
        </is>
      </c>
      <c r="H108" t="inlineStr">
        <is>
          <t>FTA 5307 Urban Formula</t>
        </is>
      </c>
      <c r="I108" s="5" t="n">
        <v>1200000</v>
      </c>
      <c r="J108" t="inlineStr">
        <is>
          <t>No</t>
        </is>
      </c>
      <c r="K108" t="inlineStr">
        <is>
          <t>No</t>
        </is>
      </c>
      <c r="L108" t="inlineStr">
        <is>
          <t>No</t>
        </is>
      </c>
      <c r="M108" t="b">
        <v>0</v>
      </c>
      <c r="N108" t="inlineStr">
        <is>
          <t>FFY2025</t>
        </is>
      </c>
      <c r="O108" t="inlineStr">
        <is>
          <t>FTA Obligation</t>
        </is>
      </c>
    </row>
    <row r="109">
      <c r="A109" t="inlineStr">
        <is>
          <t>18-19-0005</t>
        </is>
      </c>
      <c r="B109" t="inlineStr">
        <is>
          <t>Rectifier Replacement, Electrical Upgrades, Substation Improvements 5363, 5454</t>
        </is>
      </c>
      <c r="C109" t="inlineStr">
        <is>
          <t>Rectifier Replacement, Electrical Upgrades, Substation Improvements on MED 5363, 5454. 5751, 5752, 5753, 5754, 5755, 5756, 5757, 5758,5766</t>
        </is>
      </c>
      <c r="D109" t="inlineStr">
        <is>
          <t>Transit Equipment &amp; Furnishings</t>
        </is>
      </c>
      <c r="E109" t="inlineStr">
        <is>
          <t>[R-MAINT] Rail Line - Maintain, Rehabilitate, Replace</t>
        </is>
      </c>
      <c r="F109" t="inlineStr">
        <is>
          <t>Metra</t>
        </is>
      </c>
      <c r="G109" t="inlineStr">
        <is>
          <t>IL-2025-027-01-00</t>
        </is>
      </c>
      <c r="H109" t="inlineStr">
        <is>
          <t>FTA 5337 Good Repair</t>
        </is>
      </c>
      <c r="I109" s="5" t="n">
        <v>250000</v>
      </c>
      <c r="J109" t="inlineStr">
        <is>
          <t>No</t>
        </is>
      </c>
      <c r="K109" t="inlineStr">
        <is>
          <t>No</t>
        </is>
      </c>
      <c r="L109" t="inlineStr">
        <is>
          <t>No</t>
        </is>
      </c>
      <c r="M109" t="b">
        <v>0</v>
      </c>
      <c r="N109" t="inlineStr">
        <is>
          <t>FFY2025</t>
        </is>
      </c>
      <c r="O109" t="inlineStr">
        <is>
          <t>FTA Obligation</t>
        </is>
      </c>
    </row>
    <row r="110">
      <c r="A110" t="inlineStr">
        <is>
          <t>18-19-0005</t>
        </is>
      </c>
      <c r="B110" t="inlineStr">
        <is>
          <t>Rectifier Replacement, Electrical Upgrades, Substation Improvements 5363, 5454</t>
        </is>
      </c>
      <c r="C110" t="inlineStr">
        <is>
          <t>Rectifier Replacement, Electrical Upgrades, Substation Improvements on MED 5363, 5454. 5751, 5752, 5753, 5754, 5755, 5756, 5757, 5758,5766</t>
        </is>
      </c>
      <c r="D110" t="inlineStr">
        <is>
          <t>Transit Equipment &amp; Furnishings</t>
        </is>
      </c>
      <c r="E110" t="inlineStr">
        <is>
          <t>[R-MAINT] Rail Line - Maintain, Rehabilitate, Replace</t>
        </is>
      </c>
      <c r="F110" t="inlineStr">
        <is>
          <t>Metra</t>
        </is>
      </c>
      <c r="G110" t="inlineStr">
        <is>
          <t>IL-2025-027-02-00</t>
        </is>
      </c>
      <c r="H110" t="inlineStr">
        <is>
          <t>FTA 5337 Good Repair</t>
        </is>
      </c>
      <c r="I110" s="5" t="n">
        <v>1150000</v>
      </c>
      <c r="J110" t="inlineStr">
        <is>
          <t>No</t>
        </is>
      </c>
      <c r="K110" t="inlineStr">
        <is>
          <t>No</t>
        </is>
      </c>
      <c r="L110" t="inlineStr">
        <is>
          <t>No</t>
        </is>
      </c>
      <c r="M110" t="b">
        <v>0</v>
      </c>
      <c r="N110" t="inlineStr">
        <is>
          <t>FFY2025</t>
        </is>
      </c>
      <c r="O110" t="inlineStr">
        <is>
          <t>FTA Obligation</t>
        </is>
      </c>
    </row>
    <row r="111">
      <c r="A111" t="inlineStr">
        <is>
          <t>18-19-0005</t>
        </is>
      </c>
      <c r="B111" t="inlineStr">
        <is>
          <t>Rectifier Replacement, Electrical Upgrades, Substation Improvements 5363, 5454</t>
        </is>
      </c>
      <c r="C111" t="inlineStr">
        <is>
          <t>Rectifier Replacement, Electrical Upgrades, Substation Improvements on MED 5363, 5454. 5751, 5752, 5753, 5754, 5755, 5756, 5757, 5758,5766</t>
        </is>
      </c>
      <c r="D111" t="inlineStr">
        <is>
          <t>Transit Equipment &amp; Furnishings</t>
        </is>
      </c>
      <c r="E111" t="inlineStr">
        <is>
          <t>[R-MAINT] Rail Line - Maintain, Rehabilitate, Replace</t>
        </is>
      </c>
      <c r="F111" t="inlineStr">
        <is>
          <t>Metra</t>
        </is>
      </c>
      <c r="G111" t="inlineStr">
        <is>
          <t>IL-2025-027-02-00</t>
        </is>
      </c>
      <c r="H111" t="inlineStr">
        <is>
          <t>FTA 5337 Good Repair</t>
        </is>
      </c>
      <c r="I111" s="5" t="n">
        <v>500000</v>
      </c>
      <c r="J111" t="inlineStr">
        <is>
          <t>No</t>
        </is>
      </c>
      <c r="K111" t="inlineStr">
        <is>
          <t>No</t>
        </is>
      </c>
      <c r="L111" t="inlineStr">
        <is>
          <t>No</t>
        </is>
      </c>
      <c r="M111" t="b">
        <v>0</v>
      </c>
      <c r="N111" t="inlineStr">
        <is>
          <t>FFY2025</t>
        </is>
      </c>
      <c r="O111" t="inlineStr">
        <is>
          <t>FTA Obligation</t>
        </is>
      </c>
    </row>
    <row r="112">
      <c r="A112" t="inlineStr">
        <is>
          <t>18-19-0008</t>
        </is>
      </c>
      <c r="B112" t="inlineStr">
        <is>
          <t>Communications Improvements</t>
        </is>
      </c>
      <c r="C112" t="inlineStr">
        <is>
          <t>Purchase of communications equipment to be used at various locations on the Metra system</t>
        </is>
      </c>
      <c r="D112" t="inlineStr">
        <is>
          <t>Transit Support Facilities</t>
        </is>
      </c>
      <c r="E112" t="inlineStr">
        <is>
          <t>[F-SHOP] Facility - Shop Facilities/Equipment</t>
        </is>
      </c>
      <c r="F112" t="inlineStr">
        <is>
          <t>Metra</t>
        </is>
      </c>
      <c r="G112" t="inlineStr">
        <is>
          <t>IL-2025-027-01-00</t>
        </is>
      </c>
      <c r="H112" t="inlineStr">
        <is>
          <t>FTA 5337 Good Repair</t>
        </is>
      </c>
      <c r="I112" s="5" t="n">
        <v>500000</v>
      </c>
      <c r="J112" t="inlineStr">
        <is>
          <t>No</t>
        </is>
      </c>
      <c r="K112" t="inlineStr">
        <is>
          <t>No</t>
        </is>
      </c>
      <c r="L112" t="inlineStr">
        <is>
          <t>No</t>
        </is>
      </c>
      <c r="M112" t="b">
        <v>0</v>
      </c>
      <c r="N112" t="inlineStr">
        <is>
          <t>FFY2025</t>
        </is>
      </c>
      <c r="O112" t="inlineStr">
        <is>
          <t>FTA Obligation</t>
        </is>
      </c>
    </row>
    <row r="113">
      <c r="A113" t="inlineStr">
        <is>
          <t>18-19-0008</t>
        </is>
      </c>
      <c r="B113" t="inlineStr">
        <is>
          <t>Communications Improvements</t>
        </is>
      </c>
      <c r="C113" t="inlineStr">
        <is>
          <t>Purchase of communications equipment to be used at various locations on the Metra system</t>
        </is>
      </c>
      <c r="D113" t="inlineStr">
        <is>
          <t>Transit Support Facilities</t>
        </is>
      </c>
      <c r="E113" t="inlineStr">
        <is>
          <t>[F-SHOP] Facility - Shop Facilities/Equipment</t>
        </is>
      </c>
      <c r="F113" t="inlineStr">
        <is>
          <t>Metra</t>
        </is>
      </c>
      <c r="G113" t="inlineStr">
        <is>
          <t>IL-2025-027-01-00</t>
        </is>
      </c>
      <c r="H113" t="inlineStr">
        <is>
          <t>FTA 5337 Good Repair</t>
        </is>
      </c>
      <c r="I113" s="5" t="n">
        <v>3162500</v>
      </c>
      <c r="J113" t="inlineStr">
        <is>
          <t>No</t>
        </is>
      </c>
      <c r="K113" t="inlineStr">
        <is>
          <t>No</t>
        </is>
      </c>
      <c r="L113" t="inlineStr">
        <is>
          <t>No</t>
        </is>
      </c>
      <c r="M113" t="b">
        <v>0</v>
      </c>
      <c r="N113" t="inlineStr">
        <is>
          <t>FFY2025</t>
        </is>
      </c>
      <c r="O113" t="inlineStr">
        <is>
          <t>FTA Obligation</t>
        </is>
      </c>
    </row>
    <row r="114">
      <c r="A114" t="inlineStr">
        <is>
          <t>18-19-0008</t>
        </is>
      </c>
      <c r="B114" t="inlineStr">
        <is>
          <t>Communications Improvements</t>
        </is>
      </c>
      <c r="C114" t="inlineStr">
        <is>
          <t>Purchase of communications equipment to be used at various locations on the Metra system</t>
        </is>
      </c>
      <c r="D114" t="inlineStr">
        <is>
          <t>Transit Support Facilities</t>
        </is>
      </c>
      <c r="E114" t="inlineStr">
        <is>
          <t>[F-SHOP] Facility - Shop Facilities/Equipment</t>
        </is>
      </c>
      <c r="F114" t="inlineStr">
        <is>
          <t>Metra</t>
        </is>
      </c>
      <c r="G114" t="inlineStr">
        <is>
          <t>IL-2025-027-01-00</t>
        </is>
      </c>
      <c r="H114" t="inlineStr">
        <is>
          <t>FTA 5337 Good Repair</t>
        </is>
      </c>
      <c r="I114" s="5" t="n">
        <v>3100000</v>
      </c>
      <c r="J114" t="inlineStr">
        <is>
          <t>No</t>
        </is>
      </c>
      <c r="K114" t="inlineStr">
        <is>
          <t>No</t>
        </is>
      </c>
      <c r="L114" t="inlineStr">
        <is>
          <t>No</t>
        </is>
      </c>
      <c r="M114" t="b">
        <v>0</v>
      </c>
      <c r="N114" t="inlineStr">
        <is>
          <t>FFY2025</t>
        </is>
      </c>
      <c r="O114" t="inlineStr">
        <is>
          <t>FTA Obligation</t>
        </is>
      </c>
    </row>
    <row r="115">
      <c r="A115" t="inlineStr">
        <is>
          <t>18-20-0004</t>
        </is>
      </c>
      <c r="B115" t="inlineStr">
        <is>
          <t>Bridge Rehabilitation</t>
        </is>
      </c>
      <c r="C115" t="inlineStr">
        <is>
          <t>Bridge Rehabilitation: Bridge A110/56, A318, Hickory Creek Bridge, 275- Old 96th Avenue, Stoney Creek Bridge, Grand Avenue Bridge</t>
        </is>
      </c>
      <c r="D115" t="inlineStr">
        <is>
          <t>Guideway Improvements</t>
        </is>
      </c>
      <c r="E115" t="inlineStr">
        <is>
          <t>[R-MAINT] Rail Line - Maintain, Rehabilitate, Replace</t>
        </is>
      </c>
      <c r="F115" t="inlineStr">
        <is>
          <t>Metra</t>
        </is>
      </c>
      <c r="G115" t="inlineStr">
        <is>
          <t>IL-2025-027-01-00</t>
        </is>
      </c>
      <c r="H115" t="inlineStr">
        <is>
          <t>FTA 5337 Good Repair</t>
        </is>
      </c>
      <c r="I115" s="5" t="n">
        <v>250000</v>
      </c>
      <c r="J115" t="inlineStr">
        <is>
          <t>No</t>
        </is>
      </c>
      <c r="K115" t="inlineStr">
        <is>
          <t>No</t>
        </is>
      </c>
      <c r="L115" t="inlineStr">
        <is>
          <t>No</t>
        </is>
      </c>
      <c r="M115" t="b">
        <v>0</v>
      </c>
      <c r="N115" t="inlineStr">
        <is>
          <t>FFY2025</t>
        </is>
      </c>
      <c r="O115" t="inlineStr">
        <is>
          <t>FTA Obligation</t>
        </is>
      </c>
    </row>
    <row r="116">
      <c r="A116" t="inlineStr">
        <is>
          <t>18-20-0008</t>
        </is>
      </c>
      <c r="B116" t="inlineStr">
        <is>
          <t>Crew Facilities</t>
        </is>
      </c>
      <c r="C116" t="inlineStr">
        <is>
          <t>Crew Facilities</t>
        </is>
      </c>
      <c r="D116" t="inlineStr">
        <is>
          <t>Transit Support Facilities</t>
        </is>
      </c>
      <c r="E116" t="inlineStr">
        <is>
          <t>[Z-OTHEX] Miscellaneous - Exempt Projects</t>
        </is>
      </c>
      <c r="F116" t="inlineStr">
        <is>
          <t>Metra</t>
        </is>
      </c>
      <c r="G116" t="inlineStr">
        <is>
          <t>IL-2025-027-01-00</t>
        </is>
      </c>
      <c r="H116" t="inlineStr">
        <is>
          <t>FTA 5337 Good Repair</t>
        </is>
      </c>
      <c r="I116" s="5" t="n">
        <v>190000</v>
      </c>
      <c r="J116" t="inlineStr">
        <is>
          <t>No</t>
        </is>
      </c>
      <c r="K116" t="inlineStr">
        <is>
          <t>No</t>
        </is>
      </c>
      <c r="L116" t="inlineStr">
        <is>
          <t>No</t>
        </is>
      </c>
      <c r="M116" t="b">
        <v>0</v>
      </c>
      <c r="N116" t="inlineStr">
        <is>
          <t>FFY2025</t>
        </is>
      </c>
      <c r="O116" t="inlineStr">
        <is>
          <t>FTA Obligation</t>
        </is>
      </c>
    </row>
    <row r="117">
      <c r="A117" t="inlineStr">
        <is>
          <t>18-20-0008</t>
        </is>
      </c>
      <c r="B117" t="inlineStr">
        <is>
          <t>Crew Facilities</t>
        </is>
      </c>
      <c r="C117" t="inlineStr">
        <is>
          <t>Crew Facilities</t>
        </is>
      </c>
      <c r="D117" t="inlineStr">
        <is>
          <t>Transit Support Facilities</t>
        </is>
      </c>
      <c r="E117" t="inlineStr">
        <is>
          <t>[Z-OTHEX] Miscellaneous - Exempt Projects</t>
        </is>
      </c>
      <c r="F117" t="inlineStr">
        <is>
          <t>Metra</t>
        </is>
      </c>
      <c r="G117" t="inlineStr">
        <is>
          <t>IL-2025-027-01-00</t>
        </is>
      </c>
      <c r="H117" t="inlineStr">
        <is>
          <t>FTA 5337 Good Repair</t>
        </is>
      </c>
      <c r="I117" s="5" t="n">
        <v>750000</v>
      </c>
      <c r="J117" t="inlineStr">
        <is>
          <t>No</t>
        </is>
      </c>
      <c r="K117" t="inlineStr">
        <is>
          <t>No</t>
        </is>
      </c>
      <c r="L117" t="inlineStr">
        <is>
          <t>No</t>
        </is>
      </c>
      <c r="M117" t="b">
        <v>0</v>
      </c>
      <c r="N117" t="inlineStr">
        <is>
          <t>FFY2025</t>
        </is>
      </c>
      <c r="O117" t="inlineStr">
        <is>
          <t>FTA Obligation</t>
        </is>
      </c>
    </row>
    <row r="118">
      <c r="A118" t="inlineStr">
        <is>
          <t>18-20-0011</t>
        </is>
      </c>
      <c r="B118" t="inlineStr">
        <is>
          <t>Project Development, Program Management</t>
        </is>
      </c>
      <c r="C118" t="inlineStr">
        <is>
          <t>Project Development, Program Management</t>
        </is>
      </c>
      <c r="D118" t="inlineStr">
        <is>
          <t>Other Transit</t>
        </is>
      </c>
      <c r="E118" t="inlineStr">
        <is>
          <t>[Z-OTHEX] Miscellaneous - Exempt Projects</t>
        </is>
      </c>
      <c r="F118" t="inlineStr">
        <is>
          <t>Metra</t>
        </is>
      </c>
      <c r="G118" t="inlineStr">
        <is>
          <t>IL-2025-027-02-00</t>
        </is>
      </c>
      <c r="H118" t="inlineStr">
        <is>
          <t>FTA 5307 Urban Formula</t>
        </is>
      </c>
      <c r="I118" s="5" t="n">
        <v>200000</v>
      </c>
      <c r="J118" t="inlineStr">
        <is>
          <t>No</t>
        </is>
      </c>
      <c r="K118" t="inlineStr">
        <is>
          <t>No</t>
        </is>
      </c>
      <c r="L118" t="inlineStr">
        <is>
          <t>No</t>
        </is>
      </c>
      <c r="M118" t="b">
        <v>0</v>
      </c>
      <c r="N118" t="inlineStr">
        <is>
          <t>FFY2025</t>
        </is>
      </c>
      <c r="O118" t="inlineStr">
        <is>
          <t>FTA Obligation</t>
        </is>
      </c>
    </row>
    <row r="119">
      <c r="A119" t="inlineStr">
        <is>
          <t>18-20-0011</t>
        </is>
      </c>
      <c r="B119" t="inlineStr">
        <is>
          <t>Project Development, Program Management</t>
        </is>
      </c>
      <c r="C119" t="inlineStr">
        <is>
          <t>Project Development, Program Management</t>
        </is>
      </c>
      <c r="D119" t="inlineStr">
        <is>
          <t>Other Transit</t>
        </is>
      </c>
      <c r="E119" t="inlineStr">
        <is>
          <t>[Z-OTHEX] Miscellaneous - Exempt Projects</t>
        </is>
      </c>
      <c r="F119" t="inlineStr">
        <is>
          <t>Metra</t>
        </is>
      </c>
      <c r="G119" t="inlineStr">
        <is>
          <t>IL-2025-027-01-00</t>
        </is>
      </c>
      <c r="H119" t="inlineStr">
        <is>
          <t>FTA 5337 Good Repair</t>
        </is>
      </c>
      <c r="I119" s="5" t="n">
        <v>28000000</v>
      </c>
      <c r="J119" t="inlineStr">
        <is>
          <t>No</t>
        </is>
      </c>
      <c r="K119" t="inlineStr">
        <is>
          <t>No</t>
        </is>
      </c>
      <c r="L119" t="inlineStr">
        <is>
          <t>No</t>
        </is>
      </c>
      <c r="M119" t="b">
        <v>0</v>
      </c>
      <c r="N119" t="inlineStr">
        <is>
          <t>FFY2025</t>
        </is>
      </c>
      <c r="O119" t="inlineStr">
        <is>
          <t>FTA Obligation</t>
        </is>
      </c>
    </row>
    <row r="120">
      <c r="A120" t="inlineStr">
        <is>
          <t>18-20-0011</t>
        </is>
      </c>
      <c r="B120" t="inlineStr">
        <is>
          <t>Project Development, Program Management</t>
        </is>
      </c>
      <c r="C120" t="inlineStr">
        <is>
          <t>Project Development, Program Management</t>
        </is>
      </c>
      <c r="D120" t="inlineStr">
        <is>
          <t>Other Transit</t>
        </is>
      </c>
      <c r="E120" t="inlineStr">
        <is>
          <t>[Z-OTHEX] Miscellaneous - Exempt Projects</t>
        </is>
      </c>
      <c r="F120" t="inlineStr">
        <is>
          <t>Metra</t>
        </is>
      </c>
      <c r="G120" t="inlineStr">
        <is>
          <t>IL-2025-027-01-00</t>
        </is>
      </c>
      <c r="H120" t="inlineStr">
        <is>
          <t>FTA 5337 Good Repair</t>
        </is>
      </c>
      <c r="I120" s="5" t="n">
        <v>1825000</v>
      </c>
      <c r="J120" t="inlineStr">
        <is>
          <t>No</t>
        </is>
      </c>
      <c r="K120" t="inlineStr">
        <is>
          <t>No</t>
        </is>
      </c>
      <c r="L120" t="inlineStr">
        <is>
          <t>No</t>
        </is>
      </c>
      <c r="M120" t="b">
        <v>0</v>
      </c>
      <c r="N120" t="inlineStr">
        <is>
          <t>FFY2025</t>
        </is>
      </c>
      <c r="O120" t="inlineStr">
        <is>
          <t>FTA Obligation</t>
        </is>
      </c>
    </row>
    <row r="121">
      <c r="A121" t="inlineStr">
        <is>
          <t>18-21-0001</t>
        </is>
      </c>
      <c r="B121" t="inlineStr">
        <is>
          <t>PTC Renewal of on-board and wayside equipment</t>
        </is>
      </c>
      <c r="C121" t="inlineStr">
        <is>
          <t>PTC Renewal of on-board and wayside equipment 5505, 5651</t>
        </is>
      </c>
      <c r="D121" t="inlineStr">
        <is>
          <t>Transit Vehicles (Bus/Rail)</t>
        </is>
      </c>
      <c r="E121" t="inlineStr">
        <is>
          <t>[J-REHAB] Rolling Stock - Rehabilitate Vehicles</t>
        </is>
      </c>
      <c r="F121" t="inlineStr">
        <is>
          <t>Metra</t>
        </is>
      </c>
      <c r="G121" t="inlineStr">
        <is>
          <t>IL-2025-027-01-00</t>
        </is>
      </c>
      <c r="H121" t="inlineStr">
        <is>
          <t>FTA 5337 Good Repair</t>
        </is>
      </c>
      <c r="I121" s="5" t="n">
        <v>500000</v>
      </c>
      <c r="J121" t="inlineStr">
        <is>
          <t>No</t>
        </is>
      </c>
      <c r="K121" t="inlineStr">
        <is>
          <t>No</t>
        </is>
      </c>
      <c r="L121" t="inlineStr">
        <is>
          <t>No</t>
        </is>
      </c>
      <c r="M121" t="b">
        <v>0</v>
      </c>
      <c r="N121" t="inlineStr">
        <is>
          <t>FFY2025</t>
        </is>
      </c>
      <c r="O121" t="inlineStr">
        <is>
          <t>FTA Obligation</t>
        </is>
      </c>
    </row>
    <row r="122">
      <c r="A122" t="inlineStr">
        <is>
          <t>18-21-0001</t>
        </is>
      </c>
      <c r="B122" t="inlineStr">
        <is>
          <t>PTC Renewal of on-board and wayside equipment</t>
        </is>
      </c>
      <c r="C122" t="inlineStr">
        <is>
          <t>PTC Renewal of on-board and wayside equipment 5505, 5651</t>
        </is>
      </c>
      <c r="D122" t="inlineStr">
        <is>
          <t>Transit Vehicles (Bus/Rail)</t>
        </is>
      </c>
      <c r="E122" t="inlineStr">
        <is>
          <t>[J-REHAB] Rolling Stock - Rehabilitate Vehicles</t>
        </is>
      </c>
      <c r="F122" t="inlineStr">
        <is>
          <t>Metra</t>
        </is>
      </c>
      <c r="G122" t="inlineStr">
        <is>
          <t>IL-2025-027-02-00</t>
        </is>
      </c>
      <c r="H122" t="inlineStr">
        <is>
          <t>FTA 5307 Urban Formula</t>
        </is>
      </c>
      <c r="I122" s="5" t="n">
        <v>590860</v>
      </c>
      <c r="J122" t="inlineStr">
        <is>
          <t>No</t>
        </is>
      </c>
      <c r="K122" t="inlineStr">
        <is>
          <t>No</t>
        </is>
      </c>
      <c r="L122" t="inlineStr">
        <is>
          <t>No</t>
        </is>
      </c>
      <c r="M122" t="b">
        <v>0</v>
      </c>
      <c r="N122" t="inlineStr">
        <is>
          <t>FFY2025</t>
        </is>
      </c>
      <c r="O122" t="inlineStr">
        <is>
          <t>FTA Obligation</t>
        </is>
      </c>
    </row>
    <row r="123">
      <c r="A123" t="inlineStr">
        <is>
          <t>18-21-0003</t>
        </is>
      </c>
      <c r="B123" t="inlineStr">
        <is>
          <t>Metra Electric District Improvements for NICTD Service Improvements</t>
        </is>
      </c>
      <c r="C123" t="inlineStr">
        <is>
          <t>Metra Electric District Improvements for NICTD Service Improvements (5557)</t>
        </is>
      </c>
      <c r="D123" t="inlineStr">
        <is>
          <t>Guideway Improvements</t>
        </is>
      </c>
      <c r="E123" t="inlineStr">
        <is>
          <t>[R-IMP] Rail Line - Improve Line</t>
        </is>
      </c>
      <c r="F123" t="inlineStr">
        <is>
          <t>Metra</t>
        </is>
      </c>
      <c r="G123" t="inlineStr">
        <is>
          <t>IL-2025-027-02-00</t>
        </is>
      </c>
      <c r="H123" t="inlineStr">
        <is>
          <t>FTA 5307 Urban Formula</t>
        </is>
      </c>
      <c r="I123" s="5" t="n">
        <v>4000000</v>
      </c>
      <c r="J123" t="inlineStr">
        <is>
          <t>No</t>
        </is>
      </c>
      <c r="K123" t="inlineStr">
        <is>
          <t>No</t>
        </is>
      </c>
      <c r="L123" t="inlineStr">
        <is>
          <t>No</t>
        </is>
      </c>
      <c r="M123" t="b">
        <v>0</v>
      </c>
      <c r="N123" t="inlineStr">
        <is>
          <t>FFY2025</t>
        </is>
      </c>
      <c r="O123" t="inlineStr">
        <is>
          <t>FTA Obligation</t>
        </is>
      </c>
    </row>
    <row r="124">
      <c r="A124" t="inlineStr">
        <is>
          <t>18-21-0004</t>
        </is>
      </c>
      <c r="B124" t="inlineStr">
        <is>
          <t>Systemwide Cameras at Grade Crossings and Stations</t>
        </is>
      </c>
      <c r="C124" t="inlineStr">
        <is>
          <t>Systemwide Cameras at grade crossings and stations 5559</t>
        </is>
      </c>
      <c r="D124" t="inlineStr">
        <is>
          <t>Other Transit</t>
        </is>
      </c>
      <c r="E124" t="inlineStr">
        <is>
          <t>[Z-OTHEX] Miscellaneous - Exempt Projects</t>
        </is>
      </c>
      <c r="F124" t="inlineStr">
        <is>
          <t>Metra</t>
        </is>
      </c>
      <c r="G124" t="inlineStr">
        <is>
          <t>IL-2025-027-01-00</t>
        </is>
      </c>
      <c r="H124" t="inlineStr">
        <is>
          <t>FTA 5337 Good Repair</t>
        </is>
      </c>
      <c r="I124" s="5" t="n">
        <v>1340000</v>
      </c>
      <c r="J124" t="inlineStr">
        <is>
          <t>No</t>
        </is>
      </c>
      <c r="K124" t="inlineStr">
        <is>
          <t>No</t>
        </is>
      </c>
      <c r="L124" t="inlineStr">
        <is>
          <t>No</t>
        </is>
      </c>
      <c r="M124" t="b">
        <v>0</v>
      </c>
      <c r="N124" t="inlineStr">
        <is>
          <t>FFY2025</t>
        </is>
      </c>
      <c r="O124" t="inlineStr">
        <is>
          <t>FTA Obligation</t>
        </is>
      </c>
    </row>
    <row r="125">
      <c r="A125" t="inlineStr">
        <is>
          <t>18-21-0027</t>
        </is>
      </c>
      <c r="B125" t="inlineStr">
        <is>
          <t>Metra Alternative Fuel Locomotives</t>
        </is>
      </c>
      <c r="C125" t="inlineStr">
        <is>
          <t>Procure locomotives powered by next-generation battery technology. Alternative fuel locomotives will produce zero mobile emissions.</t>
        </is>
      </c>
      <c r="D125" t="inlineStr">
        <is>
          <t>Transit Vehicles (Bus/Rail)</t>
        </is>
      </c>
      <c r="E125" t="inlineStr">
        <is>
          <t>[J-FUEL] Rolling Stock - Alternate Fuels</t>
        </is>
      </c>
      <c r="F125" t="inlineStr">
        <is>
          <t>Metra</t>
        </is>
      </c>
      <c r="G125" t="inlineStr">
        <is>
          <t>IL-2025-027-02-00</t>
        </is>
      </c>
      <c r="H125" t="inlineStr">
        <is>
          <t>FTA 5307 Urban Formula</t>
        </is>
      </c>
      <c r="I125" s="5" t="n">
        <v>1500000</v>
      </c>
      <c r="J125" t="inlineStr">
        <is>
          <t>No</t>
        </is>
      </c>
      <c r="K125" t="inlineStr">
        <is>
          <t>No</t>
        </is>
      </c>
      <c r="L125" t="inlineStr">
        <is>
          <t>No</t>
        </is>
      </c>
      <c r="M125" t="b">
        <v>0</v>
      </c>
      <c r="N125" t="inlineStr">
        <is>
          <t>FFY2025</t>
        </is>
      </c>
      <c r="O125" t="inlineStr">
        <is>
          <t>FTA Obligation</t>
        </is>
      </c>
    </row>
    <row r="126">
      <c r="A126" t="inlineStr">
        <is>
          <t>18-21-0031</t>
        </is>
      </c>
      <c r="B126" t="inlineStr">
        <is>
          <t>Commuter Asset Acquisition</t>
        </is>
      </c>
      <c r="C126" t="inlineStr">
        <is>
          <t>Commuter Asset Acquisition, 5519, Protective Asset Acquisition, 5771</t>
        </is>
      </c>
      <c r="D126" t="inlineStr">
        <is>
          <t>Other Transit</t>
        </is>
      </c>
      <c r="E126" t="inlineStr">
        <is>
          <t>[Z-OTHEX] Miscellaneous - Exempt Projects</t>
        </is>
      </c>
      <c r="F126" t="inlineStr">
        <is>
          <t>Metra</t>
        </is>
      </c>
      <c r="G126" t="inlineStr">
        <is>
          <t>IL-2025-027-02-00</t>
        </is>
      </c>
      <c r="H126" t="inlineStr">
        <is>
          <t>FTA 5307 Urban Formula</t>
        </is>
      </c>
      <c r="I126" s="5" t="n">
        <v>30100000</v>
      </c>
      <c r="J126" t="inlineStr">
        <is>
          <t>No</t>
        </is>
      </c>
      <c r="K126" t="inlineStr">
        <is>
          <t>No</t>
        </is>
      </c>
      <c r="L126" t="inlineStr">
        <is>
          <t>No</t>
        </is>
      </c>
      <c r="M126" t="b">
        <v>0</v>
      </c>
      <c r="N126" t="inlineStr">
        <is>
          <t>FFY2025</t>
        </is>
      </c>
      <c r="O126" t="inlineStr">
        <is>
          <t>FTA Obligation</t>
        </is>
      </c>
    </row>
    <row r="127">
      <c r="A127" t="inlineStr">
        <is>
          <t>18-25-0001</t>
        </is>
      </c>
      <c r="B127" t="inlineStr">
        <is>
          <t>Station Improvements - BNSF</t>
        </is>
      </c>
      <c r="C127" t="inlineStr">
        <is>
          <t>Station Improvements along Metra's BNSF line (West Hinsdale, Cicero, Highlands, Riverside)</t>
        </is>
      </c>
      <c r="D127" t="inlineStr">
        <is>
          <t>Transit Station/Stop Improvements</t>
        </is>
      </c>
      <c r="E127" t="inlineStr">
        <is>
          <t>[P-MAINT] Parking - Maintain, Rehabilitate, Replace Commuter Parking</t>
        </is>
      </c>
      <c r="F127" t="inlineStr">
        <is>
          <t>Metra</t>
        </is>
      </c>
      <c r="G127" t="inlineStr">
        <is>
          <t>IL-2025-027-01-00</t>
        </is>
      </c>
      <c r="H127" t="inlineStr">
        <is>
          <t>FTA 5337 Good Repair</t>
        </is>
      </c>
      <c r="I127" s="5" t="n">
        <v>465000</v>
      </c>
      <c r="J127" t="inlineStr">
        <is>
          <t>No</t>
        </is>
      </c>
      <c r="K127" t="inlineStr">
        <is>
          <t>No</t>
        </is>
      </c>
      <c r="L127" t="inlineStr">
        <is>
          <t>No</t>
        </is>
      </c>
      <c r="M127" t="b">
        <v>0</v>
      </c>
      <c r="N127" t="inlineStr">
        <is>
          <t>FFY2025</t>
        </is>
      </c>
      <c r="O127" t="inlineStr">
        <is>
          <t>FTA Obligation</t>
        </is>
      </c>
    </row>
    <row r="128">
      <c r="A128" t="inlineStr">
        <is>
          <t>18-25-0001</t>
        </is>
      </c>
      <c r="B128" t="inlineStr">
        <is>
          <t>Station Improvements - BNSF</t>
        </is>
      </c>
      <c r="C128" t="inlineStr">
        <is>
          <t>Station Improvements along Metra's BNSF line (West Hinsdale, Cicero, Highlands, Riverside)</t>
        </is>
      </c>
      <c r="D128" t="inlineStr">
        <is>
          <t>Transit Station/Stop Improvements</t>
        </is>
      </c>
      <c r="E128" t="inlineStr">
        <is>
          <t>[P-MAINT] Parking - Maintain, Rehabilitate, Replace Commuter Parking</t>
        </is>
      </c>
      <c r="F128" t="inlineStr">
        <is>
          <t>Metra</t>
        </is>
      </c>
      <c r="G128" t="inlineStr">
        <is>
          <t>IL-2025-027-01-00</t>
        </is>
      </c>
      <c r="H128" t="inlineStr">
        <is>
          <t>FTA 5337 Good Repair</t>
        </is>
      </c>
      <c r="I128" s="5" t="n">
        <v>600000</v>
      </c>
      <c r="J128" t="inlineStr">
        <is>
          <t>No</t>
        </is>
      </c>
      <c r="K128" t="inlineStr">
        <is>
          <t>No</t>
        </is>
      </c>
      <c r="L128" t="inlineStr">
        <is>
          <t>No</t>
        </is>
      </c>
      <c r="M128" t="b">
        <v>0</v>
      </c>
      <c r="N128" t="inlineStr">
        <is>
          <t>FFY2025</t>
        </is>
      </c>
      <c r="O128" t="inlineStr">
        <is>
          <t>FTA Obligation</t>
        </is>
      </c>
    </row>
    <row r="129">
      <c r="A129" t="inlineStr">
        <is>
          <t>18-25-0001</t>
        </is>
      </c>
      <c r="B129" t="inlineStr">
        <is>
          <t>Station Improvements - BNSF</t>
        </is>
      </c>
      <c r="C129" t="inlineStr">
        <is>
          <t>Station Improvements along Metra's BNSF line (West Hinsdale, Cicero, Highlands, Riverside)</t>
        </is>
      </c>
      <c r="D129" t="inlineStr">
        <is>
          <t>Transit Station/Stop Improvements</t>
        </is>
      </c>
      <c r="E129" t="inlineStr">
        <is>
          <t>[P-MAINT] Parking - Maintain, Rehabilitate, Replace Commuter Parking</t>
        </is>
      </c>
      <c r="F129" t="inlineStr">
        <is>
          <t>Metra</t>
        </is>
      </c>
      <c r="G129" t="inlineStr">
        <is>
          <t>IL-2025-027-01-00</t>
        </is>
      </c>
      <c r="H129" t="inlineStr">
        <is>
          <t>FTA 5337 Good Repair</t>
        </is>
      </c>
      <c r="I129" s="5" t="n">
        <v>455000</v>
      </c>
      <c r="J129" t="inlineStr">
        <is>
          <t>No</t>
        </is>
      </c>
      <c r="K129" t="inlineStr">
        <is>
          <t>No</t>
        </is>
      </c>
      <c r="L129" t="inlineStr">
        <is>
          <t>No</t>
        </is>
      </c>
      <c r="M129" t="b">
        <v>0</v>
      </c>
      <c r="N129" t="inlineStr">
        <is>
          <t>FFY2025</t>
        </is>
      </c>
      <c r="O129" t="inlineStr">
        <is>
          <t>FTA Obligation</t>
        </is>
      </c>
    </row>
    <row r="130">
      <c r="A130" t="inlineStr">
        <is>
          <t>18-25-0002</t>
        </is>
      </c>
      <c r="B130" t="inlineStr">
        <is>
          <t>Station Improvements - MED</t>
        </is>
      </c>
      <c r="C130" t="inlineStr">
        <is>
          <t>Station Improvements along MED line (115th Street/Kensington, Riverdale, Matteson, West Pullman, Van Buren Street, Olympia Fields)</t>
        </is>
      </c>
      <c r="D130" t="inlineStr">
        <is>
          <t>Transit Station/Stop Improvements</t>
        </is>
      </c>
      <c r="E130" t="inlineStr">
        <is>
          <t>[P-MAINT] Parking - Maintain, Rehabilitate, Replace Commuter Parking</t>
        </is>
      </c>
      <c r="F130" t="inlineStr">
        <is>
          <t>Metra</t>
        </is>
      </c>
      <c r="G130" t="inlineStr">
        <is>
          <t>IL-2025-027-01-00</t>
        </is>
      </c>
      <c r="H130" t="inlineStr">
        <is>
          <t>FTA 5337 Good Repair</t>
        </is>
      </c>
      <c r="I130" s="5" t="n">
        <v>2000000</v>
      </c>
      <c r="J130" t="inlineStr">
        <is>
          <t>No</t>
        </is>
      </c>
      <c r="K130" t="inlineStr">
        <is>
          <t>No</t>
        </is>
      </c>
      <c r="L130" t="inlineStr">
        <is>
          <t>No</t>
        </is>
      </c>
      <c r="M130" t="b">
        <v>0</v>
      </c>
      <c r="N130" t="inlineStr">
        <is>
          <t>FFY2025</t>
        </is>
      </c>
      <c r="O130" t="inlineStr">
        <is>
          <t>FTA Obligation</t>
        </is>
      </c>
    </row>
    <row r="131">
      <c r="A131" t="inlineStr">
        <is>
          <t>18-25-0002</t>
        </is>
      </c>
      <c r="B131" t="inlineStr">
        <is>
          <t>Station Improvements - MED</t>
        </is>
      </c>
      <c r="C131" t="inlineStr">
        <is>
          <t>Station Improvements along MED line (115th Street/Kensington, Riverdale, Matteson, West Pullman, Van Buren Street, Olympia Fields)</t>
        </is>
      </c>
      <c r="D131" t="inlineStr">
        <is>
          <t>Transit Station/Stop Improvements</t>
        </is>
      </c>
      <c r="E131" t="inlineStr">
        <is>
          <t>[P-MAINT] Parking - Maintain, Rehabilitate, Replace Commuter Parking</t>
        </is>
      </c>
      <c r="F131" t="inlineStr">
        <is>
          <t>Metra</t>
        </is>
      </c>
      <c r="G131" t="inlineStr">
        <is>
          <t>IL-2025-027-01-00</t>
        </is>
      </c>
      <c r="H131" t="inlineStr">
        <is>
          <t>FTA 5337 Good Repair</t>
        </is>
      </c>
      <c r="I131" s="5" t="n">
        <v>2000000</v>
      </c>
      <c r="J131" t="inlineStr">
        <is>
          <t>No</t>
        </is>
      </c>
      <c r="K131" t="inlineStr">
        <is>
          <t>No</t>
        </is>
      </c>
      <c r="L131" t="inlineStr">
        <is>
          <t>No</t>
        </is>
      </c>
      <c r="M131" t="b">
        <v>0</v>
      </c>
      <c r="N131" t="inlineStr">
        <is>
          <t>FFY2025</t>
        </is>
      </c>
      <c r="O131" t="inlineStr">
        <is>
          <t>FTA Obligation</t>
        </is>
      </c>
    </row>
    <row r="132">
      <c r="A132" t="inlineStr">
        <is>
          <t>18-25-0002</t>
        </is>
      </c>
      <c r="B132" t="inlineStr">
        <is>
          <t>Station Improvements - MED</t>
        </is>
      </c>
      <c r="C132" t="inlineStr">
        <is>
          <t>Station Improvements along MED line (115th Street/Kensington, Riverdale, Matteson, West Pullman, Van Buren Street, Olympia Fields)</t>
        </is>
      </c>
      <c r="D132" t="inlineStr">
        <is>
          <t>Transit Station/Stop Improvements</t>
        </is>
      </c>
      <c r="E132" t="inlineStr">
        <is>
          <t>[P-MAINT] Parking - Maintain, Rehabilitate, Replace Commuter Parking</t>
        </is>
      </c>
      <c r="F132" t="inlineStr">
        <is>
          <t>Metra</t>
        </is>
      </c>
      <c r="G132" t="inlineStr">
        <is>
          <t>IL-2025-027-01-00</t>
        </is>
      </c>
      <c r="H132" t="inlineStr">
        <is>
          <t>FTA 5337 Good Repair</t>
        </is>
      </c>
      <c r="I132" s="5" t="n">
        <v>2300000</v>
      </c>
      <c r="J132" t="inlineStr">
        <is>
          <t>No</t>
        </is>
      </c>
      <c r="K132" t="inlineStr">
        <is>
          <t>No</t>
        </is>
      </c>
      <c r="L132" t="inlineStr">
        <is>
          <t>No</t>
        </is>
      </c>
      <c r="M132" t="b">
        <v>0</v>
      </c>
      <c r="N132" t="inlineStr">
        <is>
          <t>FFY2025</t>
        </is>
      </c>
      <c r="O132" t="inlineStr">
        <is>
          <t>FTA Obligation</t>
        </is>
      </c>
    </row>
    <row r="133">
      <c r="A133" t="inlineStr">
        <is>
          <t>18-25-0002</t>
        </is>
      </c>
      <c r="B133" t="inlineStr">
        <is>
          <t>Station Improvements - MED</t>
        </is>
      </c>
      <c r="C133" t="inlineStr">
        <is>
          <t>Station Improvements along MED line (115th Street/Kensington, Riverdale, Matteson, West Pullman, Van Buren Street, Olympia Fields)</t>
        </is>
      </c>
      <c r="D133" t="inlineStr">
        <is>
          <t>Transit Station/Stop Improvements</t>
        </is>
      </c>
      <c r="E133" t="inlineStr">
        <is>
          <t>[P-MAINT] Parking - Maintain, Rehabilitate, Replace Commuter Parking</t>
        </is>
      </c>
      <c r="F133" t="inlineStr">
        <is>
          <t>Metra</t>
        </is>
      </c>
      <c r="G133" t="inlineStr">
        <is>
          <t>IL-2025-027-01-00</t>
        </is>
      </c>
      <c r="H133" t="inlineStr">
        <is>
          <t>FTA 5337 Good Repair</t>
        </is>
      </c>
      <c r="I133" s="5" t="n">
        <v>1800000</v>
      </c>
      <c r="J133" t="inlineStr">
        <is>
          <t>No</t>
        </is>
      </c>
      <c r="K133" t="inlineStr">
        <is>
          <t>No</t>
        </is>
      </c>
      <c r="L133" t="inlineStr">
        <is>
          <t>No</t>
        </is>
      </c>
      <c r="M133" t="b">
        <v>0</v>
      </c>
      <c r="N133" t="inlineStr">
        <is>
          <t>FFY2025</t>
        </is>
      </c>
      <c r="O133" t="inlineStr">
        <is>
          <t>FTA Obligation</t>
        </is>
      </c>
    </row>
    <row r="134">
      <c r="A134" t="inlineStr">
        <is>
          <t>18-25-0002</t>
        </is>
      </c>
      <c r="B134" t="inlineStr">
        <is>
          <t>Station Improvements - MED</t>
        </is>
      </c>
      <c r="C134" t="inlineStr">
        <is>
          <t>Station Improvements along MED line (115th Street/Kensington, Riverdale, Matteson, West Pullman, Van Buren Street, Olympia Fields)</t>
        </is>
      </c>
      <c r="D134" t="inlineStr">
        <is>
          <t>Transit Station/Stop Improvements</t>
        </is>
      </c>
      <c r="E134" t="inlineStr">
        <is>
          <t>[P-MAINT] Parking - Maintain, Rehabilitate, Replace Commuter Parking</t>
        </is>
      </c>
      <c r="F134" t="inlineStr">
        <is>
          <t>Metra</t>
        </is>
      </c>
      <c r="G134" t="inlineStr">
        <is>
          <t>IL-2025-027-01-00</t>
        </is>
      </c>
      <c r="H134" t="inlineStr">
        <is>
          <t>FTA 5337 Good Repair</t>
        </is>
      </c>
      <c r="I134" s="5" t="n">
        <v>1700000</v>
      </c>
      <c r="J134" t="inlineStr">
        <is>
          <t>No</t>
        </is>
      </c>
      <c r="K134" t="inlineStr">
        <is>
          <t>No</t>
        </is>
      </c>
      <c r="L134" t="inlineStr">
        <is>
          <t>No</t>
        </is>
      </c>
      <c r="M134" t="b">
        <v>0</v>
      </c>
      <c r="N134" t="inlineStr">
        <is>
          <t>FFY2025</t>
        </is>
      </c>
      <c r="O134" t="inlineStr">
        <is>
          <t>FTA Obligation</t>
        </is>
      </c>
    </row>
    <row r="135">
      <c r="A135" t="inlineStr">
        <is>
          <t>18-25-0003</t>
        </is>
      </c>
      <c r="B135" t="inlineStr">
        <is>
          <t>Station Improvements - MWD</t>
        </is>
      </c>
      <c r="C135" t="inlineStr">
        <is>
          <t>Station Improvements along MWD lines (Edgebrook, Forest Glen, O'Hare)</t>
        </is>
      </c>
      <c r="D135" t="inlineStr">
        <is>
          <t>Transit Station/Stop Improvements</t>
        </is>
      </c>
      <c r="E135" t="inlineStr">
        <is>
          <t>[C-MAINT] Rail Stations - Maintain, Rehabilitate, Replace</t>
        </is>
      </c>
      <c r="F135" t="inlineStr">
        <is>
          <t>Metra</t>
        </is>
      </c>
      <c r="G135" t="inlineStr">
        <is>
          <t>IL-2025-027-01-00</t>
        </is>
      </c>
      <c r="H135" t="inlineStr">
        <is>
          <t>FTA 5337 Good Repair</t>
        </is>
      </c>
      <c r="I135" s="5" t="n">
        <v>1390000</v>
      </c>
      <c r="J135" t="inlineStr">
        <is>
          <t>No</t>
        </is>
      </c>
      <c r="K135" t="inlineStr">
        <is>
          <t>No</t>
        </is>
      </c>
      <c r="L135" t="inlineStr">
        <is>
          <t>No</t>
        </is>
      </c>
      <c r="M135" t="b">
        <v>0</v>
      </c>
      <c r="N135" t="inlineStr">
        <is>
          <t>FFY2025</t>
        </is>
      </c>
      <c r="O135" t="inlineStr">
        <is>
          <t>FTA Obligation</t>
        </is>
      </c>
    </row>
    <row r="136">
      <c r="A136" t="inlineStr">
        <is>
          <t>18-25-0004</t>
        </is>
      </c>
      <c r="B136" t="inlineStr">
        <is>
          <t>Station Improvements - RID</t>
        </is>
      </c>
      <c r="C136" t="inlineStr">
        <is>
          <t>Station Improvements along RID lines (LaSalle Street Station)</t>
        </is>
      </c>
      <c r="D136" t="inlineStr">
        <is>
          <t>Transit Station/Stop Improvements</t>
        </is>
      </c>
      <c r="E136" t="inlineStr">
        <is>
          <t>[C-MAINT] Rail Stations - Maintain, Rehabilitate, Replace</t>
        </is>
      </c>
      <c r="F136" t="inlineStr">
        <is>
          <t>Metra</t>
        </is>
      </c>
      <c r="G136" t="inlineStr">
        <is>
          <t>IL-2025-027-01-00</t>
        </is>
      </c>
      <c r="H136" t="inlineStr">
        <is>
          <t>FTA 5337 Good Repair</t>
        </is>
      </c>
      <c r="I136" s="5" t="n">
        <v>1000000</v>
      </c>
      <c r="J136" t="inlineStr">
        <is>
          <t>No</t>
        </is>
      </c>
      <c r="K136" t="inlineStr">
        <is>
          <t>No</t>
        </is>
      </c>
      <c r="L136" t="inlineStr">
        <is>
          <t>No</t>
        </is>
      </c>
      <c r="M136" t="b">
        <v>0</v>
      </c>
      <c r="N136" t="inlineStr">
        <is>
          <t>FFY2025</t>
        </is>
      </c>
      <c r="O136" t="inlineStr">
        <is>
          <t>FTA Obligation</t>
        </is>
      </c>
    </row>
    <row r="137">
      <c r="A137" t="inlineStr">
        <is>
          <t>18-25-0004</t>
        </is>
      </c>
      <c r="B137" t="inlineStr">
        <is>
          <t>Station Improvements - RID</t>
        </is>
      </c>
      <c r="C137" t="inlineStr">
        <is>
          <t>Station Improvements along RID lines (LaSalle Street Station)</t>
        </is>
      </c>
      <c r="D137" t="inlineStr">
        <is>
          <t>Transit Station/Stop Improvements</t>
        </is>
      </c>
      <c r="E137" t="inlineStr">
        <is>
          <t>[C-MAINT] Rail Stations - Maintain, Rehabilitate, Replace</t>
        </is>
      </c>
      <c r="F137" t="inlineStr">
        <is>
          <t>Metra</t>
        </is>
      </c>
      <c r="G137" t="inlineStr">
        <is>
          <t>IL-2025-027-01-00</t>
        </is>
      </c>
      <c r="H137" t="inlineStr">
        <is>
          <t>FTA 5337 Good Repair</t>
        </is>
      </c>
      <c r="I137" s="5" t="n">
        <v>200000</v>
      </c>
      <c r="J137" t="inlineStr">
        <is>
          <t>No</t>
        </is>
      </c>
      <c r="K137" t="inlineStr">
        <is>
          <t>No</t>
        </is>
      </c>
      <c r="L137" t="inlineStr">
        <is>
          <t>No</t>
        </is>
      </c>
      <c r="M137" t="b">
        <v>0</v>
      </c>
      <c r="N137" t="inlineStr">
        <is>
          <t>FFY2025</t>
        </is>
      </c>
      <c r="O137" t="inlineStr">
        <is>
          <t>FTA Obligation</t>
        </is>
      </c>
    </row>
    <row r="138">
      <c r="A138" t="inlineStr">
        <is>
          <t>18-25-0005</t>
        </is>
      </c>
      <c r="B138" t="inlineStr">
        <is>
          <t>Station Improvements - UPR</t>
        </is>
      </c>
      <c r="C138" t="inlineStr">
        <is>
          <t>Station Improvements along UPR lines (Kenilworth, Pingree Road, Evanston/Davis, Rogers Park, Kedzie, West Chicago, Glen Ellyn, Indian Hill, Braeside)</t>
        </is>
      </c>
      <c r="D138" t="inlineStr">
        <is>
          <t>Transit Station/Stop Improvements</t>
        </is>
      </c>
      <c r="E138" t="inlineStr">
        <is>
          <t>[C-MAINT] Rail Stations - Maintain, Rehabilitate, Replace, [P-MAINT] Parking - Maintain, Rehabilitate, Replace Commuter Parking</t>
        </is>
      </c>
      <c r="F138" t="inlineStr">
        <is>
          <t>Metra</t>
        </is>
      </c>
      <c r="G138" t="inlineStr">
        <is>
          <t>IL-2025-027-01-00</t>
        </is>
      </c>
      <c r="H138" t="inlineStr">
        <is>
          <t>FTA 5337 Good Repair</t>
        </is>
      </c>
      <c r="I138" s="5" t="n">
        <v>750000</v>
      </c>
      <c r="J138" t="inlineStr">
        <is>
          <t>No</t>
        </is>
      </c>
      <c r="K138" t="inlineStr">
        <is>
          <t>No</t>
        </is>
      </c>
      <c r="L138" t="inlineStr">
        <is>
          <t>No</t>
        </is>
      </c>
      <c r="M138" t="b">
        <v>0</v>
      </c>
      <c r="N138" t="inlineStr">
        <is>
          <t>FFY2025</t>
        </is>
      </c>
      <c r="O138" t="inlineStr">
        <is>
          <t>FTA Obligation</t>
        </is>
      </c>
    </row>
    <row r="139">
      <c r="A139" t="inlineStr">
        <is>
          <t>18-25-0005</t>
        </is>
      </c>
      <c r="B139" t="inlineStr">
        <is>
          <t>Station Improvements - UPR</t>
        </is>
      </c>
      <c r="C139" t="inlineStr">
        <is>
          <t>Station Improvements along UPR lines (Kenilworth, Pingree Road, Evanston/Davis, Rogers Park, Kedzie, West Chicago, Glen Ellyn, Indian Hill, Braeside)</t>
        </is>
      </c>
      <c r="D139" t="inlineStr">
        <is>
          <t>Transit Station/Stop Improvements</t>
        </is>
      </c>
      <c r="E139" t="inlineStr">
        <is>
          <t>[C-MAINT] Rail Stations - Maintain, Rehabilitate, Replace, [P-MAINT] Parking - Maintain, Rehabilitate, Replace Commuter Parking</t>
        </is>
      </c>
      <c r="F139" t="inlineStr">
        <is>
          <t>Metra</t>
        </is>
      </c>
      <c r="G139" t="inlineStr">
        <is>
          <t>IL-2025-027-01-00</t>
        </is>
      </c>
      <c r="H139" t="inlineStr">
        <is>
          <t>FTA 5337 Good Repair</t>
        </is>
      </c>
      <c r="I139" s="5" t="n">
        <v>2415000</v>
      </c>
      <c r="J139" t="inlineStr">
        <is>
          <t>No</t>
        </is>
      </c>
      <c r="K139" t="inlineStr">
        <is>
          <t>No</t>
        </is>
      </c>
      <c r="L139" t="inlineStr">
        <is>
          <t>No</t>
        </is>
      </c>
      <c r="M139" t="b">
        <v>0</v>
      </c>
      <c r="N139" t="inlineStr">
        <is>
          <t>FFY2025</t>
        </is>
      </c>
      <c r="O139" t="inlineStr">
        <is>
          <t>FTA Obligation</t>
        </is>
      </c>
    </row>
    <row r="140">
      <c r="A140" t="inlineStr">
        <is>
          <t>18-25-0005</t>
        </is>
      </c>
      <c r="B140" t="inlineStr">
        <is>
          <t>Station Improvements - UPR</t>
        </is>
      </c>
      <c r="C140" t="inlineStr">
        <is>
          <t>Station Improvements along UPR lines (Kenilworth, Pingree Road, Evanston/Davis, Rogers Park, Kedzie, West Chicago, Glen Ellyn, Indian Hill, Braeside)</t>
        </is>
      </c>
      <c r="D140" t="inlineStr">
        <is>
          <t>Transit Station/Stop Improvements</t>
        </is>
      </c>
      <c r="E140" t="inlineStr">
        <is>
          <t>[C-MAINT] Rail Stations - Maintain, Rehabilitate, Replace, [P-MAINT] Parking - Maintain, Rehabilitate, Replace Commuter Parking</t>
        </is>
      </c>
      <c r="F140" t="inlineStr">
        <is>
          <t>Metra</t>
        </is>
      </c>
      <c r="G140" t="inlineStr">
        <is>
          <t>IL-2025-027-01-00</t>
        </is>
      </c>
      <c r="H140" t="inlineStr">
        <is>
          <t>FTA 5337 Good Repair</t>
        </is>
      </c>
      <c r="I140" s="5" t="n">
        <v>2300000</v>
      </c>
      <c r="J140" t="inlineStr">
        <is>
          <t>No</t>
        </is>
      </c>
      <c r="K140" t="inlineStr">
        <is>
          <t>No</t>
        </is>
      </c>
      <c r="L140" t="inlineStr">
        <is>
          <t>No</t>
        </is>
      </c>
      <c r="M140" t="b">
        <v>0</v>
      </c>
      <c r="N140" t="inlineStr">
        <is>
          <t>FFY2025</t>
        </is>
      </c>
      <c r="O140" t="inlineStr">
        <is>
          <t>FTA Obligation</t>
        </is>
      </c>
    </row>
    <row r="141">
      <c r="A141" t="inlineStr">
        <is>
          <t>18-25-0005</t>
        </is>
      </c>
      <c r="B141" t="inlineStr">
        <is>
          <t>Station Improvements - UPR</t>
        </is>
      </c>
      <c r="C141" t="inlineStr">
        <is>
          <t>Station Improvements along UPR lines (Kenilworth, Pingree Road, Evanston/Davis, Rogers Park, Kedzie, West Chicago, Glen Ellyn, Indian Hill, Braeside)</t>
        </is>
      </c>
      <c r="D141" t="inlineStr">
        <is>
          <t>Transit Station/Stop Improvements</t>
        </is>
      </c>
      <c r="E141" t="inlineStr">
        <is>
          <t>[C-MAINT] Rail Stations - Maintain, Rehabilitate, Replace, [P-MAINT] Parking - Maintain, Rehabilitate, Replace Commuter Parking</t>
        </is>
      </c>
      <c r="F141" t="inlineStr">
        <is>
          <t>Metra</t>
        </is>
      </c>
      <c r="G141" t="inlineStr">
        <is>
          <t>IL-2025-027-01-00</t>
        </is>
      </c>
      <c r="H141" t="inlineStr">
        <is>
          <t>FTA 5337 Good Repair</t>
        </is>
      </c>
      <c r="I141" s="5" t="n">
        <v>400000</v>
      </c>
      <c r="J141" t="inlineStr">
        <is>
          <t>No</t>
        </is>
      </c>
      <c r="K141" t="inlineStr">
        <is>
          <t>No</t>
        </is>
      </c>
      <c r="L141" t="inlineStr">
        <is>
          <t>No</t>
        </is>
      </c>
      <c r="M141" t="b">
        <v>0</v>
      </c>
      <c r="N141" t="inlineStr">
        <is>
          <t>FFY2025</t>
        </is>
      </c>
      <c r="O141" t="inlineStr">
        <is>
          <t>FTA Obligation</t>
        </is>
      </c>
    </row>
    <row r="142">
      <c r="A142" t="inlineStr">
        <is>
          <t>18-25-0008</t>
        </is>
      </c>
      <c r="B142" t="inlineStr">
        <is>
          <t>Right of Way Fencing</t>
        </is>
      </c>
      <c r="C142" t="inlineStr">
        <is>
          <t>Right of Way Fencing 5964</t>
        </is>
      </c>
      <c r="D142" t="inlineStr">
        <is>
          <t>Guideway Improvements</t>
        </is>
      </c>
      <c r="E142" t="inlineStr">
        <is>
          <t>[A-FNC] Safety - Fencing, [R-MAINT] Rail Line - Maintain, Rehabilitate, Replace</t>
        </is>
      </c>
      <c r="F142" t="inlineStr">
        <is>
          <t>Metra</t>
        </is>
      </c>
      <c r="G142" t="inlineStr">
        <is>
          <t>IL-2025-027-02-00</t>
        </is>
      </c>
      <c r="H142" t="inlineStr">
        <is>
          <t>FTA 5307 Urban Formula</t>
        </is>
      </c>
      <c r="I142" s="5" t="n">
        <v>500000</v>
      </c>
      <c r="J142" t="inlineStr">
        <is>
          <t>No</t>
        </is>
      </c>
      <c r="K142" t="inlineStr">
        <is>
          <t>No</t>
        </is>
      </c>
      <c r="L142" t="inlineStr">
        <is>
          <t>Yes</t>
        </is>
      </c>
      <c r="M142" t="b">
        <v>1</v>
      </c>
      <c r="N142" t="inlineStr">
        <is>
          <t>FFY2025</t>
        </is>
      </c>
      <c r="O142" t="inlineStr">
        <is>
          <t>FTA Obligation</t>
        </is>
      </c>
    </row>
    <row r="143">
      <c r="A143" t="inlineStr">
        <is>
          <t>18-25-0009</t>
        </is>
      </c>
      <c r="B143" t="inlineStr">
        <is>
          <t>Yard Improvements - BNSF</t>
        </is>
      </c>
      <c r="C143" t="inlineStr">
        <is>
          <t>Yard Improvements on Metra's BNSF line</t>
        </is>
      </c>
      <c r="D143" t="inlineStr">
        <is>
          <t>Transit Support Facilities</t>
        </is>
      </c>
      <c r="E143" t="inlineStr">
        <is>
          <t>[F-YRDS] Facility - Towers And Yards</t>
        </is>
      </c>
      <c r="F143" t="inlineStr">
        <is>
          <t>Metra</t>
        </is>
      </c>
      <c r="G143" t="inlineStr">
        <is>
          <t>IL-2025-027-01-00</t>
        </is>
      </c>
      <c r="H143" t="inlineStr">
        <is>
          <t>FTA 5337 Good Repair</t>
        </is>
      </c>
      <c r="I143" s="5" t="n">
        <v>3485000</v>
      </c>
      <c r="J143" t="inlineStr">
        <is>
          <t>No</t>
        </is>
      </c>
      <c r="K143" t="inlineStr">
        <is>
          <t>No</t>
        </is>
      </c>
      <c r="L143" t="inlineStr">
        <is>
          <t>No</t>
        </is>
      </c>
      <c r="M143" t="b">
        <v>0</v>
      </c>
      <c r="N143" t="inlineStr">
        <is>
          <t>FFY2025</t>
        </is>
      </c>
      <c r="O143" t="inlineStr">
        <is>
          <t>FTA Obligation</t>
        </is>
      </c>
    </row>
    <row r="144">
      <c r="A144" t="inlineStr">
        <is>
          <t>18-25-0009</t>
        </is>
      </c>
      <c r="B144" t="inlineStr">
        <is>
          <t>Yard Improvements - BNSF</t>
        </is>
      </c>
      <c r="C144" t="inlineStr">
        <is>
          <t>Yard Improvements on Metra's BNSF line</t>
        </is>
      </c>
      <c r="D144" t="inlineStr">
        <is>
          <t>Transit Support Facilities</t>
        </is>
      </c>
      <c r="E144" t="inlineStr">
        <is>
          <t>[F-YRDS] Facility - Towers And Yards</t>
        </is>
      </c>
      <c r="F144" t="inlineStr">
        <is>
          <t>Metra</t>
        </is>
      </c>
      <c r="G144" t="inlineStr">
        <is>
          <t>IL-2025-027-01-00</t>
        </is>
      </c>
      <c r="H144" t="inlineStr">
        <is>
          <t>FTA 5337 Good Repair</t>
        </is>
      </c>
      <c r="I144" s="5" t="n">
        <v>3200000</v>
      </c>
      <c r="J144" t="inlineStr">
        <is>
          <t>No</t>
        </is>
      </c>
      <c r="K144" t="inlineStr">
        <is>
          <t>No</t>
        </is>
      </c>
      <c r="L144" t="inlineStr">
        <is>
          <t>No</t>
        </is>
      </c>
      <c r="M144" t="b">
        <v>0</v>
      </c>
      <c r="N144" t="inlineStr">
        <is>
          <t>FFY2025</t>
        </is>
      </c>
      <c r="O144" t="inlineStr">
        <is>
          <t>FTA Obligation</t>
        </is>
      </c>
    </row>
    <row r="145">
      <c r="A145" t="inlineStr">
        <is>
          <t>18-25-0010</t>
        </is>
      </c>
      <c r="B145" t="inlineStr">
        <is>
          <t>Yard Improvements - MED</t>
        </is>
      </c>
      <c r="C145" t="inlineStr">
        <is>
          <t>Yard Improvements on Metra's Electric District line</t>
        </is>
      </c>
      <c r="D145" t="inlineStr">
        <is>
          <t>Transit Support Facilities</t>
        </is>
      </c>
      <c r="E145" t="inlineStr">
        <is>
          <t>[F-YRDS] Facility - Towers And Yards</t>
        </is>
      </c>
      <c r="F145" t="inlineStr">
        <is>
          <t>Metra</t>
        </is>
      </c>
      <c r="G145" t="inlineStr">
        <is>
          <t>IL-2025-027-01-00</t>
        </is>
      </c>
      <c r="H145" t="inlineStr">
        <is>
          <t>FTA 5337 Good Repair</t>
        </is>
      </c>
      <c r="I145" s="5" t="n">
        <v>1380000</v>
      </c>
      <c r="J145" t="inlineStr">
        <is>
          <t>No</t>
        </is>
      </c>
      <c r="K145" t="inlineStr">
        <is>
          <t>No</t>
        </is>
      </c>
      <c r="L145" t="inlineStr">
        <is>
          <t>No</t>
        </is>
      </c>
      <c r="M145" t="b">
        <v>0</v>
      </c>
      <c r="N145" t="inlineStr">
        <is>
          <t>FFY2025</t>
        </is>
      </c>
      <c r="O145" t="inlineStr">
        <is>
          <t>FTA Obligation</t>
        </is>
      </c>
    </row>
    <row r="146">
      <c r="A146" t="inlineStr">
        <is>
          <t>18-25-0011</t>
        </is>
      </c>
      <c r="B146" t="inlineStr">
        <is>
          <t>Yard Improvements - MWD</t>
        </is>
      </c>
      <c r="C146" t="inlineStr">
        <is>
          <t>Yard Improvements on Metra's Milwaukee District Lines (MD-N, MD-W, NCS)</t>
        </is>
      </c>
      <c r="D146" t="inlineStr">
        <is>
          <t>Transit Support Facilities</t>
        </is>
      </c>
      <c r="E146" t="inlineStr">
        <is>
          <t>[F-YRDS] Facility - Towers And Yards</t>
        </is>
      </c>
      <c r="F146" t="inlineStr">
        <is>
          <t>Metra</t>
        </is>
      </c>
      <c r="G146" t="inlineStr">
        <is>
          <t>IL-2025-027-01-00</t>
        </is>
      </c>
      <c r="H146" t="inlineStr">
        <is>
          <t>FTA 5337 Good Repair</t>
        </is>
      </c>
      <c r="I146" s="5" t="n">
        <v>1620000</v>
      </c>
      <c r="J146" t="inlineStr">
        <is>
          <t>No</t>
        </is>
      </c>
      <c r="K146" t="inlineStr">
        <is>
          <t>No</t>
        </is>
      </c>
      <c r="L146" t="inlineStr">
        <is>
          <t>No</t>
        </is>
      </c>
      <c r="M146" t="b">
        <v>0</v>
      </c>
      <c r="N146" t="inlineStr">
        <is>
          <t>FFY2025</t>
        </is>
      </c>
      <c r="O146" t="inlineStr">
        <is>
          <t>FTA Obligation</t>
        </is>
      </c>
    </row>
    <row r="147">
      <c r="A147" t="inlineStr">
        <is>
          <t>18-25-0011</t>
        </is>
      </c>
      <c r="B147" t="inlineStr">
        <is>
          <t>Yard Improvements - MWD</t>
        </is>
      </c>
      <c r="C147" t="inlineStr">
        <is>
          <t>Yard Improvements on Metra's Milwaukee District Lines (MD-N, MD-W, NCS)</t>
        </is>
      </c>
      <c r="D147" t="inlineStr">
        <is>
          <t>Transit Support Facilities</t>
        </is>
      </c>
      <c r="E147" t="inlineStr">
        <is>
          <t>[F-YRDS] Facility - Towers And Yards</t>
        </is>
      </c>
      <c r="F147" t="inlineStr">
        <is>
          <t>Metra</t>
        </is>
      </c>
      <c r="G147" t="inlineStr">
        <is>
          <t>IL-2025-027-01-00</t>
        </is>
      </c>
      <c r="H147" t="inlineStr">
        <is>
          <t>FTA 5337 Good Repair</t>
        </is>
      </c>
      <c r="I147" s="5" t="n">
        <v>1000000</v>
      </c>
      <c r="J147" t="inlineStr">
        <is>
          <t>No</t>
        </is>
      </c>
      <c r="K147" t="inlineStr">
        <is>
          <t>No</t>
        </is>
      </c>
      <c r="L147" t="inlineStr">
        <is>
          <t>No</t>
        </is>
      </c>
      <c r="M147" t="b">
        <v>0</v>
      </c>
      <c r="N147" t="inlineStr">
        <is>
          <t>FFY2025</t>
        </is>
      </c>
      <c r="O147" t="inlineStr">
        <is>
          <t>FTA Obligation</t>
        </is>
      </c>
    </row>
    <row r="148">
      <c r="A148" t="inlineStr">
        <is>
          <t>18-25-0012</t>
        </is>
      </c>
      <c r="B148" t="inlineStr">
        <is>
          <t>Yard Improvements - RID</t>
        </is>
      </c>
      <c r="C148" t="inlineStr">
        <is>
          <t>Yard Improvements on Metra's Rock Island line</t>
        </is>
      </c>
      <c r="D148" t="inlineStr">
        <is>
          <t>Transit Support Facilities</t>
        </is>
      </c>
      <c r="E148" t="inlineStr">
        <is>
          <t>[F-YRDS] Facility - Towers And Yards</t>
        </is>
      </c>
      <c r="F148" t="inlineStr">
        <is>
          <t>Metra</t>
        </is>
      </c>
      <c r="G148" t="inlineStr">
        <is>
          <t>IL-2025-027-01-00</t>
        </is>
      </c>
      <c r="H148" t="inlineStr">
        <is>
          <t>FTA 5337 Good Repair</t>
        </is>
      </c>
      <c r="I148" s="5" t="n">
        <v>1540000</v>
      </c>
      <c r="J148" t="inlineStr">
        <is>
          <t>No</t>
        </is>
      </c>
      <c r="K148" t="inlineStr">
        <is>
          <t>No</t>
        </is>
      </c>
      <c r="L148" t="inlineStr">
        <is>
          <t>No</t>
        </is>
      </c>
      <c r="M148" t="b">
        <v>0</v>
      </c>
      <c r="N148" t="inlineStr">
        <is>
          <t>FFY2025</t>
        </is>
      </c>
      <c r="O148" t="inlineStr">
        <is>
          <t>FTA Obligation</t>
        </is>
      </c>
    </row>
    <row r="149">
      <c r="A149" t="inlineStr">
        <is>
          <t>18-25-0012</t>
        </is>
      </c>
      <c r="B149" t="inlineStr">
        <is>
          <t>Yard Improvements - RID</t>
        </is>
      </c>
      <c r="C149" t="inlineStr">
        <is>
          <t>Yard Improvements on Metra's Rock Island line</t>
        </is>
      </c>
      <c r="D149" t="inlineStr">
        <is>
          <t>Transit Support Facilities</t>
        </is>
      </c>
      <c r="E149" t="inlineStr">
        <is>
          <t>[F-YRDS] Facility - Towers And Yards</t>
        </is>
      </c>
      <c r="F149" t="inlineStr">
        <is>
          <t>Metra</t>
        </is>
      </c>
      <c r="G149" t="inlineStr">
        <is>
          <t>IL-2025-027-01-00</t>
        </is>
      </c>
      <c r="H149" t="inlineStr">
        <is>
          <t>FTA 5337 Good Repair</t>
        </is>
      </c>
      <c r="I149" s="5" t="n">
        <v>420000</v>
      </c>
      <c r="J149" t="inlineStr">
        <is>
          <t>No</t>
        </is>
      </c>
      <c r="K149" t="inlineStr">
        <is>
          <t>No</t>
        </is>
      </c>
      <c r="L149" t="inlineStr">
        <is>
          <t>No</t>
        </is>
      </c>
      <c r="M149" t="b">
        <v>0</v>
      </c>
      <c r="N149" t="inlineStr">
        <is>
          <t>FFY2025</t>
        </is>
      </c>
      <c r="O149" t="inlineStr">
        <is>
          <t>FTA Obligation</t>
        </is>
      </c>
    </row>
    <row r="150">
      <c r="A150" t="inlineStr">
        <is>
          <t>18-25-0013</t>
        </is>
      </c>
      <c r="B150" t="inlineStr">
        <is>
          <t>Yard Improvements - UPR</t>
        </is>
      </c>
      <c r="C150" t="inlineStr">
        <is>
          <t>Yard Improvements on Metra's Union Pacific lines (UP-N, UP-W, UP-NW)</t>
        </is>
      </c>
      <c r="D150" t="inlineStr">
        <is>
          <t>Transit Support Facilities</t>
        </is>
      </c>
      <c r="E150" t="inlineStr">
        <is>
          <t>[F-YRDS] Facility - Towers And Yards</t>
        </is>
      </c>
      <c r="F150" t="inlineStr">
        <is>
          <t>Metra</t>
        </is>
      </c>
      <c r="G150" t="inlineStr">
        <is>
          <t>IL-2025-027-01-00</t>
        </is>
      </c>
      <c r="H150" t="inlineStr">
        <is>
          <t>FTA 5337 Good Repair</t>
        </is>
      </c>
      <c r="I150" s="5" t="n">
        <v>425000</v>
      </c>
      <c r="J150" t="inlineStr">
        <is>
          <t>No</t>
        </is>
      </c>
      <c r="K150" t="inlineStr">
        <is>
          <t>No</t>
        </is>
      </c>
      <c r="L150" t="inlineStr">
        <is>
          <t>No</t>
        </is>
      </c>
      <c r="M150" t="b">
        <v>0</v>
      </c>
      <c r="N150" t="inlineStr">
        <is>
          <t>FFY2025</t>
        </is>
      </c>
      <c r="O150" t="inlineStr">
        <is>
          <t>FTA Obligation</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2026-09-25T08:05:18Z</dcterms:created>
  <dcterms:modified xsi:type="dcterms:W3CDTF">2026-09-25T08:05:18Z</dcterms:modified>
</cp:coreProperties>
</file>